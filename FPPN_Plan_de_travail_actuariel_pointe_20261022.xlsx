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de travail" sheetId="1" state="visible" r:id="rId1"/>
    <sheet xmlns:r="http://schemas.openxmlformats.org/officeDocument/2006/relationships" name="Synthèse" sheetId="2" state="visible" r:id="rId2"/>
    <sheet xmlns:r="http://schemas.openxmlformats.org/officeDocument/2006/relationships" name="Documents attendus" sheetId="3" state="visible" r:id="rId3"/>
    <sheet xmlns:r="http://schemas.openxmlformats.org/officeDocument/2006/relationships" name="Mode d'emploi" sheetId="4" state="visible" r:id="rId4"/>
  </sheets>
  <definedNames>
    <definedName name="_xlnm.Print_Titles" localSheetId="0">'Plan de travail'!$4:$6</definedName>
    <definedName name="_xlnm.Print_Area" localSheetId="0">'Plan de travail'!$A$1:$BJ$65</definedName>
    <definedName name="_xlnm._FilterDatabase" localSheetId="2" hidden="1">'Documents attendus'!$A$4:$E$35</definedName>
  </definedNames>
  <calcPr calcId="124519" fullCalcOnLoad="1"/>
</workbook>
</file>

<file path=xl/styles.xml><?xml version="1.0" encoding="utf-8"?>
<styleSheet xmlns="http://schemas.openxmlformats.org/spreadsheetml/2006/main">
  <numFmts count="3">
    <numFmt numFmtId="164" formatCode="yyyy-mm-dd"/>
    <numFmt numFmtId="165" formatCode="d"/>
    <numFmt numFmtId="166" formatCode="dd/mm/yyyy"/>
  </numFmts>
  <fonts count="13">
    <font>
      <name val="Calibri"/>
      <family val="2"/>
      <color theme="1"/>
      <sz val="11"/>
      <scheme val="minor"/>
    </font>
    <font>
      <name val="Helvetica"/>
      <b val="1"/>
      <color rgb="00060606"/>
      <sz val="14"/>
    </font>
    <font>
      <name val="Helvetica"/>
      <i val="1"/>
      <color rgb="0053565A"/>
      <sz val="9"/>
    </font>
    <font>
      <name val="Helvetica"/>
      <b val="1"/>
      <color rgb="00060606"/>
      <sz val="10"/>
    </font>
    <font>
      <name val="Helvetica"/>
      <b val="1"/>
      <color rgb="00FFFFFF"/>
      <sz val="10"/>
    </font>
    <font>
      <name val="Helvetica"/>
      <b val="1"/>
      <color rgb="00FFFFFF"/>
      <sz val="8"/>
    </font>
    <font>
      <name val="Helvetica"/>
      <b val="1"/>
      <color rgb="00060606"/>
      <sz val="8"/>
    </font>
    <font>
      <name val="Helvetica"/>
      <i val="1"/>
      <color rgb="00FFFFFF"/>
      <sz val="9"/>
    </font>
    <font>
      <name val="Helvetica"/>
      <color rgb="00060606"/>
      <sz val="10"/>
    </font>
    <font>
      <name val="Helvetica"/>
      <color rgb="00060606"/>
      <sz val="9"/>
    </font>
    <font>
      <name val="Helvetica"/>
      <b val="1"/>
      <color rgb="00060606"/>
      <sz val="11"/>
    </font>
    <font>
      <name val="Helvetica"/>
      <b val="1"/>
      <color rgb="00060606"/>
      <sz val="12"/>
    </font>
    <font>
      <name val="Helvetica"/>
      <i val="1"/>
      <color rgb="0053565A"/>
      <sz val="8"/>
    </font>
  </fonts>
  <fills count="12">
    <fill>
      <patternFill/>
    </fill>
    <fill>
      <patternFill patternType="gray125"/>
    </fill>
    <fill>
      <patternFill patternType="solid">
        <fgColor rgb="00CCCCCC"/>
      </patternFill>
    </fill>
    <fill>
      <patternFill patternType="solid">
        <fgColor rgb="00EFAC62"/>
      </patternFill>
    </fill>
    <fill>
      <patternFill patternType="solid"/>
    </fill>
    <fill>
      <patternFill patternType="solid">
        <fgColor rgb="0053565A"/>
      </patternFill>
    </fill>
    <fill>
      <patternFill patternType="solid">
        <fgColor rgb="00BBBCBC"/>
      </patternFill>
    </fill>
    <fill>
      <patternFill patternType="solid">
        <fgColor rgb="00060606"/>
      </patternFill>
    </fill>
    <fill>
      <patternFill patternType="solid">
        <fgColor rgb="00FFFFFF"/>
      </patternFill>
    </fill>
    <fill>
      <patternFill patternType="solid">
        <fgColor rgb="00E8E8E8"/>
      </patternFill>
    </fill>
    <fill>
      <patternFill patternType="solid">
        <fgColor rgb="00112A40"/>
      </patternFill>
    </fill>
    <fill>
      <patternFill patternType="solid">
        <fgColor rgb="00C00000"/>
      </patternFill>
    </fill>
  </fills>
  <borders count="6">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hair">
        <color rgb="00BBBCBC"/>
      </left>
      <right style="hair">
        <color rgb="00BBBCBC"/>
      </right>
      <top style="hair">
        <color rgb="00BBBCBC"/>
      </top>
      <bottom style="hair">
        <color rgb="00BBBCBC"/>
      </bottom>
    </border>
  </borders>
  <cellStyleXfs count="1">
    <xf numFmtId="0" fontId="0" fillId="0" borderId="0"/>
  </cellStyleXfs>
  <cellXfs count="72">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right" vertical="center" wrapText="1"/>
    </xf>
    <xf numFmtId="0" fontId="3" fillId="3" borderId="1" applyAlignment="1" pivotButton="0" quotePrefix="0" xfId="0">
      <alignment horizontal="center" vertical="center" wrapText="1"/>
    </xf>
    <xf numFmtId="9" fontId="11"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center" vertical="center"/>
    </xf>
    <xf numFmtId="0" fontId="0" fillId="0" borderId="1" pivotButton="0" quotePrefix="0" xfId="0"/>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6" fillId="3" borderId="1" applyAlignment="1" pivotButton="0" quotePrefix="0" xfId="0">
      <alignment horizontal="center" vertical="center"/>
    </xf>
    <xf numFmtId="165" fontId="6" fillId="2" borderId="1" applyAlignment="1" pivotButton="0" quotePrefix="0" xfId="0">
      <alignment horizontal="center" vertical="center"/>
    </xf>
    <xf numFmtId="165" fontId="6" fillId="6" borderId="1" applyAlignment="1" pivotButton="0" quotePrefix="0" xfId="0">
      <alignment horizontal="center" vertical="center"/>
    </xf>
    <xf numFmtId="165" fontId="6" fillId="3" borderId="1" applyAlignment="1" pivotButton="0" quotePrefix="0" xfId="0">
      <alignment horizontal="center" vertical="center"/>
    </xf>
    <xf numFmtId="1"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7" fillId="7" borderId="1" applyAlignment="1" pivotButton="0" quotePrefix="0" xfId="0">
      <alignment horizontal="left" vertical="center" wrapText="1"/>
    </xf>
    <xf numFmtId="2" fontId="4" fillId="7" borderId="1" applyAlignment="1" pivotButton="0" quotePrefix="0" xfId="0">
      <alignment horizontal="center" vertical="center" wrapText="1"/>
    </xf>
    <xf numFmtId="166" fontId="4" fillId="7" borderId="1" applyAlignment="1" pivotButton="0" quotePrefix="0" xfId="0">
      <alignment horizontal="center" vertical="center" wrapText="1"/>
    </xf>
    <xf numFmtId="0" fontId="4" fillId="7" borderId="1" applyAlignment="1" pivotButton="0" quotePrefix="0" xfId="0">
      <alignment horizontal="center" vertical="center" wrapText="1"/>
    </xf>
    <xf numFmtId="9" fontId="4" fillId="7" borderId="1" applyAlignment="1" pivotButton="0" quotePrefix="0" xfId="0">
      <alignment horizontal="center" vertical="center" wrapText="1"/>
    </xf>
    <xf numFmtId="0" fontId="0" fillId="0" borderId="5" pivotButton="0" quotePrefix="0" xfId="0"/>
    <xf numFmtId="49" fontId="8" fillId="8" borderId="1" applyAlignment="1" pivotButton="0" quotePrefix="0" xfId="0">
      <alignment horizontal="center" vertical="center" wrapText="1"/>
    </xf>
    <xf numFmtId="0" fontId="8" fillId="8" borderId="1" applyAlignment="1" pivotButton="0" quotePrefix="0" xfId="0">
      <alignment horizontal="left" vertical="center" wrapText="1"/>
    </xf>
    <xf numFmtId="0" fontId="8" fillId="8" borderId="1" applyAlignment="1" pivotButton="0" quotePrefix="0" xfId="0">
      <alignment horizontal="center" vertical="center" wrapText="1"/>
    </xf>
    <xf numFmtId="0" fontId="9" fillId="8" borderId="1" applyAlignment="1" pivotButton="0" quotePrefix="0" xfId="0">
      <alignment vertical="center" wrapText="1"/>
    </xf>
    <xf numFmtId="0" fontId="9" fillId="8" borderId="1" applyAlignment="1" pivotButton="0" quotePrefix="0" xfId="0">
      <alignment horizontal="left" vertical="center" wrapText="1"/>
    </xf>
    <xf numFmtId="2" fontId="8" fillId="8" borderId="1" applyAlignment="1" pivotButton="0" quotePrefix="0" xfId="0">
      <alignment horizontal="center" vertical="center" wrapText="1"/>
    </xf>
    <xf numFmtId="166" fontId="8" fillId="8" borderId="1" applyAlignment="1" pivotButton="0" quotePrefix="0" xfId="0">
      <alignment horizontal="center" vertical="center" wrapText="1"/>
    </xf>
    <xf numFmtId="0" fontId="3" fillId="8" borderId="1" applyAlignment="1" pivotButton="0" quotePrefix="0" xfId="0">
      <alignment horizontal="center" vertical="center" wrapText="1"/>
    </xf>
    <xf numFmtId="9" fontId="3" fillId="8" borderId="1" applyAlignment="1" pivotButton="0" quotePrefix="0" xfId="0">
      <alignment horizontal="center" vertical="center" wrapText="1"/>
    </xf>
    <xf numFmtId="49" fontId="8"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8" fillId="9" borderId="1" applyAlignment="1" pivotButton="0" quotePrefix="0" xfId="0">
      <alignment horizontal="center" vertical="center" wrapText="1"/>
    </xf>
    <xf numFmtId="0" fontId="9" fillId="9" borderId="1" applyAlignment="1" pivotButton="0" quotePrefix="0" xfId="0">
      <alignment horizontal="left" vertical="center" wrapText="1"/>
    </xf>
    <xf numFmtId="2" fontId="8" fillId="9" borderId="1" applyAlignment="1" pivotButton="0" quotePrefix="0" xfId="0">
      <alignment horizontal="center" vertical="center" wrapText="1"/>
    </xf>
    <xf numFmtId="166" fontId="8" fillId="9" borderId="1" applyAlignment="1" pivotButton="0" quotePrefix="0" xfId="0">
      <alignment horizontal="center" vertical="center" wrapText="1"/>
    </xf>
    <xf numFmtId="0" fontId="3" fillId="9" borderId="1" applyAlignment="1" pivotButton="0" quotePrefix="0" xfId="0">
      <alignment horizontal="center" vertical="center" wrapText="1"/>
    </xf>
    <xf numFmtId="9" fontId="3" fillId="9" borderId="1" applyAlignment="1" pivotButton="0" quotePrefix="0" xfId="0">
      <alignment horizontal="center" vertical="center" wrapText="1"/>
    </xf>
    <xf numFmtId="0" fontId="10" fillId="2" borderId="1" applyAlignment="1" pivotButton="0" quotePrefix="0" xfId="0">
      <alignment horizontal="left" vertical="center" wrapText="1"/>
    </xf>
    <xf numFmtId="2" fontId="10" fillId="2" borderId="1" applyAlignment="1" pivotButton="0" quotePrefix="0" xfId="0">
      <alignment horizontal="center" vertical="center" wrapText="1"/>
    </xf>
    <xf numFmtId="166" fontId="10" fillId="2" borderId="1" applyAlignment="1" pivotButton="0" quotePrefix="0" xfId="0">
      <alignment horizontal="center" vertical="center" wrapText="1"/>
    </xf>
    <xf numFmtId="0" fontId="10" fillId="2" borderId="1" applyAlignment="1" pivotButton="0" quotePrefix="0" xfId="0">
      <alignment horizontal="center" vertical="center" wrapText="1"/>
    </xf>
    <xf numFmtId="9" fontId="10" fillId="2" borderId="1" applyAlignment="1" pivotButton="0" quotePrefix="0" xfId="0">
      <alignment horizontal="center" vertical="center" wrapText="1"/>
    </xf>
    <xf numFmtId="0" fontId="3" fillId="0" borderId="0" pivotButton="0" quotePrefix="0" xfId="0"/>
    <xf numFmtId="0" fontId="0" fillId="10" borderId="1" pivotButton="0" quotePrefix="0" xfId="0"/>
    <xf numFmtId="0" fontId="9" fillId="0" borderId="0" pivotButton="0" quotePrefix="0" xfId="0"/>
    <xf numFmtId="0" fontId="0" fillId="5" borderId="1" pivotButton="0" quotePrefix="0" xfId="0"/>
    <xf numFmtId="0" fontId="0" fillId="11" borderId="1" pivotButton="0" quotePrefix="0" xfId="0"/>
    <xf numFmtId="0" fontId="0" fillId="3" borderId="1" pivotButton="0" quotePrefix="0" xfId="0"/>
    <xf numFmtId="0" fontId="0" fillId="9" borderId="1" pivotButton="0" quotePrefix="0" xfId="0"/>
    <xf numFmtId="0" fontId="12" fillId="0" borderId="0" pivotButton="0" quotePrefix="0" xfId="0"/>
    <xf numFmtId="0" fontId="1" fillId="0" borderId="0" pivotButton="0" quotePrefix="0" xfId="0"/>
    <xf numFmtId="0" fontId="2" fillId="0" borderId="0" pivotButton="0" quotePrefix="0" xfId="0"/>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2" borderId="1" applyAlignment="1" pivotButton="0" quotePrefix="0" xfId="0">
      <alignment horizontal="left" vertical="center" wrapText="1"/>
    </xf>
    <xf numFmtId="2" fontId="8" fillId="8" borderId="1" applyAlignment="1" pivotButton="0" quotePrefix="0" xfId="0">
      <alignment horizontal="right" vertical="center" wrapText="1"/>
    </xf>
    <xf numFmtId="9" fontId="8" fillId="8" borderId="1" applyAlignment="1" pivotButton="0" quotePrefix="0" xfId="0">
      <alignment horizontal="right" vertical="center" wrapText="1"/>
    </xf>
    <xf numFmtId="1" fontId="8" fillId="8" borderId="1" applyAlignment="1" pivotButton="0" quotePrefix="0" xfId="0">
      <alignment horizontal="right" vertical="center" wrapText="1"/>
    </xf>
    <xf numFmtId="2" fontId="8" fillId="9" borderId="1" applyAlignment="1" pivotButton="0" quotePrefix="0" xfId="0">
      <alignment horizontal="right" vertical="center" wrapText="1"/>
    </xf>
    <xf numFmtId="9" fontId="8" fillId="9" borderId="1" applyAlignment="1" pivotButton="0" quotePrefix="0" xfId="0">
      <alignment horizontal="right" vertical="center" wrapText="1"/>
    </xf>
    <xf numFmtId="1" fontId="8" fillId="9" borderId="1" applyAlignment="1" pivotButton="0" quotePrefix="0" xfId="0">
      <alignment horizontal="right" vertical="center" wrapText="1"/>
    </xf>
    <xf numFmtId="2" fontId="3" fillId="2" borderId="1" applyAlignment="1" pivotButton="0" quotePrefix="0" xfId="0">
      <alignment horizontal="right" vertical="center" wrapText="1"/>
    </xf>
    <xf numFmtId="9" fontId="3" fillId="2" borderId="1" applyAlignment="1" pivotButton="0" quotePrefix="0" xfId="0">
      <alignment horizontal="right" vertical="center" wrapText="1"/>
    </xf>
    <xf numFmtId="1" fontId="3" fillId="2" borderId="1" applyAlignment="1" pivotButton="0" quotePrefix="0" xfId="0">
      <alignment horizontal="right" vertical="center" wrapText="1"/>
    </xf>
    <xf numFmtId="1"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8" fillId="4" borderId="1" applyAlignment="1" pivotButton="0" quotePrefix="0" xfId="0">
      <alignment horizontal="left" vertical="center" wrapText="1"/>
    </xf>
    <xf numFmtId="0" fontId="8" fillId="0" borderId="1" applyAlignment="1" pivotButton="0" quotePrefix="0" xfId="0">
      <alignment horizontal="left" vertical="center" wrapText="1"/>
    </xf>
  </cellXfs>
  <cellStyles count="1">
    <cellStyle name="Normal" xfId="0" builtinId="0" hidden="0"/>
  </cellStyles>
  <dxfs count="10">
    <dxf>
      <fill>
        <patternFill patternType="solid">
          <fgColor rgb="00EFAC62"/>
        </patternFill>
      </fill>
    </dxf>
    <dxf>
      <fill>
        <patternFill patternType="solid">
          <fgColor rgb="00112A40"/>
        </patternFill>
      </fill>
    </dxf>
    <dxf>
      <fill>
        <patternFill patternType="solid">
          <fgColor rgb="00C00000"/>
        </patternFill>
      </fill>
    </dxf>
    <dxf>
      <fill>
        <patternFill patternType="solid">
          <fgColor rgb="0053565A"/>
        </patternFill>
      </fill>
    </dxf>
    <dxf>
      <fill>
        <patternFill patternType="solid">
          <fgColor rgb="00E8E8E8"/>
        </patternFill>
      </fill>
    </dxf>
    <dxf>
      <font>
        <name val="Helvetica"/>
        <b val="1"/>
        <color rgb="00FFFFFF"/>
      </font>
      <fill>
        <patternFill patternType="solid">
          <fgColor rgb="00112A40"/>
        </patternFill>
      </fill>
    </dxf>
    <dxf>
      <font>
        <name val="Helvetica"/>
        <b val="1"/>
        <color rgb="00060606"/>
      </font>
      <fill>
        <patternFill patternType="solid">
          <fgColor rgb="00EFAC62"/>
        </patternFill>
      </fill>
    </dxf>
    <dxf>
      <font>
        <name val="Helvetica"/>
        <b val="1"/>
        <color rgb="00FFFFFF"/>
      </font>
      <fill>
        <patternFill patternType="solid">
          <fgColor rgb="00C00000"/>
        </patternFill>
      </fill>
    </dxf>
    <dxf>
      <font>
        <name val="Helvetica"/>
        <b val="1"/>
        <color rgb="00060606"/>
      </font>
      <fill>
        <patternFill patternType="solid">
          <fgColor rgb="00BBBCBC"/>
        </patternFill>
      </fill>
    </dxf>
    <dxf>
      <font>
        <name val="Helvetica"/>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Taux de réalisation par phase</a:t>
            </a:r>
          </a:p>
        </rich>
      </tx>
    </title>
    <plotArea>
      <barChart>
        <barDir val="bar"/>
        <grouping val="clustered"/>
        <ser>
          <idx val="0"/>
          <order val="0"/>
          <tx>
            <strRef>
              <f>'Synthèse'!F4</f>
            </strRef>
          </tx>
          <spPr>
            <a:solidFill xmlns:a="http://schemas.openxmlformats.org/drawingml/2006/main">
              <a:srgbClr val="112A40"/>
            </a:solidFill>
            <a:ln xmlns:a="http://schemas.openxmlformats.org/drawingml/2006/main">
              <a:solidFill>
                <a:srgbClr val="112A40"/>
              </a:solidFill>
              <a:prstDash val="solid"/>
            </a:ln>
          </spPr>
          <cat>
            <numRef>
              <f>'Synthèse'!$A$5:$A$12</f>
            </numRef>
          </cat>
          <val>
            <numRef>
              <f>'Synthèse'!$F$5:$F$12</f>
            </numRef>
          </val>
        </ser>
        <dLbls>
          <showLegendKey val="0"/>
          <showVal val="1"/>
          <showCatName val="0"/>
          <showSerName val="0"/>
        </dLbls>
        <gapWidth val="150"/>
        <axId val="10"/>
        <axId val="100"/>
      </barChart>
      <catAx>
        <axId val="10"/>
        <scaling>
          <orientation val="maxMin"/>
        </scaling>
        <axPos val="l"/>
        <majorTickMark val="none"/>
        <minorTickMark val="none"/>
        <crossAx val="100"/>
        <lblOffset val="100"/>
      </catAx>
      <valAx>
        <axId val="100"/>
        <scaling>
          <orientation val="minMax"/>
          <max val="1"/>
          <min val="0"/>
        </scaling>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16</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12A40"/>
    <outlinePr summaryBelow="1" summaryRight="1"/>
    <pageSetUpPr fitToPage="1"/>
  </sheetPr>
  <dimension ref="A1:BJ65"/>
  <sheetViews>
    <sheetView showGridLines="0" zoomScale="85" workbookViewId="0">
      <pane xSplit="2" ySplit="6" topLeftCell="C7" activePane="bottomRight" state="frozen"/>
      <selection pane="topRight"/>
      <selection pane="bottomLeft"/>
      <selection pane="bottomRight" activeCell="A1" sqref="A1"/>
    </sheetView>
  </sheetViews>
  <sheetFormatPr baseColWidth="8" defaultRowHeight="15"/>
  <cols>
    <col width="6" customWidth="1" min="1" max="1"/>
    <col width="58" customWidth="1" min="2" max="2"/>
    <col width="15" customWidth="1" min="3" max="3"/>
    <col width="24" customWidth="1" min="4" max="4"/>
    <col width="32" customWidth="1" min="5" max="5"/>
    <col width="58" customWidth="1" min="6" max="6"/>
    <col width="12" customWidth="1" min="7" max="7"/>
    <col width="12" customWidth="1" min="8" max="8"/>
    <col width="11" customWidth="1" min="9" max="9"/>
    <col width="11" customWidth="1" min="10" max="10"/>
    <col width="13" customWidth="1" min="11" max="11"/>
    <col width="12" customWidth="1" min="12" max="12"/>
    <col width="12"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 width="3.4" customWidth="1" min="33" max="33"/>
    <col width="3.4" customWidth="1" min="34" max="34"/>
    <col width="3.4" customWidth="1" min="35" max="35"/>
    <col width="3.4" customWidth="1" min="36" max="36"/>
    <col width="3.4" customWidth="1" min="37" max="37"/>
    <col width="3.4" customWidth="1" min="38" max="38"/>
    <col width="3.4" customWidth="1" min="39" max="39"/>
    <col width="3.4" customWidth="1" min="40" max="40"/>
    <col width="3.4" customWidth="1" min="41" max="41"/>
    <col width="3.4" customWidth="1" min="42" max="42"/>
    <col width="3.4" customWidth="1" min="43" max="43"/>
    <col width="3.4" customWidth="1" min="44" max="44"/>
    <col width="3.4" customWidth="1" min="45" max="45"/>
    <col width="3.4" customWidth="1" min="46" max="46"/>
    <col width="3.4" customWidth="1" min="47" max="47"/>
    <col width="3.4" customWidth="1" min="48" max="48"/>
    <col width="3.4" customWidth="1" min="49" max="49"/>
    <col width="3.4" customWidth="1" min="50" max="50"/>
    <col width="3.4" customWidth="1" min="51" max="51"/>
    <col width="3.4" customWidth="1" min="52" max="52"/>
    <col width="3.4" customWidth="1" min="53" max="53"/>
    <col width="3.4" customWidth="1" min="54" max="54"/>
    <col width="3.4" customWidth="1" min="55" max="55"/>
    <col width="3.4" customWidth="1" min="56" max="56"/>
    <col width="3.4" customWidth="1" min="57" max="57"/>
    <col width="3.4" customWidth="1" min="58" max="58"/>
    <col width="3.4" customWidth="1" min="59" max="59"/>
    <col width="3.4" customWidth="1" min="60" max="60"/>
    <col width="3.4" customWidth="1" min="61" max="61"/>
    <col width="3.4" customWidth="1" min="62" max="62"/>
  </cols>
  <sheetData>
    <row r="1" ht="26" customHeight="1">
      <c r="A1" s="1" t="inlineStr">
        <is>
          <t>PLAN DE TRAVAIL : AUDIT DU FPPN, 2020 AU 31 AOÛT 2026, VOLET ACTUARIEL ET STATISTIQUE</t>
        </is>
      </c>
    </row>
    <row r="2" ht="30" customHeight="1">
      <c r="A2" s="2" t="inlineStr">
        <is>
          <t>Pointage au 22/10/2026. Taux de réalisation pondérés par le temps estimé du scénario choisi ci-contre (cellule orange).</t>
        </is>
      </c>
      <c r="E2" s="3" t="inlineStr">
        <is>
          <t>Scénario de pondération</t>
        </is>
      </c>
      <c r="F2" s="4" t="inlineStr">
        <is>
          <t>Données dégradées</t>
        </is>
      </c>
      <c r="K2" s="3" t="inlineStr">
        <is>
          <t>Taux de la mission</t>
        </is>
      </c>
      <c r="L2" s="5">
        <f>L56</f>
        <v/>
      </c>
    </row>
    <row r="4" ht="18" customHeight="1">
      <c r="A4" s="6" t="inlineStr">
        <is>
          <t>N°</t>
        </is>
      </c>
      <c r="B4" s="6" t="inlineStr">
        <is>
          <t>Description des activités</t>
        </is>
      </c>
      <c r="C4" s="6" t="inlineStr">
        <is>
          <t>Fait par</t>
        </is>
      </c>
      <c r="D4" s="6" t="inlineStr">
        <is>
          <t>Interlocuteurs FPPN</t>
        </is>
      </c>
      <c r="E4" s="6" t="inlineStr">
        <is>
          <t>Livrables</t>
        </is>
      </c>
      <c r="F4" s="6" t="inlineStr">
        <is>
          <t>Observations et pièces justificatives (pointage au 22/10/2026)</t>
        </is>
      </c>
      <c r="G4" s="6" t="inlineStr">
        <is>
          <t>Temps estimé, données correctes (j)</t>
        </is>
      </c>
      <c r="H4" s="6" t="inlineStr">
        <is>
          <t>Temps estimé, données dégradées (j)</t>
        </is>
      </c>
      <c r="I4" s="6" t="inlineStr">
        <is>
          <t>Début prévu</t>
        </is>
      </c>
      <c r="J4" s="6" t="inlineStr">
        <is>
          <t>Fin prévue</t>
        </is>
      </c>
      <c r="K4" s="6" t="inlineStr">
        <is>
          <t>Statut</t>
        </is>
      </c>
      <c r="L4" s="6" t="inlineStr">
        <is>
          <t>Taux de réalisation</t>
        </is>
      </c>
      <c r="M4" s="6" t="inlineStr">
        <is>
          <t>Temps réalisé équivalent (j)</t>
        </is>
      </c>
      <c r="N4" s="7" t="inlineStr">
        <is>
          <t>Octobre 2026</t>
        </is>
      </c>
      <c r="O4" s="8" t="n"/>
      <c r="P4" s="8" t="n"/>
      <c r="Q4" s="8" t="n"/>
      <c r="R4" s="8" t="n"/>
      <c r="S4" s="8" t="n"/>
      <c r="T4" s="8" t="n"/>
      <c r="U4" s="8" t="n"/>
      <c r="V4" s="8" t="n"/>
      <c r="W4" s="8" t="n"/>
      <c r="X4" s="8" t="n"/>
      <c r="Y4" s="8" t="n"/>
      <c r="Z4" s="8" t="n"/>
      <c r="AA4" s="8" t="n"/>
      <c r="AB4" s="8" t="n"/>
      <c r="AC4" s="8" t="n"/>
      <c r="AD4" s="8" t="n"/>
      <c r="AE4" s="8" t="n"/>
      <c r="AF4" s="8" t="n"/>
      <c r="AG4" s="7" t="inlineStr">
        <is>
          <t>Novembre 2026</t>
        </is>
      </c>
      <c r="AH4" s="8" t="n"/>
      <c r="AI4" s="8" t="n"/>
      <c r="AJ4" s="8" t="n"/>
      <c r="AK4" s="8" t="n"/>
      <c r="AL4" s="8" t="n"/>
      <c r="AM4" s="8" t="n"/>
      <c r="AN4" s="8" t="n"/>
      <c r="AO4" s="8" t="n"/>
      <c r="AP4" s="8" t="n"/>
      <c r="AQ4" s="8" t="n"/>
      <c r="AR4" s="8" t="n"/>
      <c r="AS4" s="8" t="n"/>
      <c r="AT4" s="8" t="n"/>
      <c r="AU4" s="8" t="n"/>
      <c r="AV4" s="8" t="n"/>
      <c r="AW4" s="8" t="n"/>
      <c r="AX4" s="8" t="n"/>
      <c r="AY4" s="8" t="n"/>
      <c r="AZ4" s="8" t="n"/>
      <c r="BA4" s="8" t="n"/>
      <c r="BB4" s="8" t="n"/>
      <c r="BC4" s="8" t="n"/>
      <c r="BD4" s="8" t="n"/>
      <c r="BE4" s="8" t="n"/>
      <c r="BF4" s="8" t="n"/>
      <c r="BG4" s="8" t="n"/>
      <c r="BH4" s="8" t="n"/>
      <c r="BI4" s="8" t="n"/>
      <c r="BJ4" s="8" t="n"/>
    </row>
    <row r="5" ht="30" customHeight="1">
      <c r="A5" s="8" t="n"/>
      <c r="B5" s="8" t="n"/>
      <c r="C5" s="8" t="n"/>
      <c r="D5" s="8" t="n"/>
      <c r="E5" s="8" t="n"/>
      <c r="F5" s="8" t="n"/>
      <c r="G5" s="8" t="n"/>
      <c r="H5" s="8" t="n"/>
      <c r="I5" s="8" t="n"/>
      <c r="J5" s="8" t="n"/>
      <c r="K5" s="8" t="n"/>
      <c r="L5" s="8" t="n"/>
      <c r="M5" s="8" t="n"/>
      <c r="N5" s="9" t="inlineStr">
        <is>
          <t>M</t>
        </is>
      </c>
      <c r="O5" s="9" t="inlineStr">
        <is>
          <t>M</t>
        </is>
      </c>
      <c r="P5" s="9" t="inlineStr">
        <is>
          <t>J</t>
        </is>
      </c>
      <c r="Q5" s="9" t="inlineStr">
        <is>
          <t>V</t>
        </is>
      </c>
      <c r="R5" s="10" t="inlineStr">
        <is>
          <t>S</t>
        </is>
      </c>
      <c r="S5" s="10" t="inlineStr">
        <is>
          <t>D</t>
        </is>
      </c>
      <c r="T5" s="9" t="inlineStr">
        <is>
          <t>L</t>
        </is>
      </c>
      <c r="U5" s="9" t="inlineStr">
        <is>
          <t>M</t>
        </is>
      </c>
      <c r="V5" s="9" t="inlineStr">
        <is>
          <t>M</t>
        </is>
      </c>
      <c r="W5" s="11" t="inlineStr">
        <is>
          <t>J</t>
        </is>
      </c>
      <c r="X5" s="9" t="inlineStr">
        <is>
          <t>V</t>
        </is>
      </c>
      <c r="Y5" s="10" t="inlineStr">
        <is>
          <t>S</t>
        </is>
      </c>
      <c r="Z5" s="10" t="inlineStr">
        <is>
          <t>D</t>
        </is>
      </c>
      <c r="AA5" s="9" t="inlineStr">
        <is>
          <t>L</t>
        </is>
      </c>
      <c r="AB5" s="9" t="inlineStr">
        <is>
          <t>M</t>
        </is>
      </c>
      <c r="AC5" s="9" t="inlineStr">
        <is>
          <t>M</t>
        </is>
      </c>
      <c r="AD5" s="9" t="inlineStr">
        <is>
          <t>J</t>
        </is>
      </c>
      <c r="AE5" s="9" t="inlineStr">
        <is>
          <t>V</t>
        </is>
      </c>
      <c r="AF5" s="10" t="inlineStr">
        <is>
          <t>S</t>
        </is>
      </c>
      <c r="AG5" s="10" t="inlineStr">
        <is>
          <t>D</t>
        </is>
      </c>
      <c r="AH5" s="9" t="inlineStr">
        <is>
          <t>L</t>
        </is>
      </c>
      <c r="AI5" s="9" t="inlineStr">
        <is>
          <t>M</t>
        </is>
      </c>
      <c r="AJ5" s="9" t="inlineStr">
        <is>
          <t>M</t>
        </is>
      </c>
      <c r="AK5" s="9" t="inlineStr">
        <is>
          <t>J</t>
        </is>
      </c>
      <c r="AL5" s="9" t="inlineStr">
        <is>
          <t>V</t>
        </is>
      </c>
      <c r="AM5" s="10" t="inlineStr">
        <is>
          <t>S</t>
        </is>
      </c>
      <c r="AN5" s="10" t="inlineStr">
        <is>
          <t>D</t>
        </is>
      </c>
      <c r="AO5" s="9" t="inlineStr">
        <is>
          <t>L</t>
        </is>
      </c>
      <c r="AP5" s="9" t="inlineStr">
        <is>
          <t>M</t>
        </is>
      </c>
      <c r="AQ5" s="9" t="inlineStr">
        <is>
          <t>M</t>
        </is>
      </c>
      <c r="AR5" s="9" t="inlineStr">
        <is>
          <t>J</t>
        </is>
      </c>
      <c r="AS5" s="9" t="inlineStr">
        <is>
          <t>V</t>
        </is>
      </c>
      <c r="AT5" s="10" t="inlineStr">
        <is>
          <t>S</t>
        </is>
      </c>
      <c r="AU5" s="10" t="inlineStr">
        <is>
          <t>D</t>
        </is>
      </c>
      <c r="AV5" s="9" t="inlineStr">
        <is>
          <t>L</t>
        </is>
      </c>
      <c r="AW5" s="9" t="inlineStr">
        <is>
          <t>M</t>
        </is>
      </c>
      <c r="AX5" s="9" t="inlineStr">
        <is>
          <t>M</t>
        </is>
      </c>
      <c r="AY5" s="9" t="inlineStr">
        <is>
          <t>J</t>
        </is>
      </c>
      <c r="AZ5" s="9" t="inlineStr">
        <is>
          <t>V</t>
        </is>
      </c>
      <c r="BA5" s="10" t="inlineStr">
        <is>
          <t>S</t>
        </is>
      </c>
      <c r="BB5" s="10" t="inlineStr">
        <is>
          <t>D</t>
        </is>
      </c>
      <c r="BC5" s="9" t="inlineStr">
        <is>
          <t>L</t>
        </is>
      </c>
      <c r="BD5" s="9" t="inlineStr">
        <is>
          <t>M</t>
        </is>
      </c>
      <c r="BE5" s="9" t="inlineStr">
        <is>
          <t>M</t>
        </is>
      </c>
      <c r="BF5" s="9" t="inlineStr">
        <is>
          <t>J</t>
        </is>
      </c>
      <c r="BG5" s="9" t="inlineStr">
        <is>
          <t>V</t>
        </is>
      </c>
      <c r="BH5" s="10" t="inlineStr">
        <is>
          <t>S</t>
        </is>
      </c>
      <c r="BI5" s="10" t="inlineStr">
        <is>
          <t>D</t>
        </is>
      </c>
      <c r="BJ5" s="9" t="inlineStr">
        <is>
          <t>L</t>
        </is>
      </c>
    </row>
    <row r="6" ht="30" customHeight="1">
      <c r="A6" s="8" t="n"/>
      <c r="B6" s="8" t="n"/>
      <c r="C6" s="8" t="n"/>
      <c r="D6" s="8" t="n"/>
      <c r="E6" s="8" t="n"/>
      <c r="F6" s="8" t="n"/>
      <c r="G6" s="8" t="n"/>
      <c r="H6" s="8" t="n"/>
      <c r="I6" s="8" t="n"/>
      <c r="J6" s="8" t="n"/>
      <c r="K6" s="8" t="n"/>
      <c r="L6" s="8" t="n"/>
      <c r="M6" s="8" t="n"/>
      <c r="N6" s="12" t="n">
        <v>46308</v>
      </c>
      <c r="O6" s="12" t="n">
        <v>46309</v>
      </c>
      <c r="P6" s="12" t="n">
        <v>46310</v>
      </c>
      <c r="Q6" s="12" t="n">
        <v>46311</v>
      </c>
      <c r="R6" s="13" t="n">
        <v>46312</v>
      </c>
      <c r="S6" s="13" t="n">
        <v>46313</v>
      </c>
      <c r="T6" s="12" t="n">
        <v>46314</v>
      </c>
      <c r="U6" s="12" t="n">
        <v>46315</v>
      </c>
      <c r="V6" s="12" t="n">
        <v>46316</v>
      </c>
      <c r="W6" s="14" t="n">
        <v>46317</v>
      </c>
      <c r="X6" s="12" t="n">
        <v>46318</v>
      </c>
      <c r="Y6" s="13" t="n">
        <v>46319</v>
      </c>
      <c r="Z6" s="13" t="n">
        <v>46320</v>
      </c>
      <c r="AA6" s="12" t="n">
        <v>46321</v>
      </c>
      <c r="AB6" s="12" t="n">
        <v>46322</v>
      </c>
      <c r="AC6" s="12" t="n">
        <v>46323</v>
      </c>
      <c r="AD6" s="12" t="n">
        <v>46324</v>
      </c>
      <c r="AE6" s="12" t="n">
        <v>46325</v>
      </c>
      <c r="AF6" s="13" t="n">
        <v>46326</v>
      </c>
      <c r="AG6" s="13" t="n">
        <v>46327</v>
      </c>
      <c r="AH6" s="12" t="n">
        <v>46328</v>
      </c>
      <c r="AI6" s="12" t="n">
        <v>46329</v>
      </c>
      <c r="AJ6" s="12" t="n">
        <v>46330</v>
      </c>
      <c r="AK6" s="12" t="n">
        <v>46331</v>
      </c>
      <c r="AL6" s="12" t="n">
        <v>46332</v>
      </c>
      <c r="AM6" s="13" t="n">
        <v>46333</v>
      </c>
      <c r="AN6" s="13" t="n">
        <v>46334</v>
      </c>
      <c r="AO6" s="12" t="n">
        <v>46335</v>
      </c>
      <c r="AP6" s="12" t="n">
        <v>46336</v>
      </c>
      <c r="AQ6" s="12" t="n">
        <v>46337</v>
      </c>
      <c r="AR6" s="12" t="n">
        <v>46338</v>
      </c>
      <c r="AS6" s="12" t="n">
        <v>46339</v>
      </c>
      <c r="AT6" s="13" t="n">
        <v>46340</v>
      </c>
      <c r="AU6" s="13" t="n">
        <v>46341</v>
      </c>
      <c r="AV6" s="12" t="n">
        <v>46342</v>
      </c>
      <c r="AW6" s="12" t="n">
        <v>46343</v>
      </c>
      <c r="AX6" s="12" t="n">
        <v>46344</v>
      </c>
      <c r="AY6" s="12" t="n">
        <v>46345</v>
      </c>
      <c r="AZ6" s="12" t="n">
        <v>46346</v>
      </c>
      <c r="BA6" s="13" t="n">
        <v>46347</v>
      </c>
      <c r="BB6" s="13" t="n">
        <v>46348</v>
      </c>
      <c r="BC6" s="12" t="n">
        <v>46349</v>
      </c>
      <c r="BD6" s="12" t="n">
        <v>46350</v>
      </c>
      <c r="BE6" s="12" t="n">
        <v>46351</v>
      </c>
      <c r="BF6" s="12" t="n">
        <v>46352</v>
      </c>
      <c r="BG6" s="12" t="n">
        <v>46353</v>
      </c>
      <c r="BH6" s="13" t="n">
        <v>46354</v>
      </c>
      <c r="BI6" s="13" t="n">
        <v>46355</v>
      </c>
      <c r="BJ6" s="12" t="n">
        <v>46356</v>
      </c>
    </row>
    <row r="7" ht="32" customHeight="1">
      <c r="A7" s="15" t="n">
        <v>1</v>
      </c>
      <c r="B7" s="16" t="inlineStr">
        <is>
          <t>Phase 1 : Cadrage : textes, garanties, règles de calcul</t>
        </is>
      </c>
      <c r="C7" s="16" t="inlineStr"/>
      <c r="D7" s="16" t="inlineStr"/>
      <c r="E7" s="16" t="inlineStr"/>
      <c r="F7" s="17" t="inlineStr">
        <is>
          <t>Estimation : Lire les statuts et les règles de chaque prestation, puis fixer les hypothèses.</t>
        </is>
      </c>
      <c r="G7" s="18">
        <f>SUM(G8:G12)</f>
        <v/>
      </c>
      <c r="H7" s="18">
        <f>SUM(H8:H12)</f>
        <v/>
      </c>
      <c r="I7" s="19">
        <f>MIN(I8:I12)</f>
        <v/>
      </c>
      <c r="J7" s="19">
        <f>MAX(J8:J12)</f>
        <v/>
      </c>
      <c r="K7" s="20">
        <f>IF(L7&gt;=1,"Effectuée",IF(AND(L7=0,COUNTIF(K8:K12,"Bloquée")&gt;0),"Bloquée",IF(L7=0,"Non réalisée","En cours")))</f>
        <v/>
      </c>
      <c r="L7" s="21">
        <f>IFERROR(M7/IF($F$2="Données correctes",G7,H7),0)</f>
        <v/>
      </c>
      <c r="M7" s="18">
        <f>SUM(M8:M12)</f>
        <v/>
      </c>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row>
    <row r="8" ht="43" customHeight="1">
      <c r="A8" s="23" t="inlineStr">
        <is>
          <t>1.1</t>
        </is>
      </c>
      <c r="B8" s="24" t="inlineStr">
        <is>
          <t>Réunion de lancement : présentation de l'équipe et de la démarche, périmètre (01/01/2020 au 31/08/2026) et quatre questions de la mission</t>
        </is>
      </c>
      <c r="C8" s="25" t="inlineStr">
        <is>
          <t>Actuaire Adenka</t>
        </is>
      </c>
      <c r="D8" s="24" t="inlineStr">
        <is>
          <t>Direction générale, DAF</t>
        </is>
      </c>
      <c r="E8" s="26" t="inlineStr">
        <is>
          <t>- Comptes rendus de la réunion de lancement
- PBC actuarielle pointée
- Guides, comptes rendus et notes d'entretiens
- Hypothèses retenues (tables, taux, inflation)</t>
        </is>
      </c>
      <c r="F8" s="27" t="inlineStr">
        <is>
          <t>Comptes rendus des 13 et 14/10/2026 (FPPN_CR_reunion_de_lancement_Adenka_20261013.pptx, FPPN_Compte_rendu_reunion_de_lancement_20261014.pptx).</t>
        </is>
      </c>
      <c r="G8" s="28" t="n">
        <v>0.25</v>
      </c>
      <c r="H8" s="28" t="n">
        <v>0.25</v>
      </c>
      <c r="I8" s="29" t="n">
        <v>46308</v>
      </c>
      <c r="J8" s="29" t="n">
        <v>46309</v>
      </c>
      <c r="K8" s="30" t="inlineStr">
        <is>
          <t>Effectuée</t>
        </is>
      </c>
      <c r="L8" s="31" t="n">
        <v>1</v>
      </c>
      <c r="M8" s="28">
        <f>IF($F$2="Données correctes",G8,H8)*L8</f>
        <v/>
      </c>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row>
    <row r="9" ht="56" customHeight="1">
      <c r="A9" s="32" t="inlineStr">
        <is>
          <t>1.2</t>
        </is>
      </c>
      <c r="B9" s="33" t="inlineStr">
        <is>
          <t>Élaborer la liste des documents et données (PBC actuarielle), la compléter après chaque entretien et pointer les envois reçus (15/10/2026, lots 1 à 3)</t>
        </is>
      </c>
      <c r="C9" s="34" t="inlineStr">
        <is>
          <t>Actuaire Adenka</t>
        </is>
      </c>
      <c r="D9" s="33" t="inlineStr">
        <is>
          <t>Chef comptable, responsable des cotisations</t>
        </is>
      </c>
      <c r="E9" s="8" t="n"/>
      <c r="F9" s="35" t="inlineStr">
        <is>
          <t>PBC pointée au 22/10/2026 (FPPN_PBC_complete_pointee_20261022.xlsx) : 12 items reçus, 39 partiellement reçus, 58 non reçus sur 109. Lot 1 pointé ; lots 2 et 3 préparés. Reste : pointage des lots 2 et 3 et relances.</t>
        </is>
      </c>
      <c r="G9" s="36" t="n">
        <v>0.5</v>
      </c>
      <c r="H9" s="36" t="n">
        <v>0.75</v>
      </c>
      <c r="I9" s="37" t="n">
        <v>46309</v>
      </c>
      <c r="J9" s="37" t="n">
        <v>46325</v>
      </c>
      <c r="K9" s="38" t="inlineStr">
        <is>
          <t>En cours</t>
        </is>
      </c>
      <c r="L9" s="39" t="n">
        <v>0.7</v>
      </c>
      <c r="M9" s="36">
        <f>IF($F$2="Données correctes",G9,H9)*L9</f>
        <v/>
      </c>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row>
    <row r="10" ht="56" customHeight="1">
      <c r="A10" s="23" t="inlineStr">
        <is>
          <t>1.3</t>
        </is>
      </c>
      <c r="B10" s="24" t="inlineStr">
        <is>
          <t>Lire les statuts, le règlement intérieur, le cahier du régime des prestations sociales et les règles de chaque produit (maladie, décès, EFC, PEP, Grenier, flotte automobile, MEDOC)</t>
        </is>
      </c>
      <c r="C10" s="25" t="inlineStr">
        <is>
          <t>Actuaire Adenka</t>
        </is>
      </c>
      <c r="D10" s="24" t="inlineStr">
        <is>
          <t>Chef de service Assurance, sinistres et prestations</t>
        </is>
      </c>
      <c r="E10" s="8" t="n"/>
      <c r="F10" s="27" t="inlineStr">
        <is>
          <t>Rapport v8, diapositives 17 à 20 (cadre juridique, statuts et règlement intérieur, garanties et produits). Versions des statuts antérieures à 2023 non reçues. Items PBC attendus : 1.</t>
        </is>
      </c>
      <c r="G10" s="28" t="n">
        <v>0.5</v>
      </c>
      <c r="H10" s="28" t="n">
        <v>0.75</v>
      </c>
      <c r="I10" s="29" t="n">
        <v>46310</v>
      </c>
      <c r="J10" s="29" t="n">
        <v>46315</v>
      </c>
      <c r="K10" s="30" t="inlineStr">
        <is>
          <t>En cours</t>
        </is>
      </c>
      <c r="L10" s="31" t="n">
        <v>0.9</v>
      </c>
      <c r="M10" s="28">
        <f>IF($F$2="Données correctes",G10,H10)*L10</f>
        <v/>
      </c>
      <c r="N10" s="22" t="n"/>
      <c r="O10" s="22" t="n"/>
      <c r="P10" s="22" t="n"/>
      <c r="Q10" s="22" t="n"/>
      <c r="R10" s="22" t="n"/>
      <c r="S10" s="22" t="n"/>
      <c r="T10" s="22" t="n"/>
      <c r="U10" s="22" t="n"/>
      <c r="V10" s="22" t="n"/>
      <c r="W10" s="22" t="n"/>
      <c r="X10" s="22" t="n"/>
      <c r="Y10" s="22" t="n"/>
      <c r="Z10" s="22" t="n"/>
      <c r="AA10" s="22" t="n"/>
      <c r="AB10" s="22" t="n"/>
      <c r="AC10" s="22" t="n"/>
      <c r="AD10" s="22" t="n"/>
      <c r="AE10" s="22" t="n"/>
      <c r="AF10" s="22" t="n"/>
      <c r="AG10" s="22" t="n"/>
      <c r="AH10" s="22" t="n"/>
      <c r="AI10" s="22" t="n"/>
      <c r="AJ10" s="22" t="n"/>
      <c r="AK10" s="22" t="n"/>
      <c r="AL10" s="22" t="n"/>
      <c r="AM10" s="22" t="n"/>
      <c r="AN10" s="22" t="n"/>
      <c r="AO10" s="22" t="n"/>
      <c r="AP10" s="22" t="n"/>
      <c r="AQ10" s="22" t="n"/>
      <c r="AR10" s="22" t="n"/>
      <c r="AS10" s="22" t="n"/>
      <c r="AT10" s="22" t="n"/>
      <c r="AU10" s="22" t="n"/>
      <c r="AV10" s="22" t="n"/>
      <c r="AW10" s="22" t="n"/>
      <c r="AX10" s="22" t="n"/>
      <c r="AY10" s="22" t="n"/>
      <c r="AZ10" s="22" t="n"/>
      <c r="BA10" s="22" t="n"/>
      <c r="BB10" s="22" t="n"/>
      <c r="BC10" s="22" t="n"/>
      <c r="BD10" s="22" t="n"/>
      <c r="BE10" s="22" t="n"/>
      <c r="BF10" s="22" t="n"/>
      <c r="BG10" s="22" t="n"/>
      <c r="BH10" s="22" t="n"/>
      <c r="BI10" s="22" t="n"/>
      <c r="BJ10" s="22" t="n"/>
    </row>
    <row r="11" ht="69" customHeight="1">
      <c r="A11" s="32" t="inlineStr">
        <is>
          <t>1.4</t>
        </is>
      </c>
      <c r="B11" s="33" t="inlineStr">
        <is>
          <t>Préparer les guides d'entretien et conduire les entretiens : sinistres et prestations (16/10/2026) ; cotisations, placements et provisions (19/10/2026)</t>
        </is>
      </c>
      <c r="C11" s="34" t="inlineStr">
        <is>
          <t>Actuaire Adenka</t>
        </is>
      </c>
      <c r="D11" s="33" t="inlineStr">
        <is>
          <t>Chef de service Assurance, sinistres et prestations ; responsable des cotisations ; chef comptable</t>
        </is>
      </c>
      <c r="E11" s="8" t="n"/>
      <c r="F11" s="35" t="inlineStr">
        <is>
          <t>Guides (FPPN_Guides_entretiens_actuariat_20261016.xlsx et _20261019.xlsx) ; quatre comptes rendus et notes internes (dossier entretiens) ; demandes complémentaires ajoutées à la PBC.</t>
        </is>
      </c>
      <c r="G11" s="36" t="n">
        <v>0.5</v>
      </c>
      <c r="H11" s="36" t="n">
        <v>0.75</v>
      </c>
      <c r="I11" s="37" t="n">
        <v>46310</v>
      </c>
      <c r="J11" s="37" t="n">
        <v>46315</v>
      </c>
      <c r="K11" s="38" t="inlineStr">
        <is>
          <t>Effectuée</t>
        </is>
      </c>
      <c r="L11" s="39" t="n">
        <v>1</v>
      </c>
      <c r="M11" s="36">
        <f>IF($F$2="Données correctes",G11,H11)*L11</f>
        <v/>
      </c>
      <c r="N11" s="22" t="n"/>
      <c r="O11" s="22" t="n"/>
      <c r="P11" s="22" t="n"/>
      <c r="Q11" s="22" t="n"/>
      <c r="R11" s="22" t="n"/>
      <c r="S11" s="22" t="n"/>
      <c r="T11" s="22" t="n"/>
      <c r="U11" s="22" t="n"/>
      <c r="V11" s="22" t="n"/>
      <c r="W11" s="22" t="n"/>
      <c r="X11" s="22" t="n"/>
      <c r="Y11" s="22" t="n"/>
      <c r="Z11" s="22" t="n"/>
      <c r="AA11" s="22" t="n"/>
      <c r="AB11" s="22" t="n"/>
      <c r="AC11" s="22" t="n"/>
      <c r="AD11" s="22" t="n"/>
      <c r="AE11" s="22" t="n"/>
      <c r="AF11" s="22" t="n"/>
      <c r="AG11" s="22" t="n"/>
      <c r="AH11" s="22" t="n"/>
      <c r="AI11" s="22" t="n"/>
      <c r="AJ11" s="22" t="n"/>
      <c r="AK11" s="22" t="n"/>
      <c r="AL11" s="22" t="n"/>
      <c r="AM11" s="22" t="n"/>
      <c r="AN11" s="22" t="n"/>
      <c r="AO11" s="22" t="n"/>
      <c r="AP11" s="22" t="n"/>
      <c r="AQ11" s="22" t="n"/>
      <c r="AR11" s="22" t="n"/>
      <c r="AS11" s="22" t="n"/>
      <c r="AT11" s="22" t="n"/>
      <c r="AU11" s="22" t="n"/>
      <c r="AV11" s="22" t="n"/>
      <c r="AW11" s="22" t="n"/>
      <c r="AX11" s="22" t="n"/>
      <c r="AY11" s="22" t="n"/>
      <c r="AZ11" s="22" t="n"/>
      <c r="BA11" s="22" t="n"/>
      <c r="BB11" s="22" t="n"/>
      <c r="BC11" s="22" t="n"/>
      <c r="BD11" s="22" t="n"/>
      <c r="BE11" s="22" t="n"/>
      <c r="BF11" s="22" t="n"/>
      <c r="BG11" s="22" t="n"/>
      <c r="BH11" s="22" t="n"/>
      <c r="BI11" s="22" t="n"/>
      <c r="BJ11" s="22" t="n"/>
    </row>
    <row r="12" ht="82" customHeight="1">
      <c r="A12" s="23" t="inlineStr">
        <is>
          <t>1.5</t>
        </is>
      </c>
      <c r="B12" s="24" t="inlineStr">
        <is>
          <t>Fixer les hypothèses : tables de mortalité CIMA, taux d'actualisation (rendements de l'État de Côte d'Ivoire), inflation médicale (IHPC santé), âge de départ à la retraite, règles de calcul par garantie</t>
        </is>
      </c>
      <c r="C12" s="25" t="inlineStr">
        <is>
          <t>Actuaire Adenka</t>
        </is>
      </c>
      <c r="D12" s="24" t="inlineStr">
        <is>
          <t>Chef comptable</t>
        </is>
      </c>
      <c r="E12" s="8" t="n"/>
      <c r="F12" s="27" t="inlineStr">
        <is>
          <t>Tables retenues (Rapport v8, diapositives 152 à 158) ; sources externes validées (FPPN_Sources_externes_validees_20261019_v3.xlsx) ; rendements et IHPC santé intégrés au classeur v8. Reste : âge de départ par grade et hypothèses de projection (phase 7). Items PBC attendus : 25.</t>
        </is>
      </c>
      <c r="G12" s="28" t="n">
        <v>0.25</v>
      </c>
      <c r="H12" s="28" t="n">
        <v>0.5</v>
      </c>
      <c r="I12" s="29" t="n">
        <v>46314</v>
      </c>
      <c r="J12" s="29" t="n">
        <v>46318</v>
      </c>
      <c r="K12" s="30" t="inlineStr">
        <is>
          <t>En cours</t>
        </is>
      </c>
      <c r="L12" s="31" t="n">
        <v>0.6</v>
      </c>
      <c r="M12" s="28">
        <f>IF($F$2="Données correctes",G12,H12)*L12</f>
        <v/>
      </c>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row>
    <row r="13" ht="32" customHeight="1">
      <c r="A13" s="15" t="n">
        <v>2</v>
      </c>
      <c r="B13" s="16" t="inlineStr">
        <is>
          <t>Phase 2 : Contrôle et rapprochement des données</t>
        </is>
      </c>
      <c r="C13" s="16" t="inlineStr"/>
      <c r="D13" s="16" t="inlineStr"/>
      <c r="E13" s="16" t="inlineStr"/>
      <c r="F13" s="17" t="inlineStr">
        <is>
          <t>Estimation : Les fichiers doivent coller avec la comptabilité. Le cas dégradé suppose des relances, des fichiers incomplets et des écarts à expliquer.</t>
        </is>
      </c>
      <c r="G13" s="18">
        <f>SUM(G14:G20)</f>
        <v/>
      </c>
      <c r="H13" s="18">
        <f>SUM(H14:H20)</f>
        <v/>
      </c>
      <c r="I13" s="19">
        <f>MIN(I14:I20)</f>
        <v/>
      </c>
      <c r="J13" s="19">
        <f>MAX(J14:J20)</f>
        <v/>
      </c>
      <c r="K13" s="20">
        <f>IF(L13&gt;=1,"Effectuée",IF(AND(L13=0,COUNTIF(K14:K20,"Bloquée")&gt;0),"Bloquée",IF(L13=0,"Non réalisée","En cours")))</f>
        <v/>
      </c>
      <c r="L13" s="21">
        <f>IFERROR(M13/IF($F$2="Données correctes",G13,H13),0)</f>
        <v/>
      </c>
      <c r="M13" s="18">
        <f>SUM(M14:M20)</f>
        <v/>
      </c>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row>
    <row r="14" ht="56" customHeight="1">
      <c r="A14" s="23" t="inlineStr">
        <is>
          <t>2.1</t>
        </is>
      </c>
      <c r="B14" s="24" t="inlineStr">
        <is>
          <t>Extraire et inventorier les fichiers reçus (envoi du 15/10/2026 et nouveaux fichiers du 22/10/2026)</t>
        </is>
      </c>
      <c r="C14" s="25" t="inlineStr">
        <is>
          <t>Actuaire Adenka</t>
        </is>
      </c>
      <c r="D14" s="24" t="inlineStr">
        <is>
          <t>Responsable des cotisations et informatique</t>
        </is>
      </c>
      <c r="E14" s="26" t="inlineStr">
        <is>
          <t>- Inventaire des fichiers reçus
- Partie 3 du rapport (données et qualité)
- Note sur les anomalies de données
- Onglets 1_ du classeur des calculs</t>
        </is>
      </c>
      <c r="F14" s="27" t="inlineStr">
        <is>
          <t>Extraction FPPN_extraction_20261018_1939.zip : 4 287 fichiers, journal journal_fichiers.csv ; inventaire des nouveaux fichiers du 22/10/2026 (scripts extraction_fppn.py, inventaire_nouveaux_fppn.py).</t>
        </is>
      </c>
      <c r="G14" s="28" t="n">
        <v>0.5</v>
      </c>
      <c r="H14" s="28" t="n">
        <v>0.75</v>
      </c>
      <c r="I14" s="29" t="n">
        <v>46310</v>
      </c>
      <c r="J14" s="29" t="n">
        <v>46317</v>
      </c>
      <c r="K14" s="30" t="inlineStr">
        <is>
          <t>Effectuée</t>
        </is>
      </c>
      <c r="L14" s="31" t="n">
        <v>1</v>
      </c>
      <c r="M14" s="28">
        <f>IF($F$2="Données correctes",G14,H14)*L14</f>
        <v/>
      </c>
      <c r="N14" s="22" t="n"/>
      <c r="O14" s="22" t="n"/>
      <c r="P14" s="22" t="n"/>
      <c r="Q14" s="22" t="n"/>
      <c r="R14" s="22" t="n"/>
      <c r="S14" s="22" t="n"/>
      <c r="T14" s="22" t="n"/>
      <c r="U14" s="22" t="n"/>
      <c r="V14" s="22" t="n"/>
      <c r="W14" s="22" t="n"/>
      <c r="X14" s="22" t="n"/>
      <c r="Y14" s="22" t="n"/>
      <c r="Z14" s="22" t="n"/>
      <c r="AA14" s="22" t="n"/>
      <c r="AB14" s="22" t="n"/>
      <c r="AC14" s="22" t="n"/>
      <c r="AD14" s="22" t="n"/>
      <c r="AE14" s="22" t="n"/>
      <c r="AF14" s="22" t="n"/>
      <c r="AG14" s="22" t="n"/>
      <c r="AH14" s="22" t="n"/>
      <c r="AI14" s="22" t="n"/>
      <c r="AJ14" s="22" t="n"/>
      <c r="AK14" s="22" t="n"/>
      <c r="AL14" s="22" t="n"/>
      <c r="AM14" s="22" t="n"/>
      <c r="AN14" s="22" t="n"/>
      <c r="AO14" s="22" t="n"/>
      <c r="AP14" s="22" t="n"/>
      <c r="AQ14" s="22" t="n"/>
      <c r="AR14" s="22" t="n"/>
      <c r="AS14" s="22" t="n"/>
      <c r="AT14" s="22" t="n"/>
      <c r="AU14" s="22" t="n"/>
      <c r="AV14" s="22" t="n"/>
      <c r="AW14" s="22" t="n"/>
      <c r="AX14" s="22" t="n"/>
      <c r="AY14" s="22" t="n"/>
      <c r="AZ14" s="22" t="n"/>
      <c r="BA14" s="22" t="n"/>
      <c r="BB14" s="22" t="n"/>
      <c r="BC14" s="22" t="n"/>
      <c r="BD14" s="22" t="n"/>
      <c r="BE14" s="22" t="n"/>
      <c r="BF14" s="22" t="n"/>
      <c r="BG14" s="22" t="n"/>
      <c r="BH14" s="22" t="n"/>
      <c r="BI14" s="22" t="n"/>
      <c r="BJ14" s="22" t="n"/>
    </row>
    <row r="15" ht="43" customHeight="1">
      <c r="A15" s="32" t="inlineStr">
        <is>
          <t>2.2</t>
        </is>
      </c>
      <c r="B15" s="33" t="inlineStr">
        <is>
          <t>Contrôles de qualité : vrai format des fichiers, lignes de total, montants doublés, doublons, fichiers vides ou endommagés</t>
        </is>
      </c>
      <c r="C15" s="34" t="inlineStr">
        <is>
          <t>Actuaire Adenka</t>
        </is>
      </c>
      <c r="D15" s="33" t="inlineStr"/>
      <c r="E15" s="8" t="n"/>
      <c r="F15" s="35" t="inlineStr">
        <is>
          <t>Rapport v8, diapositives 29 à 36 : 4 454 416 lignes de précomptes contrôlées ; classeur v8, onglet 1_rejets.</t>
        </is>
      </c>
      <c r="G15" s="36" t="n">
        <v>0.75</v>
      </c>
      <c r="H15" s="36" t="n">
        <v>1.25</v>
      </c>
      <c r="I15" s="37" t="n">
        <v>46311</v>
      </c>
      <c r="J15" s="37" t="n">
        <v>46315</v>
      </c>
      <c r="K15" s="38" t="inlineStr">
        <is>
          <t>Effectuée</t>
        </is>
      </c>
      <c r="L15" s="39" t="n">
        <v>1</v>
      </c>
      <c r="M15" s="36">
        <f>IF($F$2="Données correctes",G15,H15)*L15</f>
        <v/>
      </c>
      <c r="N15" s="22" t="n"/>
      <c r="O15" s="22" t="n"/>
      <c r="P15" s="22" t="n"/>
      <c r="Q15" s="22" t="n"/>
      <c r="R15" s="22" t="n"/>
      <c r="S15" s="22" t="n"/>
      <c r="T15" s="22" t="n"/>
      <c r="U15" s="22" t="n"/>
      <c r="V15" s="22" t="n"/>
      <c r="W15" s="22" t="n"/>
      <c r="X15" s="22" t="n"/>
      <c r="Y15" s="22" t="n"/>
      <c r="Z15" s="22" t="n"/>
      <c r="AA15" s="22" t="n"/>
      <c r="AB15" s="22" t="n"/>
      <c r="AC15" s="22" t="n"/>
      <c r="AD15" s="22" t="n"/>
      <c r="AE15" s="22" t="n"/>
      <c r="AF15" s="22" t="n"/>
      <c r="AG15" s="22" t="n"/>
      <c r="AH15" s="22" t="n"/>
      <c r="AI15" s="22" t="n"/>
      <c r="AJ15" s="22" t="n"/>
      <c r="AK15" s="22" t="n"/>
      <c r="AL15" s="22" t="n"/>
      <c r="AM15" s="22" t="n"/>
      <c r="AN15" s="22" t="n"/>
      <c r="AO15" s="22" t="n"/>
      <c r="AP15" s="22" t="n"/>
      <c r="AQ15" s="22" t="n"/>
      <c r="AR15" s="22" t="n"/>
      <c r="AS15" s="22" t="n"/>
      <c r="AT15" s="22" t="n"/>
      <c r="AU15" s="22" t="n"/>
      <c r="AV15" s="22" t="n"/>
      <c r="AW15" s="22" t="n"/>
      <c r="AX15" s="22" t="n"/>
      <c r="AY15" s="22" t="n"/>
      <c r="AZ15" s="22" t="n"/>
      <c r="BA15" s="22" t="n"/>
      <c r="BB15" s="22" t="n"/>
      <c r="BC15" s="22" t="n"/>
      <c r="BD15" s="22" t="n"/>
      <c r="BE15" s="22" t="n"/>
      <c r="BF15" s="22" t="n"/>
      <c r="BG15" s="22" t="n"/>
      <c r="BH15" s="22" t="n"/>
      <c r="BI15" s="22" t="n"/>
      <c r="BJ15" s="22" t="n"/>
    </row>
    <row r="16" ht="43" customHeight="1">
      <c r="A16" s="23" t="inlineStr">
        <is>
          <t>2.3</t>
        </is>
      </c>
      <c r="B16" s="24" t="inlineStr">
        <is>
          <t>Rapprocher les fichiers aller et retour des précomptes (Solde, CGRAE, GNA) par poste et par mois</t>
        </is>
      </c>
      <c r="C16" s="25" t="inlineStr">
        <is>
          <t>Actuaire Adenka</t>
        </is>
      </c>
      <c r="D16" s="24" t="inlineStr">
        <is>
          <t>Responsable des cotisations</t>
        </is>
      </c>
      <c r="E16" s="8" t="n"/>
      <c r="F16" s="27" t="inlineStr">
        <is>
          <t>Rapport v8, diapositives 33 et 34 (rapprochement aller et retour, écarts du PEP) ; classeur v8, onglet 1_aller_retour.</t>
        </is>
      </c>
      <c r="G16" s="28" t="n">
        <v>0.5</v>
      </c>
      <c r="H16" s="28" t="n">
        <v>1</v>
      </c>
      <c r="I16" s="29" t="n">
        <v>46311</v>
      </c>
      <c r="J16" s="29" t="n">
        <v>46315</v>
      </c>
      <c r="K16" s="30" t="inlineStr">
        <is>
          <t>Effectuée</t>
        </is>
      </c>
      <c r="L16" s="31" t="n">
        <v>1</v>
      </c>
      <c r="M16" s="28">
        <f>IF($F$2="Données correctes",G16,H16)*L16</f>
        <v/>
      </c>
      <c r="N16" s="22" t="n"/>
      <c r="O16" s="22" t="n"/>
      <c r="P16" s="22" t="n"/>
      <c r="Q16" s="22" t="n"/>
      <c r="R16" s="22" t="n"/>
      <c r="S16" s="22" t="n"/>
      <c r="T16" s="22" t="n"/>
      <c r="U16" s="22" t="n"/>
      <c r="V16" s="22" t="n"/>
      <c r="W16" s="22" t="n"/>
      <c r="X16" s="22" t="n"/>
      <c r="Y16" s="22" t="n"/>
      <c r="Z16" s="22" t="n"/>
      <c r="AA16" s="22" t="n"/>
      <c r="AB16" s="22" t="n"/>
      <c r="AC16" s="22" t="n"/>
      <c r="AD16" s="22" t="n"/>
      <c r="AE16" s="22" t="n"/>
      <c r="AF16" s="22" t="n"/>
      <c r="AG16" s="22" t="n"/>
      <c r="AH16" s="22" t="n"/>
      <c r="AI16" s="22" t="n"/>
      <c r="AJ16" s="22" t="n"/>
      <c r="AK16" s="22" t="n"/>
      <c r="AL16" s="22" t="n"/>
      <c r="AM16" s="22" t="n"/>
      <c r="AN16" s="22" t="n"/>
      <c r="AO16" s="22" t="n"/>
      <c r="AP16" s="22" t="n"/>
      <c r="AQ16" s="22" t="n"/>
      <c r="AR16" s="22" t="n"/>
      <c r="AS16" s="22" t="n"/>
      <c r="AT16" s="22" t="n"/>
      <c r="AU16" s="22" t="n"/>
      <c r="AV16" s="22" t="n"/>
      <c r="AW16" s="22" t="n"/>
      <c r="AX16" s="22" t="n"/>
      <c r="AY16" s="22" t="n"/>
      <c r="AZ16" s="22" t="n"/>
      <c r="BA16" s="22" t="n"/>
      <c r="BB16" s="22" t="n"/>
      <c r="BC16" s="22" t="n"/>
      <c r="BD16" s="22" t="n"/>
      <c r="BE16" s="22" t="n"/>
      <c r="BF16" s="22" t="n"/>
      <c r="BG16" s="22" t="n"/>
      <c r="BH16" s="22" t="n"/>
      <c r="BI16" s="22" t="n"/>
      <c r="BJ16" s="22" t="n"/>
    </row>
    <row r="17" ht="56" customHeight="1">
      <c r="A17" s="32" t="inlineStr">
        <is>
          <t>2.4</t>
        </is>
      </c>
      <c r="B17" s="33" t="inlineStr">
        <is>
          <t>Mesurer la couverture de la période (2020 au 31/08/2026) par poste et par sens, et obtenir les précomptes manquants</t>
        </is>
      </c>
      <c r="C17" s="34" t="inlineStr">
        <is>
          <t>Actuaire Adenka</t>
        </is>
      </c>
      <c r="D17" s="33" t="inlineStr">
        <is>
          <t>Responsable des cotisations</t>
        </is>
      </c>
      <c r="E17" s="8" t="n"/>
      <c r="F17" s="35" t="inlineStr">
        <is>
          <t>Couverture mesurée (Rapport v8, diapositive 30 ; classeur v8, onglet 1_couverture). Précomptes 2020 à 2022 non transmis, sauf PEP. Fichiers aller et retour manquants attendus. Items PBC attendus : 51, 61, 62, 63.</t>
        </is>
      </c>
      <c r="G17" s="36" t="n">
        <v>0.5</v>
      </c>
      <c r="H17" s="36" t="n">
        <v>1.5</v>
      </c>
      <c r="I17" s="37" t="n">
        <v>46311</v>
      </c>
      <c r="J17" s="37" t="n">
        <v>46332</v>
      </c>
      <c r="K17" s="38" t="inlineStr">
        <is>
          <t>Bloquée</t>
        </is>
      </c>
      <c r="L17" s="39" t="n">
        <v>0.5</v>
      </c>
      <c r="M17" s="36">
        <f>IF($F$2="Données correctes",G17,H17)*L17</f>
        <v/>
      </c>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row>
    <row r="18" ht="69" customHeight="1">
      <c r="A18" s="23" t="inlineStr">
        <is>
          <t>2.5</t>
        </is>
      </c>
      <c r="B18" s="24" t="inlineStr">
        <is>
          <t>Rapprocher les cotisations, les prestations et l'épargne des fichiers avec la comptabilité (balances Sage 100)</t>
        </is>
      </c>
      <c r="C18" s="25" t="inlineStr">
        <is>
          <t>Actuaire Adenka</t>
        </is>
      </c>
      <c r="D18" s="24" t="inlineStr">
        <is>
          <t>Chef comptable</t>
        </is>
      </c>
      <c r="E18" s="8" t="n"/>
      <c r="F18" s="27" t="inlineStr">
        <is>
          <t>Cotisations comptabilisées et précomptées rapprochées (Rapport v8, diapositive 46 ; classeur v8, onglet 2_cotisations). Reste : prestations (attente des bases) et comptes individuels d'épargne. Items PBC attendus : 17, 19.</t>
        </is>
      </c>
      <c r="G18" s="28" t="n">
        <v>1</v>
      </c>
      <c r="H18" s="28" t="n">
        <v>1.5</v>
      </c>
      <c r="I18" s="29" t="n">
        <v>46314</v>
      </c>
      <c r="J18" s="29" t="n">
        <v>46339</v>
      </c>
      <c r="K18" s="30" t="inlineStr">
        <is>
          <t>En cours</t>
        </is>
      </c>
      <c r="L18" s="31" t="n">
        <v>0.5</v>
      </c>
      <c r="M18" s="28">
        <f>IF($F$2="Données correctes",G18,H18)*L18</f>
        <v/>
      </c>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row>
    <row r="19" ht="43" customHeight="1">
      <c r="A19" s="32" t="inlineStr">
        <is>
          <t>2.6</t>
        </is>
      </c>
      <c r="B19" s="33" t="inlineStr">
        <is>
          <t>Contrôler les bases de prestations maladie et décès (une ligne par dossier) et les rapprocher des montants comptabilisés</t>
        </is>
      </c>
      <c r="C19" s="34" t="inlineStr">
        <is>
          <t>Actuaire Adenka</t>
        </is>
      </c>
      <c r="D19" s="33" t="inlineStr">
        <is>
          <t>Chef de service Assurance, sinistres et prestations</t>
        </is>
      </c>
      <c r="E19" s="8" t="n"/>
      <c r="F19" s="35" t="inlineStr">
        <is>
          <t>Aucune base de prestations extraite du logiciel à ce jour. Items PBC attendus : 13, 28, 40, 71.</t>
        </is>
      </c>
      <c r="G19" s="36" t="n">
        <v>0.5</v>
      </c>
      <c r="H19" s="36" t="n">
        <v>1.5</v>
      </c>
      <c r="I19" s="37" t="n">
        <v>46321</v>
      </c>
      <c r="J19" s="37" t="n">
        <v>46339</v>
      </c>
      <c r="K19" s="38" t="inlineStr">
        <is>
          <t>Bloquée</t>
        </is>
      </c>
      <c r="L19" s="39" t="n">
        <v>0</v>
      </c>
      <c r="M19" s="36">
        <f>IF($F$2="Données correctes",G19,H19)*L19</f>
        <v/>
      </c>
      <c r="N19" s="22" t="n"/>
      <c r="O19" s="22" t="n"/>
      <c r="P19" s="22" t="n"/>
      <c r="Q19" s="22" t="n"/>
      <c r="R19" s="22" t="n"/>
      <c r="S19" s="22" t="n"/>
      <c r="T19" s="22" t="n"/>
      <c r="U19" s="22" t="n"/>
      <c r="V19" s="22" t="n"/>
      <c r="W19" s="22" t="n"/>
      <c r="X19" s="22" t="n"/>
      <c r="Y19" s="22" t="n"/>
      <c r="Z19" s="22" t="n"/>
      <c r="AA19" s="22" t="n"/>
      <c r="AB19" s="22" t="n"/>
      <c r="AC19" s="22" t="n"/>
      <c r="AD19" s="22" t="n"/>
      <c r="AE19" s="22" t="n"/>
      <c r="AF19" s="22" t="n"/>
      <c r="AG19" s="22" t="n"/>
      <c r="AH19" s="22" t="n"/>
      <c r="AI19" s="22" t="n"/>
      <c r="AJ19" s="22" t="n"/>
      <c r="AK19" s="22" t="n"/>
      <c r="AL19" s="22" t="n"/>
      <c r="AM19" s="22" t="n"/>
      <c r="AN19" s="22" t="n"/>
      <c r="AO19" s="22" t="n"/>
      <c r="AP19" s="22" t="n"/>
      <c r="AQ19" s="22" t="n"/>
      <c r="AR19" s="22" t="n"/>
      <c r="AS19" s="22" t="n"/>
      <c r="AT19" s="22" t="n"/>
      <c r="AU19" s="22" t="n"/>
      <c r="AV19" s="22" t="n"/>
      <c r="AW19" s="22" t="n"/>
      <c r="AX19" s="22" t="n"/>
      <c r="AY19" s="22" t="n"/>
      <c r="AZ19" s="22" t="n"/>
      <c r="BA19" s="22" t="n"/>
      <c r="BB19" s="22" t="n"/>
      <c r="BC19" s="22" t="n"/>
      <c r="BD19" s="22" t="n"/>
      <c r="BE19" s="22" t="n"/>
      <c r="BF19" s="22" t="n"/>
      <c r="BG19" s="22" t="n"/>
      <c r="BH19" s="22" t="n"/>
      <c r="BI19" s="22" t="n"/>
      <c r="BJ19" s="22" t="n"/>
    </row>
    <row r="20" ht="43" customHeight="1">
      <c r="A20" s="23" t="inlineStr">
        <is>
          <t>2.7</t>
        </is>
      </c>
      <c r="B20" s="24" t="inlineStr">
        <is>
          <t>Documenter les anomalies de données et les points à clarifier avec le FPPN</t>
        </is>
      </c>
      <c r="C20" s="25" t="inlineStr">
        <is>
          <t>Actuaire Adenka</t>
        </is>
      </c>
      <c r="D20" s="24" t="inlineStr">
        <is>
          <t>Chef comptable, responsable des cotisations</t>
        </is>
      </c>
      <c r="E20" s="8" t="n"/>
      <c r="F20" s="27" t="inlineStr">
        <is>
          <t>Note sur les anomalies de données du 19/10/2026 ; onglet « Points à clarifier » de la PBC ; Rapport v8, diapositive 179. À tenir à jour à chaque envoi.</t>
        </is>
      </c>
      <c r="G20" s="28" t="n">
        <v>0.25</v>
      </c>
      <c r="H20" s="28" t="n">
        <v>0.5</v>
      </c>
      <c r="I20" s="29" t="n">
        <v>46314</v>
      </c>
      <c r="J20" s="29" t="n">
        <v>46339</v>
      </c>
      <c r="K20" s="30" t="inlineStr">
        <is>
          <t>En cours</t>
        </is>
      </c>
      <c r="L20" s="31" t="n">
        <v>0.6</v>
      </c>
      <c r="M20" s="28">
        <f>IF($F$2="Données correctes",G20,H20)*L20</f>
        <v/>
      </c>
      <c r="N20" s="22" t="n"/>
      <c r="O20" s="22" t="n"/>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c r="AL20" s="22" t="n"/>
      <c r="AM20" s="22" t="n"/>
      <c r="AN20" s="22" t="n"/>
      <c r="AO20" s="22" t="n"/>
      <c r="AP20" s="22" t="n"/>
      <c r="AQ20" s="22" t="n"/>
      <c r="AR20" s="22" t="n"/>
      <c r="AS20" s="22" t="n"/>
      <c r="AT20" s="22" t="n"/>
      <c r="AU20" s="22" t="n"/>
      <c r="AV20" s="22" t="n"/>
      <c r="AW20" s="22" t="n"/>
      <c r="AX20" s="22" t="n"/>
      <c r="AY20" s="22" t="n"/>
      <c r="AZ20" s="22" t="n"/>
      <c r="BA20" s="22" t="n"/>
      <c r="BB20" s="22" t="n"/>
      <c r="BC20" s="22" t="n"/>
      <c r="BD20" s="22" t="n"/>
      <c r="BE20" s="22" t="n"/>
      <c r="BF20" s="22" t="n"/>
      <c r="BG20" s="22" t="n"/>
      <c r="BH20" s="22" t="n"/>
      <c r="BI20" s="22" t="n"/>
      <c r="BJ20" s="22" t="n"/>
    </row>
    <row r="21" ht="32" customHeight="1">
      <c r="A21" s="15" t="n">
        <v>3</v>
      </c>
      <c r="B21" s="16" t="inlineStr">
        <is>
          <t>Phase 3 : Évaluation des engagements</t>
        </is>
      </c>
      <c r="C21" s="16" t="inlineStr"/>
      <c r="D21" s="16" t="inlineStr"/>
      <c r="E21" s="16" t="inlineStr"/>
      <c r="F21" s="17" t="inlineStr">
        <is>
          <t>Estimation : Un modèle par garantie, relancé à 8 dates (du 31/12/2019 au 31/08/2026).</t>
        </is>
      </c>
      <c r="G21" s="18">
        <f>SUM(G22:G27)</f>
        <v/>
      </c>
      <c r="H21" s="18">
        <f>SUM(H22:H27)</f>
        <v/>
      </c>
      <c r="I21" s="19">
        <f>MIN(I22:I27)</f>
        <v/>
      </c>
      <c r="J21" s="19">
        <f>MAX(J22:J27)</f>
        <v/>
      </c>
      <c r="K21" s="20">
        <f>IF(L21&gt;=1,"Effectuée",IF(AND(L21=0,COUNTIF(K22:K27,"Bloquée")&gt;0),"Bloquée",IF(L21=0,"Non réalisée","En cours")))</f>
        <v/>
      </c>
      <c r="L21" s="21">
        <f>IFERROR(M21/IF($F$2="Données correctes",G21,H21),0)</f>
        <v/>
      </c>
      <c r="M21" s="18">
        <f>SUM(M22:M27)</f>
        <v/>
      </c>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row>
    <row r="22" ht="56" customHeight="1">
      <c r="A22" s="23" t="inlineStr">
        <is>
          <t>3.1</t>
        </is>
      </c>
      <c r="B22" s="24" t="inlineStr">
        <is>
          <t>Analyser les effectifs (cotisants, entrées et sorties, structure, ancienneté) et les cotisations (taux, valeur réelle, nouvelles recrues)</t>
        </is>
      </c>
      <c r="C22" s="25" t="inlineStr">
        <is>
          <t>Actuaire Adenka</t>
        </is>
      </c>
      <c r="D22" s="24" t="inlineStr">
        <is>
          <t>Responsable des cotisations</t>
        </is>
      </c>
      <c r="E22" s="26" t="inlineStr">
        <is>
          <t>- Parties 4 à 8 du rapport (effectifs, cotisations, sinistralité, épargne, Grenier, retraités)
- Modèle d'évaluation par garantie
- Engagements aux 8 dates d'arrêté</t>
        </is>
      </c>
      <c r="F22" s="27" t="inlineStr">
        <is>
          <t>Rapport v8, partie 4 (diapositives 37 à 49) ; classeur v8, onglets 2_. Limite : fichier des mutualistes partiel, fichier des ayants droit non reçu. Items PBC attendus : 9, 10.</t>
        </is>
      </c>
      <c r="G22" s="28" t="n">
        <v>1</v>
      </c>
      <c r="H22" s="28" t="n">
        <v>1</v>
      </c>
      <c r="I22" s="29" t="n">
        <v>46311</v>
      </c>
      <c r="J22" s="29" t="n">
        <v>46316</v>
      </c>
      <c r="K22" s="30" t="inlineStr">
        <is>
          <t>Effectuée</t>
        </is>
      </c>
      <c r="L22" s="31" t="n">
        <v>1</v>
      </c>
      <c r="M22" s="28">
        <f>IF($F$2="Données correctes",G22,H22)*L22</f>
        <v/>
      </c>
      <c r="N22" s="22"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c r="AL22" s="22" t="n"/>
      <c r="AM22" s="22" t="n"/>
      <c r="AN22" s="22" t="n"/>
      <c r="AO22" s="22" t="n"/>
      <c r="AP22" s="22" t="n"/>
      <c r="AQ22" s="22" t="n"/>
      <c r="AR22" s="22" t="n"/>
      <c r="AS22" s="22" t="n"/>
      <c r="AT22" s="22" t="n"/>
      <c r="AU22" s="22" t="n"/>
      <c r="AV22" s="22" t="n"/>
      <c r="AW22" s="22" t="n"/>
      <c r="AX22" s="22" t="n"/>
      <c r="AY22" s="22" t="n"/>
      <c r="AZ22" s="22" t="n"/>
      <c r="BA22" s="22" t="n"/>
      <c r="BB22" s="22" t="n"/>
      <c r="BC22" s="22" t="n"/>
      <c r="BD22" s="22" t="n"/>
      <c r="BE22" s="22" t="n"/>
      <c r="BF22" s="22" t="n"/>
      <c r="BG22" s="22" t="n"/>
      <c r="BH22" s="22" t="n"/>
      <c r="BI22" s="22" t="n"/>
      <c r="BJ22" s="22" t="n"/>
    </row>
    <row r="23" ht="43" customHeight="1">
      <c r="A23" s="32" t="inlineStr">
        <is>
          <t>3.2</t>
        </is>
      </c>
      <c r="B23" s="33" t="inlineStr">
        <is>
          <t>Analyser la sinistralité et le résultat par garantie (prestations sur cotisations, nature des risques, croissance des prestations, frais de gestion)</t>
        </is>
      </c>
      <c r="C23" s="34" t="inlineStr">
        <is>
          <t>Actuaire Adenka</t>
        </is>
      </c>
      <c r="D23" s="33" t="inlineStr">
        <is>
          <t>Chef de service Assurance, sinistres et prestations</t>
        </is>
      </c>
      <c r="E23" s="8" t="n"/>
      <c r="F23" s="35" t="inlineStr">
        <is>
          <t>Rapport v8, partie 5 (diapositives 50 à 61) ; classeur v8, onglets 3_ et 12_sinistralite_variantes.</t>
        </is>
      </c>
      <c r="G23" s="36" t="n">
        <v>1</v>
      </c>
      <c r="H23" s="36" t="n">
        <v>1</v>
      </c>
      <c r="I23" s="37" t="n">
        <v>46311</v>
      </c>
      <c r="J23" s="37" t="n">
        <v>46316</v>
      </c>
      <c r="K23" s="38" t="inlineStr">
        <is>
          <t>Effectuée</t>
        </is>
      </c>
      <c r="L23" s="39" t="n">
        <v>1</v>
      </c>
      <c r="M23" s="36">
        <f>IF($F$2="Données correctes",G23,H23)*L23</f>
        <v/>
      </c>
      <c r="N23" s="22" t="n"/>
      <c r="O23" s="22" t="n"/>
      <c r="P23" s="22" t="n"/>
      <c r="Q23" s="22" t="n"/>
      <c r="R23" s="22" t="n"/>
      <c r="S23" s="22" t="n"/>
      <c r="T23" s="22" t="n"/>
      <c r="U23" s="22" t="n"/>
      <c r="V23" s="22" t="n"/>
      <c r="W23" s="22" t="n"/>
      <c r="X23" s="22" t="n"/>
      <c r="Y23" s="22" t="n"/>
      <c r="Z23" s="22" t="n"/>
      <c r="AA23" s="22" t="n"/>
      <c r="AB23" s="22" t="n"/>
      <c r="AC23" s="22" t="n"/>
      <c r="AD23" s="22" t="n"/>
      <c r="AE23" s="22" t="n"/>
      <c r="AF23" s="22" t="n"/>
      <c r="AG23" s="22" t="n"/>
      <c r="AH23" s="22" t="n"/>
      <c r="AI23" s="22" t="n"/>
      <c r="AJ23" s="22" t="n"/>
      <c r="AK23" s="22" t="n"/>
      <c r="AL23" s="22" t="n"/>
      <c r="AM23" s="22" t="n"/>
      <c r="AN23" s="22" t="n"/>
      <c r="AO23" s="22" t="n"/>
      <c r="AP23" s="22" t="n"/>
      <c r="AQ23" s="22" t="n"/>
      <c r="AR23" s="22" t="n"/>
      <c r="AS23" s="22" t="n"/>
      <c r="AT23" s="22" t="n"/>
      <c r="AU23" s="22" t="n"/>
      <c r="AV23" s="22" t="n"/>
      <c r="AW23" s="22" t="n"/>
      <c r="AX23" s="22" t="n"/>
      <c r="AY23" s="22" t="n"/>
      <c r="AZ23" s="22" t="n"/>
      <c r="BA23" s="22" t="n"/>
      <c r="BB23" s="22" t="n"/>
      <c r="BC23" s="22" t="n"/>
      <c r="BD23" s="22" t="n"/>
      <c r="BE23" s="22" t="n"/>
      <c r="BF23" s="22" t="n"/>
      <c r="BG23" s="22" t="n"/>
      <c r="BH23" s="22" t="n"/>
      <c r="BI23" s="22" t="n"/>
      <c r="BJ23" s="22" t="n"/>
    </row>
    <row r="24" ht="30" customHeight="1">
      <c r="A24" s="23" t="inlineStr">
        <is>
          <t>3.3</t>
        </is>
      </c>
      <c r="B24" s="24" t="inlineStr">
        <is>
          <t>Analyser l'épargne (PEP, EFC), les prêts du Grenier, les retraités CGRAE et les produits annexes</t>
        </is>
      </c>
      <c r="C24" s="25" t="inlineStr">
        <is>
          <t>Actuaire Adenka</t>
        </is>
      </c>
      <c r="D24" s="24" t="inlineStr">
        <is>
          <t>Chef comptable</t>
        </is>
      </c>
      <c r="E24" s="8" t="n"/>
      <c r="F24" s="27" t="inlineStr">
        <is>
          <t>Rapport v8, parties 6 à 8 (diapositives 62 à 81) ; classeur v8, onglets 4_, 5_ et 6_.</t>
        </is>
      </c>
      <c r="G24" s="28" t="n">
        <v>0.5</v>
      </c>
      <c r="H24" s="28" t="n">
        <v>0.5</v>
      </c>
      <c r="I24" s="29" t="n">
        <v>46311</v>
      </c>
      <c r="J24" s="29" t="n">
        <v>46316</v>
      </c>
      <c r="K24" s="30" t="inlineStr">
        <is>
          <t>Effectuée</t>
        </is>
      </c>
      <c r="L24" s="31" t="n">
        <v>1</v>
      </c>
      <c r="M24" s="28">
        <f>IF($F$2="Données correctes",G24,H24)*L24</f>
        <v/>
      </c>
      <c r="N24" s="22" t="n"/>
      <c r="O24" s="22" t="n"/>
      <c r="P24" s="22" t="n"/>
      <c r="Q24" s="22" t="n"/>
      <c r="R24" s="22" t="n"/>
      <c r="S24" s="22" t="n"/>
      <c r="T24" s="22" t="n"/>
      <c r="U24" s="22" t="n"/>
      <c r="V24" s="22" t="n"/>
      <c r="W24" s="22" t="n"/>
      <c r="X24" s="22" t="n"/>
      <c r="Y24" s="22" t="n"/>
      <c r="Z24" s="22" t="n"/>
      <c r="AA24" s="22" t="n"/>
      <c r="AB24" s="22" t="n"/>
      <c r="AC24" s="22" t="n"/>
      <c r="AD24" s="22" t="n"/>
      <c r="AE24" s="22" t="n"/>
      <c r="AF24" s="22" t="n"/>
      <c r="AG24" s="22" t="n"/>
      <c r="AH24" s="22" t="n"/>
      <c r="AI24" s="22" t="n"/>
      <c r="AJ24" s="22" t="n"/>
      <c r="AK24" s="22" t="n"/>
      <c r="AL24" s="22" t="n"/>
      <c r="AM24" s="22" t="n"/>
      <c r="AN24" s="22" t="n"/>
      <c r="AO24" s="22" t="n"/>
      <c r="AP24" s="22" t="n"/>
      <c r="AQ24" s="22" t="n"/>
      <c r="AR24" s="22" t="n"/>
      <c r="AS24" s="22" t="n"/>
      <c r="AT24" s="22" t="n"/>
      <c r="AU24" s="22" t="n"/>
      <c r="AV24" s="22" t="n"/>
      <c r="AW24" s="22" t="n"/>
      <c r="AX24" s="22" t="n"/>
      <c r="AY24" s="22" t="n"/>
      <c r="AZ24" s="22" t="n"/>
      <c r="BA24" s="22" t="n"/>
      <c r="BB24" s="22" t="n"/>
      <c r="BC24" s="22" t="n"/>
      <c r="BD24" s="22" t="n"/>
      <c r="BE24" s="22" t="n"/>
      <c r="BF24" s="22" t="n"/>
      <c r="BG24" s="22" t="n"/>
      <c r="BH24" s="22" t="n"/>
      <c r="BI24" s="22" t="n"/>
      <c r="BJ24" s="22" t="n"/>
    </row>
    <row r="25" ht="43" customHeight="1">
      <c r="A25" s="32" t="inlineStr">
        <is>
          <t>3.4</t>
        </is>
      </c>
      <c r="B25" s="33" t="inlineStr">
        <is>
          <t>Construire le modèle d'évaluation par garantie (décès et allocations, maladie, EFC, PEP) : formules, tables, taux, données individuelles</t>
        </is>
      </c>
      <c r="C25" s="34" t="inlineStr">
        <is>
          <t>Actuaire Adenka</t>
        </is>
      </c>
      <c r="D25" s="33" t="inlineStr"/>
      <c r="E25" s="8" t="n"/>
      <c r="F25" s="35" t="inlineStr">
        <is>
          <t>Méthodes posées (Rapport v8, partie 12, diapositives 159 à 165 ; registre des formules, onglet 11_formules). Modèle non chiffré faute de bases individuelles.</t>
        </is>
      </c>
      <c r="G25" s="36" t="n">
        <v>1.5</v>
      </c>
      <c r="H25" s="36" t="n">
        <v>2</v>
      </c>
      <c r="I25" s="37" t="n">
        <v>46318</v>
      </c>
      <c r="J25" s="37" t="n">
        <v>46331</v>
      </c>
      <c r="K25" s="38" t="inlineStr">
        <is>
          <t>En cours</t>
        </is>
      </c>
      <c r="L25" s="39" t="n">
        <v>0.2</v>
      </c>
      <c r="M25" s="36">
        <f>IF($F$2="Données correctes",G25,H25)*L25</f>
        <v/>
      </c>
      <c r="N25" s="22" t="n"/>
      <c r="O25" s="22" t="n"/>
      <c r="P25" s="22" t="n"/>
      <c r="Q25" s="22" t="n"/>
      <c r="R25" s="22" t="n"/>
      <c r="S25" s="22" t="n"/>
      <c r="T25" s="22" t="n"/>
      <c r="U25" s="22" t="n"/>
      <c r="V25" s="22" t="n"/>
      <c r="W25" s="22" t="n"/>
      <c r="X25" s="22" t="n"/>
      <c r="Y25" s="22" t="n"/>
      <c r="Z25" s="22" t="n"/>
      <c r="AA25" s="22" t="n"/>
      <c r="AB25" s="22" t="n"/>
      <c r="AC25" s="22" t="n"/>
      <c r="AD25" s="22" t="n"/>
      <c r="AE25" s="22" t="n"/>
      <c r="AF25" s="22" t="n"/>
      <c r="AG25" s="22" t="n"/>
      <c r="AH25" s="22" t="n"/>
      <c r="AI25" s="22" t="n"/>
      <c r="AJ25" s="22" t="n"/>
      <c r="AK25" s="22" t="n"/>
      <c r="AL25" s="22" t="n"/>
      <c r="AM25" s="22" t="n"/>
      <c r="AN25" s="22" t="n"/>
      <c r="AO25" s="22" t="n"/>
      <c r="AP25" s="22" t="n"/>
      <c r="AQ25" s="22" t="n"/>
      <c r="AR25" s="22" t="n"/>
      <c r="AS25" s="22" t="n"/>
      <c r="AT25" s="22" t="n"/>
      <c r="AU25" s="22" t="n"/>
      <c r="AV25" s="22" t="n"/>
      <c r="AW25" s="22" t="n"/>
      <c r="AX25" s="22" t="n"/>
      <c r="AY25" s="22" t="n"/>
      <c r="AZ25" s="22" t="n"/>
      <c r="BA25" s="22" t="n"/>
      <c r="BB25" s="22" t="n"/>
      <c r="BC25" s="22" t="n"/>
      <c r="BD25" s="22" t="n"/>
      <c r="BE25" s="22" t="n"/>
      <c r="BF25" s="22" t="n"/>
      <c r="BG25" s="22" t="n"/>
      <c r="BH25" s="22" t="n"/>
      <c r="BI25" s="22" t="n"/>
      <c r="BJ25" s="22" t="n"/>
    </row>
    <row r="26" ht="43" customHeight="1">
      <c r="A26" s="23" t="inlineStr">
        <is>
          <t>3.5</t>
        </is>
      </c>
      <c r="B26" s="24" t="inlineStr">
        <is>
          <t>Lancer le modèle aux 8 dates d'arrêté (31/12/2019 à 31/12/2025 et 31/08/2026) et expliquer l'évolution des engagements</t>
        </is>
      </c>
      <c r="C26" s="25" t="inlineStr">
        <is>
          <t>Actuaire Adenka</t>
        </is>
      </c>
      <c r="D26" s="24" t="inlineStr"/>
      <c r="E26" s="8" t="n"/>
      <c r="F26" s="27" t="inlineStr">
        <is>
          <t>Attente des fichiers des mutualistes et des ayants droit à chaque date et des bases de prestations. Items PBC attendus : 9, 10, 66, 13, 28, 40, 71.</t>
        </is>
      </c>
      <c r="G26" s="28" t="n">
        <v>1.5</v>
      </c>
      <c r="H26" s="28" t="n">
        <v>2.5</v>
      </c>
      <c r="I26" s="29" t="n">
        <v>46329</v>
      </c>
      <c r="J26" s="29" t="n">
        <v>46339</v>
      </c>
      <c r="K26" s="30" t="inlineStr">
        <is>
          <t>Bloquée</t>
        </is>
      </c>
      <c r="L26" s="31" t="n">
        <v>0</v>
      </c>
      <c r="M26" s="28">
        <f>IF($F$2="Données correctes",G26,H26)*L26</f>
        <v/>
      </c>
      <c r="N26" s="22" t="n"/>
      <c r="O26" s="22" t="n"/>
      <c r="P26" s="22" t="n"/>
      <c r="Q26" s="22" t="n"/>
      <c r="R26" s="22" t="n"/>
      <c r="S26" s="22" t="n"/>
      <c r="T26" s="22" t="n"/>
      <c r="U26" s="22" t="n"/>
      <c r="V26" s="22" t="n"/>
      <c r="W26" s="22" t="n"/>
      <c r="X26" s="22" t="n"/>
      <c r="Y26" s="22" t="n"/>
      <c r="Z26" s="22" t="n"/>
      <c r="AA26" s="22" t="n"/>
      <c r="AB26" s="22" t="n"/>
      <c r="AC26" s="22" t="n"/>
      <c r="AD26" s="22" t="n"/>
      <c r="AE26" s="22" t="n"/>
      <c r="AF26" s="22" t="n"/>
      <c r="AG26" s="22" t="n"/>
      <c r="AH26" s="22" t="n"/>
      <c r="AI26" s="22" t="n"/>
      <c r="AJ26" s="22" t="n"/>
      <c r="AK26" s="22" t="n"/>
      <c r="AL26" s="22" t="n"/>
      <c r="AM26" s="22" t="n"/>
      <c r="AN26" s="22" t="n"/>
      <c r="AO26" s="22" t="n"/>
      <c r="AP26" s="22" t="n"/>
      <c r="AQ26" s="22" t="n"/>
      <c r="AR26" s="22" t="n"/>
      <c r="AS26" s="22" t="n"/>
      <c r="AT26" s="22" t="n"/>
      <c r="AU26" s="22" t="n"/>
      <c r="AV26" s="22" t="n"/>
      <c r="AW26" s="22" t="n"/>
      <c r="AX26" s="22" t="n"/>
      <c r="AY26" s="22" t="n"/>
      <c r="AZ26" s="22" t="n"/>
      <c r="BA26" s="22" t="n"/>
      <c r="BB26" s="22" t="n"/>
      <c r="BC26" s="22" t="n"/>
      <c r="BD26" s="22" t="n"/>
      <c r="BE26" s="22" t="n"/>
      <c r="BF26" s="22" t="n"/>
      <c r="BG26" s="22" t="n"/>
      <c r="BH26" s="22" t="n"/>
      <c r="BI26" s="22" t="n"/>
      <c r="BJ26" s="22" t="n"/>
    </row>
    <row r="27" ht="30" customHeight="1">
      <c r="A27" s="32" t="inlineStr">
        <is>
          <t>3.6</t>
        </is>
      </c>
      <c r="B27" s="33" t="inlineStr">
        <is>
          <t>Conclure sur les engagements envers les adhérents et leurs ayants droit</t>
        </is>
      </c>
      <c r="C27" s="34" t="inlineStr">
        <is>
          <t>Actuaire Adenka</t>
        </is>
      </c>
      <c r="D27" s="33" t="inlineStr"/>
      <c r="E27" s="8" t="n"/>
      <c r="F27" s="35" t="inlineStr">
        <is>
          <t>Conclusion provisoire (Rapport v8, diapositive 93), à confirmer par le modèle.</t>
        </is>
      </c>
      <c r="G27" s="36" t="n">
        <v>0.5</v>
      </c>
      <c r="H27" s="36" t="n">
        <v>1</v>
      </c>
      <c r="I27" s="37" t="n">
        <v>46316</v>
      </c>
      <c r="J27" s="37" t="n">
        <v>46339</v>
      </c>
      <c r="K27" s="38" t="inlineStr">
        <is>
          <t>En cours</t>
        </is>
      </c>
      <c r="L27" s="39" t="n">
        <v>0.3</v>
      </c>
      <c r="M27" s="36">
        <f>IF($F$2="Données correctes",G27,H27)*L27</f>
        <v/>
      </c>
      <c r="N27" s="22" t="n"/>
      <c r="O27" s="22" t="n"/>
      <c r="P27" s="22" t="n"/>
      <c r="Q27" s="22" t="n"/>
      <c r="R27" s="22" t="n"/>
      <c r="S27" s="22" t="n"/>
      <c r="T27" s="22" t="n"/>
      <c r="U27" s="22" t="n"/>
      <c r="V27" s="22" t="n"/>
      <c r="W27" s="22" t="n"/>
      <c r="X27" s="22" t="n"/>
      <c r="Y27" s="22" t="n"/>
      <c r="Z27" s="22" t="n"/>
      <c r="AA27" s="22" t="n"/>
      <c r="AB27" s="22" t="n"/>
      <c r="AC27" s="22" t="n"/>
      <c r="AD27" s="22" t="n"/>
      <c r="AE27" s="22" t="n"/>
      <c r="AF27" s="22" t="n"/>
      <c r="AG27" s="22" t="n"/>
      <c r="AH27" s="22" t="n"/>
      <c r="AI27" s="22" t="n"/>
      <c r="AJ27" s="22" t="n"/>
      <c r="AK27" s="22" t="n"/>
      <c r="AL27" s="22" t="n"/>
      <c r="AM27" s="22" t="n"/>
      <c r="AN27" s="22" t="n"/>
      <c r="AO27" s="22" t="n"/>
      <c r="AP27" s="22" t="n"/>
      <c r="AQ27" s="22" t="n"/>
      <c r="AR27" s="22" t="n"/>
      <c r="AS27" s="22" t="n"/>
      <c r="AT27" s="22" t="n"/>
      <c r="AU27" s="22" t="n"/>
      <c r="AV27" s="22" t="n"/>
      <c r="AW27" s="22" t="n"/>
      <c r="AX27" s="22" t="n"/>
      <c r="AY27" s="22" t="n"/>
      <c r="AZ27" s="22" t="n"/>
      <c r="BA27" s="22" t="n"/>
      <c r="BB27" s="22" t="n"/>
      <c r="BC27" s="22" t="n"/>
      <c r="BD27" s="22" t="n"/>
      <c r="BE27" s="22" t="n"/>
      <c r="BF27" s="22" t="n"/>
      <c r="BG27" s="22" t="n"/>
      <c r="BH27" s="22" t="n"/>
      <c r="BI27" s="22" t="n"/>
      <c r="BJ27" s="22" t="n"/>
    </row>
    <row r="28" ht="32" customHeight="1">
      <c r="A28" s="15" t="n">
        <v>4</v>
      </c>
      <c r="B28" s="16" t="inlineStr">
        <is>
          <t>Phase 4 : Revue des provisions</t>
        </is>
      </c>
      <c r="C28" s="16" t="inlineStr"/>
      <c r="D28" s="16" t="inlineStr"/>
      <c r="E28" s="16" t="inlineStr"/>
      <c r="F28" s="17" t="inlineStr">
        <is>
          <t>Estimation : Comparer les provisions au bilan avec mon recalcul, et les provisions passées avec les paiements réels.</t>
        </is>
      </c>
      <c r="G28" s="18">
        <f>SUM(G29:G33)</f>
        <v/>
      </c>
      <c r="H28" s="18">
        <f>SUM(H29:H33)</f>
        <v/>
      </c>
      <c r="I28" s="19">
        <f>MIN(I29:I33)</f>
        <v/>
      </c>
      <c r="J28" s="19">
        <f>MAX(J29:J33)</f>
        <v/>
      </c>
      <c r="K28" s="20">
        <f>IF(L28&gt;=1,"Effectuée",IF(AND(L28=0,COUNTIF(K29:K33,"Bloquée")&gt;0),"Bloquée",IF(L28=0,"Non réalisée","En cours")))</f>
        <v/>
      </c>
      <c r="L28" s="21">
        <f>IFERROR(M28/IF($F$2="Données correctes",G28,H28),0)</f>
        <v/>
      </c>
      <c r="M28" s="18">
        <f>SUM(M29:M33)</f>
        <v/>
      </c>
      <c r="N28" s="22" t="n"/>
      <c r="O28" s="22" t="n"/>
      <c r="P28" s="22" t="n"/>
      <c r="Q28" s="22" t="n"/>
      <c r="R28" s="22" t="n"/>
      <c r="S28" s="22" t="n"/>
      <c r="T28" s="22" t="n"/>
      <c r="U28" s="22" t="n"/>
      <c r="V28" s="22" t="n"/>
      <c r="W28" s="22" t="n"/>
      <c r="X28" s="22" t="n"/>
      <c r="Y28" s="22" t="n"/>
      <c r="Z28" s="22" t="n"/>
      <c r="AA28" s="22" t="n"/>
      <c r="AB28" s="22" t="n"/>
      <c r="AC28" s="22" t="n"/>
      <c r="AD28" s="22" t="n"/>
      <c r="AE28" s="22" t="n"/>
      <c r="AF28" s="22" t="n"/>
      <c r="AG28" s="22" t="n"/>
      <c r="AH28" s="22" t="n"/>
      <c r="AI28" s="22" t="n"/>
      <c r="AJ28" s="22" t="n"/>
      <c r="AK28" s="22" t="n"/>
      <c r="AL28" s="22" t="n"/>
      <c r="AM28" s="22" t="n"/>
      <c r="AN28" s="22" t="n"/>
      <c r="AO28" s="22" t="n"/>
      <c r="AP28" s="22" t="n"/>
      <c r="AQ28" s="22" t="n"/>
      <c r="AR28" s="22" t="n"/>
      <c r="AS28" s="22" t="n"/>
      <c r="AT28" s="22" t="n"/>
      <c r="AU28" s="22" t="n"/>
      <c r="AV28" s="22" t="n"/>
      <c r="AW28" s="22" t="n"/>
      <c r="AX28" s="22" t="n"/>
      <c r="AY28" s="22" t="n"/>
      <c r="AZ28" s="22" t="n"/>
      <c r="BA28" s="22" t="n"/>
      <c r="BB28" s="22" t="n"/>
      <c r="BC28" s="22" t="n"/>
      <c r="BD28" s="22" t="n"/>
      <c r="BE28" s="22" t="n"/>
      <c r="BF28" s="22" t="n"/>
      <c r="BG28" s="22" t="n"/>
      <c r="BH28" s="22" t="n"/>
      <c r="BI28" s="22" t="n"/>
      <c r="BJ28" s="22" t="n"/>
    </row>
    <row r="29" ht="43" customHeight="1">
      <c r="A29" s="23" t="inlineStr">
        <is>
          <t>4.1</t>
        </is>
      </c>
      <c r="B29" s="24" t="inlineStr">
        <is>
          <t>Inventorier les provisions et dépréciations au bilan par nature et par date, et choisir les formules de contrôle</t>
        </is>
      </c>
      <c r="C29" s="25" t="inlineStr">
        <is>
          <t>Actuaire Adenka</t>
        </is>
      </c>
      <c r="D29" s="24" t="inlineStr">
        <is>
          <t>Chef comptable</t>
        </is>
      </c>
      <c r="E29" s="26" t="inlineStr">
        <is>
          <t>- Revue des provisions (rapport, partie 9)
- Recalcul des provisions et tableau de liquidation
- Conclusion sur la suffisance des provisions</t>
        </is>
      </c>
      <c r="F29" s="27" t="inlineStr">
        <is>
          <t>Rapport v8, diapositives 84 à 87 ; classeur v8, onglets 12_provisions_inventaire, 12_psap_rapprochement et 8_provisions_mois.</t>
        </is>
      </c>
      <c r="G29" s="28" t="n">
        <v>0.5</v>
      </c>
      <c r="H29" s="28" t="n">
        <v>0.75</v>
      </c>
      <c r="I29" s="29" t="n">
        <v>46314</v>
      </c>
      <c r="J29" s="29" t="n">
        <v>46316</v>
      </c>
      <c r="K29" s="30" t="inlineStr">
        <is>
          <t>Effectuée</t>
        </is>
      </c>
      <c r="L29" s="31" t="n">
        <v>1</v>
      </c>
      <c r="M29" s="28">
        <f>IF($F$2="Données correctes",G29,H29)*L29</f>
        <v/>
      </c>
      <c r="N29" s="22" t="n"/>
      <c r="O29" s="22" t="n"/>
      <c r="P29" s="22" t="n"/>
      <c r="Q29" s="22" t="n"/>
      <c r="R29" s="22" t="n"/>
      <c r="S29" s="22" t="n"/>
      <c r="T29" s="22" t="n"/>
      <c r="U29" s="22" t="n"/>
      <c r="V29" s="22" t="n"/>
      <c r="W29" s="22" t="n"/>
      <c r="X29" s="22" t="n"/>
      <c r="Y29" s="22" t="n"/>
      <c r="Z29" s="22" t="n"/>
      <c r="AA29" s="22" t="n"/>
      <c r="AB29" s="22" t="n"/>
      <c r="AC29" s="22" t="n"/>
      <c r="AD29" s="22" t="n"/>
      <c r="AE29" s="22" t="n"/>
      <c r="AF29" s="22" t="n"/>
      <c r="AG29" s="22" t="n"/>
      <c r="AH29" s="22" t="n"/>
      <c r="AI29" s="22" t="n"/>
      <c r="AJ29" s="22" t="n"/>
      <c r="AK29" s="22" t="n"/>
      <c r="AL29" s="22" t="n"/>
      <c r="AM29" s="22" t="n"/>
      <c r="AN29" s="22" t="n"/>
      <c r="AO29" s="22" t="n"/>
      <c r="AP29" s="22" t="n"/>
      <c r="AQ29" s="22" t="n"/>
      <c r="AR29" s="22" t="n"/>
      <c r="AS29" s="22" t="n"/>
      <c r="AT29" s="22" t="n"/>
      <c r="AU29" s="22" t="n"/>
      <c r="AV29" s="22" t="n"/>
      <c r="AW29" s="22" t="n"/>
      <c r="AX29" s="22" t="n"/>
      <c r="AY29" s="22" t="n"/>
      <c r="AZ29" s="22" t="n"/>
      <c r="BA29" s="22" t="n"/>
      <c r="BB29" s="22" t="n"/>
      <c r="BC29" s="22" t="n"/>
      <c r="BD29" s="22" t="n"/>
      <c r="BE29" s="22" t="n"/>
      <c r="BF29" s="22" t="n"/>
      <c r="BG29" s="22" t="n"/>
      <c r="BH29" s="22" t="n"/>
      <c r="BI29" s="22" t="n"/>
      <c r="BJ29" s="22" t="n"/>
    </row>
    <row r="30" ht="56" customHeight="1">
      <c r="A30" s="32" t="inlineStr">
        <is>
          <t>4.2</t>
        </is>
      </c>
      <c r="B30" s="33" t="inlineStr">
        <is>
          <t>Recalculer la provision pour prestations à payer maladie (sinistres tardifs par Chain Ladder) et la provision pour allocations décès</t>
        </is>
      </c>
      <c r="C30" s="34" t="inlineStr">
        <is>
          <t>Actuaire Adenka</t>
        </is>
      </c>
      <c r="D30" s="33" t="inlineStr">
        <is>
          <t>Chef comptable ; chef de service Assurance, sinistres et prestations</t>
        </is>
      </c>
      <c r="E30" s="8" t="n"/>
      <c r="F30" s="35" t="inlineStr">
        <is>
          <t>Méthodes présentées (Rapport v8, diapositives 88, 89 et 162). Triangles non constructibles sans dossiers non payés ni dates de survenance. Items PBC attendus : 14, 29, 71, 72, 92.</t>
        </is>
      </c>
      <c r="G30" s="36" t="n">
        <v>1</v>
      </c>
      <c r="H30" s="36" t="n">
        <v>1.75</v>
      </c>
      <c r="I30" s="37" t="n">
        <v>46322</v>
      </c>
      <c r="J30" s="37" t="n">
        <v>46338</v>
      </c>
      <c r="K30" s="38" t="inlineStr">
        <is>
          <t>Bloquée</t>
        </is>
      </c>
      <c r="L30" s="39" t="n">
        <v>0.25</v>
      </c>
      <c r="M30" s="36">
        <f>IF($F$2="Données correctes",G30,H30)*L30</f>
        <v/>
      </c>
      <c r="N30" s="22" t="n"/>
      <c r="O30" s="22" t="n"/>
      <c r="P30" s="22" t="n"/>
      <c r="Q30" s="22" t="n"/>
      <c r="R30" s="22" t="n"/>
      <c r="S30" s="22" t="n"/>
      <c r="T30" s="22" t="n"/>
      <c r="U30" s="22" t="n"/>
      <c r="V30" s="22" t="n"/>
      <c r="W30" s="22" t="n"/>
      <c r="X30" s="22" t="n"/>
      <c r="Y30" s="22" t="n"/>
      <c r="Z30" s="22" t="n"/>
      <c r="AA30" s="22" t="n"/>
      <c r="AB30" s="22" t="n"/>
      <c r="AC30" s="22" t="n"/>
      <c r="AD30" s="22" t="n"/>
      <c r="AE30" s="22" t="n"/>
      <c r="AF30" s="22" t="n"/>
      <c r="AG30" s="22" t="n"/>
      <c r="AH30" s="22" t="n"/>
      <c r="AI30" s="22" t="n"/>
      <c r="AJ30" s="22" t="n"/>
      <c r="AK30" s="22" t="n"/>
      <c r="AL30" s="22" t="n"/>
      <c r="AM30" s="22" t="n"/>
      <c r="AN30" s="22" t="n"/>
      <c r="AO30" s="22" t="n"/>
      <c r="AP30" s="22" t="n"/>
      <c r="AQ30" s="22" t="n"/>
      <c r="AR30" s="22" t="n"/>
      <c r="AS30" s="22" t="n"/>
      <c r="AT30" s="22" t="n"/>
      <c r="AU30" s="22" t="n"/>
      <c r="AV30" s="22" t="n"/>
      <c r="AW30" s="22" t="n"/>
      <c r="AX30" s="22" t="n"/>
      <c r="AY30" s="22" t="n"/>
      <c r="AZ30" s="22" t="n"/>
      <c r="BA30" s="22" t="n"/>
      <c r="BB30" s="22" t="n"/>
      <c r="BC30" s="22" t="n"/>
      <c r="BD30" s="22" t="n"/>
      <c r="BE30" s="22" t="n"/>
      <c r="BF30" s="22" t="n"/>
      <c r="BG30" s="22" t="n"/>
      <c r="BH30" s="22" t="n"/>
      <c r="BI30" s="22" t="n"/>
      <c r="BJ30" s="22" t="n"/>
    </row>
    <row r="31" ht="30" customHeight="1">
      <c r="A31" s="23" t="inlineStr">
        <is>
          <t>4.3</t>
        </is>
      </c>
      <c r="B31" s="24" t="inlineStr">
        <is>
          <t>Comparer les provisions passées avec les paiements réels (boni et mali de liquidation)</t>
        </is>
      </c>
      <c r="C31" s="25" t="inlineStr">
        <is>
          <t>Actuaire Adenka</t>
        </is>
      </c>
      <c r="D31" s="24" t="inlineStr">
        <is>
          <t>Chef comptable</t>
        </is>
      </c>
      <c r="E31" s="8" t="n"/>
      <c r="F31" s="27" t="inlineStr">
        <is>
          <t>Attente des bases de prestations avec dates de survenance et de paiement. Items PBC attendus : 13, 28, 71.</t>
        </is>
      </c>
      <c r="G31" s="28" t="n">
        <v>0.5</v>
      </c>
      <c r="H31" s="28" t="n">
        <v>1</v>
      </c>
      <c r="I31" s="29" t="n">
        <v>46331</v>
      </c>
      <c r="J31" s="29" t="n">
        <v>46339</v>
      </c>
      <c r="K31" s="30" t="inlineStr">
        <is>
          <t>Bloquée</t>
        </is>
      </c>
      <c r="L31" s="31" t="n">
        <v>0</v>
      </c>
      <c r="M31" s="28">
        <f>IF($F$2="Données correctes",G31,H31)*L31</f>
        <v/>
      </c>
      <c r="N31" s="22" t="n"/>
      <c r="O31" s="22" t="n"/>
      <c r="P31" s="22" t="n"/>
      <c r="Q31" s="22" t="n"/>
      <c r="R31" s="22" t="n"/>
      <c r="S31" s="22" t="n"/>
      <c r="T31" s="22" t="n"/>
      <c r="U31" s="22" t="n"/>
      <c r="V31" s="22" t="n"/>
      <c r="W31" s="22" t="n"/>
      <c r="X31" s="22" t="n"/>
      <c r="Y31" s="22" t="n"/>
      <c r="Z31" s="22" t="n"/>
      <c r="AA31" s="22" t="n"/>
      <c r="AB31" s="22" t="n"/>
      <c r="AC31" s="22" t="n"/>
      <c r="AD31" s="22" t="n"/>
      <c r="AE31" s="22" t="n"/>
      <c r="AF31" s="22" t="n"/>
      <c r="AG31" s="22" t="n"/>
      <c r="AH31" s="22" t="n"/>
      <c r="AI31" s="22" t="n"/>
      <c r="AJ31" s="22" t="n"/>
      <c r="AK31" s="22" t="n"/>
      <c r="AL31" s="22" t="n"/>
      <c r="AM31" s="22" t="n"/>
      <c r="AN31" s="22" t="n"/>
      <c r="AO31" s="22" t="n"/>
      <c r="AP31" s="22" t="n"/>
      <c r="AQ31" s="22" t="n"/>
      <c r="AR31" s="22" t="n"/>
      <c r="AS31" s="22" t="n"/>
      <c r="AT31" s="22" t="n"/>
      <c r="AU31" s="22" t="n"/>
      <c r="AV31" s="22" t="n"/>
      <c r="AW31" s="22" t="n"/>
      <c r="AX31" s="22" t="n"/>
      <c r="AY31" s="22" t="n"/>
      <c r="AZ31" s="22" t="n"/>
      <c r="BA31" s="22" t="n"/>
      <c r="BB31" s="22" t="n"/>
      <c r="BC31" s="22" t="n"/>
      <c r="BD31" s="22" t="n"/>
      <c r="BE31" s="22" t="n"/>
      <c r="BF31" s="22" t="n"/>
      <c r="BG31" s="22" t="n"/>
      <c r="BH31" s="22" t="n"/>
      <c r="BI31" s="22" t="n"/>
      <c r="BJ31" s="22" t="n"/>
    </row>
    <row r="32" ht="56" customHeight="1">
      <c r="A32" s="32" t="inlineStr">
        <is>
          <t>4.4</t>
        </is>
      </c>
      <c r="B32" s="33" t="inlineStr">
        <is>
          <t>Revoir les autres provisions : dépréciation des prêts du Grenier, compte GNA (flotte automobile), départ à la retraite du personnel</t>
        </is>
      </c>
      <c r="C32" s="34" t="inlineStr">
        <is>
          <t>Actuaire Adenka</t>
        </is>
      </c>
      <c r="D32" s="33" t="inlineStr">
        <is>
          <t>Chef comptable</t>
        </is>
      </c>
      <c r="E32" s="8" t="n"/>
      <c r="F32" s="35" t="inlineStr">
        <is>
          <t>Rapport v8, diapositives 90 à 92 ; classeur v8, onglets 12_grenier_tranches, 12_gna_47111106 et 12_pidr_196. Reste : notes de calcul et fichier du personnel complet. Items PBC attendus : 75, 78, 98, 103.</t>
        </is>
      </c>
      <c r="G32" s="36" t="n">
        <v>0.5</v>
      </c>
      <c r="H32" s="36" t="n">
        <v>0.75</v>
      </c>
      <c r="I32" s="37" t="n">
        <v>46315</v>
      </c>
      <c r="J32" s="37" t="n">
        <v>46332</v>
      </c>
      <c r="K32" s="38" t="inlineStr">
        <is>
          <t>En cours</t>
        </is>
      </c>
      <c r="L32" s="39" t="n">
        <v>0.7</v>
      </c>
      <c r="M32" s="36">
        <f>IF($F$2="Données correctes",G32,H32)*L32</f>
        <v/>
      </c>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row>
    <row r="33" ht="30" customHeight="1">
      <c r="A33" s="23" t="inlineStr">
        <is>
          <t>4.5</t>
        </is>
      </c>
      <c r="B33" s="24" t="inlineStr">
        <is>
          <t>Conclure sur la suffisance des provisions</t>
        </is>
      </c>
      <c r="C33" s="25" t="inlineStr">
        <is>
          <t>Actuaire Adenka</t>
        </is>
      </c>
      <c r="D33" s="24" t="inlineStr"/>
      <c r="E33" s="8" t="n"/>
      <c r="F33" s="27" t="inlineStr">
        <is>
          <t>Conclusion provisoire (Rapport v8, diapositive 94).</t>
        </is>
      </c>
      <c r="G33" s="28" t="n">
        <v>0.5</v>
      </c>
      <c r="H33" s="28" t="n">
        <v>0.75</v>
      </c>
      <c r="I33" s="29" t="n">
        <v>46316</v>
      </c>
      <c r="J33" s="29" t="n">
        <v>46339</v>
      </c>
      <c r="K33" s="30" t="inlineStr">
        <is>
          <t>En cours</t>
        </is>
      </c>
      <c r="L33" s="31" t="n">
        <v>0.3</v>
      </c>
      <c r="M33" s="28">
        <f>IF($F$2="Données correctes",G33,H33)*L33</f>
        <v/>
      </c>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row>
    <row r="34" ht="32" customHeight="1">
      <c r="A34" s="15" t="n">
        <v>5</v>
      </c>
      <c r="B34" s="16" t="inlineStr">
        <is>
          <t>Phase 5 : Adossement et adéquation des placements</t>
        </is>
      </c>
      <c r="C34" s="16" t="inlineStr"/>
      <c r="D34" s="16" t="inlineStr"/>
      <c r="E34" s="16" t="inlineStr"/>
      <c r="F34" s="17" t="inlineStr">
        <is>
          <t>Estimation : Mettre actifs et engagements par échéance, mesurer la couverture et la liquidité.</t>
        </is>
      </c>
      <c r="G34" s="18">
        <f>SUM(G35:G39)</f>
        <v/>
      </c>
      <c r="H34" s="18">
        <f>SUM(H35:H39)</f>
        <v/>
      </c>
      <c r="I34" s="19">
        <f>MIN(I35:I39)</f>
        <v/>
      </c>
      <c r="J34" s="19">
        <f>MAX(J35:J39)</f>
        <v/>
      </c>
      <c r="K34" s="20">
        <f>IF(L34&gt;=1,"Effectuée",IF(AND(L34=0,COUNTIF(K35:K39,"Bloquée")&gt;0),"Bloquée",IF(L34=0,"Non réalisée","En cours")))</f>
        <v/>
      </c>
      <c r="L34" s="21">
        <f>IFERROR(M34/IF($F$2="Données correctes",G34,H34),0)</f>
        <v/>
      </c>
      <c r="M34" s="18">
        <f>SUM(M35:M39)</f>
        <v/>
      </c>
      <c r="N34" s="22" t="n"/>
      <c r="O34" s="22" t="n"/>
      <c r="P34" s="22" t="n"/>
      <c r="Q34" s="22" t="n"/>
      <c r="R34" s="22" t="n"/>
      <c r="S34" s="22" t="n"/>
      <c r="T34" s="22" t="n"/>
      <c r="U34" s="22" t="n"/>
      <c r="V34" s="22" t="n"/>
      <c r="W34" s="22" t="n"/>
      <c r="X34" s="22" t="n"/>
      <c r="Y34" s="22" t="n"/>
      <c r="Z34" s="22" t="n"/>
      <c r="AA34" s="22" t="n"/>
      <c r="AB34" s="22" t="n"/>
      <c r="AC34" s="22" t="n"/>
      <c r="AD34" s="22" t="n"/>
      <c r="AE34" s="22" t="n"/>
      <c r="AF34" s="22" t="n"/>
      <c r="AG34" s="22" t="n"/>
      <c r="AH34" s="22" t="n"/>
      <c r="AI34" s="22" t="n"/>
      <c r="AJ34" s="22" t="n"/>
      <c r="AK34" s="22" t="n"/>
      <c r="AL34" s="22" t="n"/>
      <c r="AM34" s="22" t="n"/>
      <c r="AN34" s="22" t="n"/>
      <c r="AO34" s="22" t="n"/>
      <c r="AP34" s="22" t="n"/>
      <c r="AQ34" s="22" t="n"/>
      <c r="AR34" s="22" t="n"/>
      <c r="AS34" s="22" t="n"/>
      <c r="AT34" s="22" t="n"/>
      <c r="AU34" s="22" t="n"/>
      <c r="AV34" s="22" t="n"/>
      <c r="AW34" s="22" t="n"/>
      <c r="AX34" s="22" t="n"/>
      <c r="AY34" s="22" t="n"/>
      <c r="AZ34" s="22" t="n"/>
      <c r="BA34" s="22" t="n"/>
      <c r="BB34" s="22" t="n"/>
      <c r="BC34" s="22" t="n"/>
      <c r="BD34" s="22" t="n"/>
      <c r="BE34" s="22" t="n"/>
      <c r="BF34" s="22" t="n"/>
      <c r="BG34" s="22" t="n"/>
      <c r="BH34" s="22" t="n"/>
      <c r="BI34" s="22" t="n"/>
      <c r="BJ34" s="22" t="n"/>
    </row>
    <row r="35" ht="43" customHeight="1">
      <c r="A35" s="23" t="inlineStr">
        <is>
          <t>5.1</t>
        </is>
      </c>
      <c r="B35" s="24" t="inlineStr">
        <is>
          <t>Décrire la structure de l'actif, les placements, leurs règles de valorisation et le circuit de décision des placements</t>
        </is>
      </c>
      <c r="C35" s="25" t="inlineStr">
        <is>
          <t>Actuaire Adenka</t>
        </is>
      </c>
      <c r="D35" s="24" t="inlineStr">
        <is>
          <t>Chef comptable ; direction générale</t>
        </is>
      </c>
      <c r="E35" s="26" t="inlineStr">
        <is>
          <t>- Adossement actif-passif (rapport, partie 9)
- Échéancier des actifs et des engagements
- Conclusion sur l'adéquation des placements</t>
        </is>
      </c>
      <c r="F35" s="27" t="inlineStr">
        <is>
          <t>Rapport v8, diapositives 95, 98, 104 et 105 ; compte rendu de l'entretien placements du 19/10/2026.</t>
        </is>
      </c>
      <c r="G35" s="28" t="n">
        <v>0.5</v>
      </c>
      <c r="H35" s="28" t="n">
        <v>0.5</v>
      </c>
      <c r="I35" s="29" t="n">
        <v>46314</v>
      </c>
      <c r="J35" s="29" t="n">
        <v>46316</v>
      </c>
      <c r="K35" s="30" t="inlineStr">
        <is>
          <t>Effectuée</t>
        </is>
      </c>
      <c r="L35" s="31" t="n">
        <v>1</v>
      </c>
      <c r="M35" s="28">
        <f>IF($F$2="Données correctes",G35,H35)*L35</f>
        <v/>
      </c>
      <c r="N35" s="22" t="n"/>
      <c r="O35" s="22" t="n"/>
      <c r="P35" s="22" t="n"/>
      <c r="Q35" s="22" t="n"/>
      <c r="R35" s="22" t="n"/>
      <c r="S35" s="22" t="n"/>
      <c r="T35" s="22" t="n"/>
      <c r="U35" s="22" t="n"/>
      <c r="V35" s="22" t="n"/>
      <c r="W35" s="22" t="n"/>
      <c r="X35" s="22" t="n"/>
      <c r="Y35" s="22" t="n"/>
      <c r="Z35" s="22" t="n"/>
      <c r="AA35" s="22" t="n"/>
      <c r="AB35" s="22" t="n"/>
      <c r="AC35" s="22" t="n"/>
      <c r="AD35" s="22" t="n"/>
      <c r="AE35" s="22" t="n"/>
      <c r="AF35" s="22" t="n"/>
      <c r="AG35" s="22" t="n"/>
      <c r="AH35" s="22" t="n"/>
      <c r="AI35" s="22" t="n"/>
      <c r="AJ35" s="22" t="n"/>
      <c r="AK35" s="22" t="n"/>
      <c r="AL35" s="22" t="n"/>
      <c r="AM35" s="22" t="n"/>
      <c r="AN35" s="22" t="n"/>
      <c r="AO35" s="22" t="n"/>
      <c r="AP35" s="22" t="n"/>
      <c r="AQ35" s="22" t="n"/>
      <c r="AR35" s="22" t="n"/>
      <c r="AS35" s="22" t="n"/>
      <c r="AT35" s="22" t="n"/>
      <c r="AU35" s="22" t="n"/>
      <c r="AV35" s="22" t="n"/>
      <c r="AW35" s="22" t="n"/>
      <c r="AX35" s="22" t="n"/>
      <c r="AY35" s="22" t="n"/>
      <c r="AZ35" s="22" t="n"/>
      <c r="BA35" s="22" t="n"/>
      <c r="BB35" s="22" t="n"/>
      <c r="BC35" s="22" t="n"/>
      <c r="BD35" s="22" t="n"/>
      <c r="BE35" s="22" t="n"/>
      <c r="BF35" s="22" t="n"/>
      <c r="BG35" s="22" t="n"/>
      <c r="BH35" s="22" t="n"/>
      <c r="BI35" s="22" t="n"/>
      <c r="BJ35" s="22" t="n"/>
    </row>
    <row r="36" ht="43" customHeight="1">
      <c r="A36" s="32" t="inlineStr">
        <is>
          <t>5.2</t>
        </is>
      </c>
      <c r="B36" s="33" t="inlineStr">
        <is>
          <t>Mesurer un adossement de liquidité provisoire (borne favorable) et des scénarios de couverture des engagements</t>
        </is>
      </c>
      <c r="C36" s="34" t="inlineStr">
        <is>
          <t>Actuaire Adenka</t>
        </is>
      </c>
      <c r="D36" s="33" t="inlineStr"/>
      <c r="E36" s="8" t="n"/>
      <c r="F36" s="35" t="inlineStr">
        <is>
          <t>Rapport v8, diapositives 96, 97, 99 et 100 ; classeur v8, onglets 10_actif_mobilisation et 8_sensibilite_retraits.</t>
        </is>
      </c>
      <c r="G36" s="36" t="n">
        <v>0.75</v>
      </c>
      <c r="H36" s="36" t="n">
        <v>0.75</v>
      </c>
      <c r="I36" s="37" t="n">
        <v>46315</v>
      </c>
      <c r="J36" s="37" t="n">
        <v>46316</v>
      </c>
      <c r="K36" s="38" t="inlineStr">
        <is>
          <t>Effectuée</t>
        </is>
      </c>
      <c r="L36" s="39" t="n">
        <v>1</v>
      </c>
      <c r="M36" s="36">
        <f>IF($F$2="Données correctes",G36,H36)*L36</f>
        <v/>
      </c>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2" t="n"/>
      <c r="AL36" s="22" t="n"/>
      <c r="AM36" s="22" t="n"/>
      <c r="AN36" s="22" t="n"/>
      <c r="AO36" s="22" t="n"/>
      <c r="AP36" s="22" t="n"/>
      <c r="AQ36" s="22" t="n"/>
      <c r="AR36" s="22" t="n"/>
      <c r="AS36" s="22" t="n"/>
      <c r="AT36" s="22" t="n"/>
      <c r="AU36" s="22" t="n"/>
      <c r="AV36" s="22" t="n"/>
      <c r="AW36" s="22" t="n"/>
      <c r="AX36" s="22" t="n"/>
      <c r="AY36" s="22" t="n"/>
      <c r="AZ36" s="22" t="n"/>
      <c r="BA36" s="22" t="n"/>
      <c r="BB36" s="22" t="n"/>
      <c r="BC36" s="22" t="n"/>
      <c r="BD36" s="22" t="n"/>
      <c r="BE36" s="22" t="n"/>
      <c r="BF36" s="22" t="n"/>
      <c r="BG36" s="22" t="n"/>
      <c r="BH36" s="22" t="n"/>
      <c r="BI36" s="22" t="n"/>
      <c r="BJ36" s="22" t="n"/>
    </row>
    <row r="37" ht="43" customHeight="1">
      <c r="A37" s="23" t="inlineStr">
        <is>
          <t>5.3</t>
        </is>
      </c>
      <c r="B37" s="24" t="inlineStr">
        <is>
          <t>Établir l'échéancier des actifs et des engagements et mesurer la couverture et la liquidité par échéance</t>
        </is>
      </c>
      <c r="C37" s="25" t="inlineStr">
        <is>
          <t>Actuaire Adenka</t>
        </is>
      </c>
      <c r="D37" s="24" t="inlineStr">
        <is>
          <t>Chef comptable</t>
        </is>
      </c>
      <c r="E37" s="8" t="n"/>
      <c r="F37" s="27" t="inlineStr">
        <is>
          <t>Attente de l'échéancier et de l'inventaire des placements, et des engagements par échéance (phase 3). Items PBC attendus : 20, 80, 81, 82.</t>
        </is>
      </c>
      <c r="G37" s="28" t="n">
        <v>1</v>
      </c>
      <c r="H37" s="28" t="n">
        <v>1.5</v>
      </c>
      <c r="I37" s="29" t="n">
        <v>46329</v>
      </c>
      <c r="J37" s="29" t="n">
        <v>46339</v>
      </c>
      <c r="K37" s="30" t="inlineStr">
        <is>
          <t>Bloquée</t>
        </is>
      </c>
      <c r="L37" s="31" t="n">
        <v>0.1</v>
      </c>
      <c r="M37" s="28">
        <f>IF($F$2="Données correctes",G37,H37)*L37</f>
        <v/>
      </c>
      <c r="N37" s="22" t="n"/>
      <c r="O37" s="22" t="n"/>
      <c r="P37" s="22" t="n"/>
      <c r="Q37" s="22" t="n"/>
      <c r="R37" s="22" t="n"/>
      <c r="S37" s="22" t="n"/>
      <c r="T37" s="22" t="n"/>
      <c r="U37" s="22" t="n"/>
      <c r="V37" s="22" t="n"/>
      <c r="W37" s="22" t="n"/>
      <c r="X37" s="22" t="n"/>
      <c r="Y37" s="22" t="n"/>
      <c r="Z37" s="22" t="n"/>
      <c r="AA37" s="22" t="n"/>
      <c r="AB37" s="22" t="n"/>
      <c r="AC37" s="22" t="n"/>
      <c r="AD37" s="22" t="n"/>
      <c r="AE37" s="22" t="n"/>
      <c r="AF37" s="22" t="n"/>
      <c r="AG37" s="22" t="n"/>
      <c r="AH37" s="22" t="n"/>
      <c r="AI37" s="22" t="n"/>
      <c r="AJ37" s="22" t="n"/>
      <c r="AK37" s="22" t="n"/>
      <c r="AL37" s="22" t="n"/>
      <c r="AM37" s="22" t="n"/>
      <c r="AN37" s="22" t="n"/>
      <c r="AO37" s="22" t="n"/>
      <c r="AP37" s="22" t="n"/>
      <c r="AQ37" s="22" t="n"/>
      <c r="AR37" s="22" t="n"/>
      <c r="AS37" s="22" t="n"/>
      <c r="AT37" s="22" t="n"/>
      <c r="AU37" s="22" t="n"/>
      <c r="AV37" s="22" t="n"/>
      <c r="AW37" s="22" t="n"/>
      <c r="AX37" s="22" t="n"/>
      <c r="AY37" s="22" t="n"/>
      <c r="AZ37" s="22" t="n"/>
      <c r="BA37" s="22" t="n"/>
      <c r="BB37" s="22" t="n"/>
      <c r="BC37" s="22" t="n"/>
      <c r="BD37" s="22" t="n"/>
      <c r="BE37" s="22" t="n"/>
      <c r="BF37" s="22" t="n"/>
      <c r="BG37" s="22" t="n"/>
      <c r="BH37" s="22" t="n"/>
      <c r="BI37" s="22" t="n"/>
      <c r="BJ37" s="22" t="n"/>
    </row>
    <row r="38" ht="30" customHeight="1">
      <c r="A38" s="32" t="inlineStr">
        <is>
          <t>5.4</t>
        </is>
      </c>
      <c r="B38" s="33" t="inlineStr">
        <is>
          <t>Mesurer le rendement des placements et le comparer aux taux du marché (rendements de l'État de Côte d'Ivoire)</t>
        </is>
      </c>
      <c r="C38" s="34" t="inlineStr">
        <is>
          <t>Actuaire Adenka</t>
        </is>
      </c>
      <c r="D38" s="33" t="inlineStr"/>
      <c r="E38" s="8" t="n"/>
      <c r="F38" s="35" t="inlineStr">
        <is>
          <t>Rapport v8, diapositives 106 et 150 ; classeur v8, onglets 7_rendement_placements et 13i_rendement.</t>
        </is>
      </c>
      <c r="G38" s="36" t="n">
        <v>0.25</v>
      </c>
      <c r="H38" s="36" t="n">
        <v>0.5</v>
      </c>
      <c r="I38" s="37" t="n">
        <v>46314</v>
      </c>
      <c r="J38" s="37" t="n">
        <v>46316</v>
      </c>
      <c r="K38" s="38" t="inlineStr">
        <is>
          <t>Effectuée</t>
        </is>
      </c>
      <c r="L38" s="39" t="n">
        <v>1</v>
      </c>
      <c r="M38" s="36">
        <f>IF($F$2="Données correctes",G38,H38)*L38</f>
        <v/>
      </c>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row>
    <row r="39" ht="30" customHeight="1">
      <c r="A39" s="23" t="inlineStr">
        <is>
          <t>5.5</t>
        </is>
      </c>
      <c r="B39" s="24" t="inlineStr">
        <is>
          <t>Conclure sur l'adossement actif-passif et l'adéquation des placements aux engagements</t>
        </is>
      </c>
      <c r="C39" s="25" t="inlineStr">
        <is>
          <t>Actuaire Adenka</t>
        </is>
      </c>
      <c r="D39" s="24" t="inlineStr"/>
      <c r="E39" s="8" t="n"/>
      <c r="F39" s="27" t="inlineStr">
        <is>
          <t>Conclusions provisoires (Rapport v8, diapositives 101 et 107).</t>
        </is>
      </c>
      <c r="G39" s="28" t="n">
        <v>0.5</v>
      </c>
      <c r="H39" s="28" t="n">
        <v>0.75</v>
      </c>
      <c r="I39" s="29" t="n">
        <v>46316</v>
      </c>
      <c r="J39" s="29" t="n">
        <v>46339</v>
      </c>
      <c r="K39" s="30" t="inlineStr">
        <is>
          <t>En cours</t>
        </is>
      </c>
      <c r="L39" s="31" t="n">
        <v>0.4</v>
      </c>
      <c r="M39" s="28">
        <f>IF($F$2="Données correctes",G39,H39)*L39</f>
        <v/>
      </c>
      <c r="N39" s="22" t="n"/>
      <c r="O39" s="22" t="n"/>
      <c r="P39" s="22" t="n"/>
      <c r="Q39" s="22" t="n"/>
      <c r="R39" s="22" t="n"/>
      <c r="S39" s="22" t="n"/>
      <c r="T39" s="22" t="n"/>
      <c r="U39" s="22" t="n"/>
      <c r="V39" s="22" t="n"/>
      <c r="W39" s="22" t="n"/>
      <c r="X39" s="22" t="n"/>
      <c r="Y39" s="22" t="n"/>
      <c r="Z39" s="22" t="n"/>
      <c r="AA39" s="22" t="n"/>
      <c r="AB39" s="22" t="n"/>
      <c r="AC39" s="22" t="n"/>
      <c r="AD39" s="22" t="n"/>
      <c r="AE39" s="22" t="n"/>
      <c r="AF39" s="22" t="n"/>
      <c r="AG39" s="22" t="n"/>
      <c r="AH39" s="22" t="n"/>
      <c r="AI39" s="22" t="n"/>
      <c r="AJ39" s="22" t="n"/>
      <c r="AK39" s="22" t="n"/>
      <c r="AL39" s="22" t="n"/>
      <c r="AM39" s="22" t="n"/>
      <c r="AN39" s="22" t="n"/>
      <c r="AO39" s="22" t="n"/>
      <c r="AP39" s="22" t="n"/>
      <c r="AQ39" s="22" t="n"/>
      <c r="AR39" s="22" t="n"/>
      <c r="AS39" s="22" t="n"/>
      <c r="AT39" s="22" t="n"/>
      <c r="AU39" s="22" t="n"/>
      <c r="AV39" s="22" t="n"/>
      <c r="AW39" s="22" t="n"/>
      <c r="AX39" s="22" t="n"/>
      <c r="AY39" s="22" t="n"/>
      <c r="AZ39" s="22" t="n"/>
      <c r="BA39" s="22" t="n"/>
      <c r="BB39" s="22" t="n"/>
      <c r="BC39" s="22" t="n"/>
      <c r="BD39" s="22" t="n"/>
      <c r="BE39" s="22" t="n"/>
      <c r="BF39" s="22" t="n"/>
      <c r="BG39" s="22" t="n"/>
      <c r="BH39" s="22" t="n"/>
      <c r="BI39" s="22" t="n"/>
      <c r="BJ39" s="22" t="n"/>
    </row>
    <row r="40" ht="32" customHeight="1">
      <c r="A40" s="15" t="n">
        <v>6</v>
      </c>
      <c r="B40" s="16" t="inlineStr">
        <is>
          <t>Phase 6 : Comparaison avec les indicateurs AIRMS</t>
        </is>
      </c>
      <c r="C40" s="16" t="inlineStr"/>
      <c r="D40" s="16" t="inlineStr"/>
      <c r="E40" s="16" t="inlineStr"/>
      <c r="F40" s="17" t="inlineStr">
        <is>
          <t>Estimation : Calculer les ratios du régulateur à chaque date.</t>
        </is>
      </c>
      <c r="G40" s="18">
        <f>SUM(G41:G44)</f>
        <v/>
      </c>
      <c r="H40" s="18">
        <f>SUM(H41:H44)</f>
        <v/>
      </c>
      <c r="I40" s="19">
        <f>MIN(I41:I44)</f>
        <v/>
      </c>
      <c r="J40" s="19">
        <f>MAX(J41:J44)</f>
        <v/>
      </c>
      <c r="K40" s="20">
        <f>IF(L40&gt;=1,"Effectuée",IF(AND(L40=0,COUNTIF(K41:K44,"Bloquée")&gt;0),"Bloquée",IF(L40=0,"Non réalisée","En cours")))</f>
        <v/>
      </c>
      <c r="L40" s="21">
        <f>IFERROR(M40/IF($F$2="Données correctes",G40,H40),0)</f>
        <v/>
      </c>
      <c r="M40" s="18">
        <f>SUM(M41:M44)</f>
        <v/>
      </c>
      <c r="N40" s="22" t="n"/>
      <c r="O40" s="22" t="n"/>
      <c r="P40" s="22" t="n"/>
      <c r="Q40" s="22" t="n"/>
      <c r="R40" s="22" t="n"/>
      <c r="S40" s="22" t="n"/>
      <c r="T40" s="22" t="n"/>
      <c r="U40" s="22" t="n"/>
      <c r="V40" s="22" t="n"/>
      <c r="W40" s="22" t="n"/>
      <c r="X40" s="22" t="n"/>
      <c r="Y40" s="22" t="n"/>
      <c r="Z40" s="22" t="n"/>
      <c r="AA40" s="22" t="n"/>
      <c r="AB40" s="22" t="n"/>
      <c r="AC40" s="22" t="n"/>
      <c r="AD40" s="22" t="n"/>
      <c r="AE40" s="22" t="n"/>
      <c r="AF40" s="22" t="n"/>
      <c r="AG40" s="22" t="n"/>
      <c r="AH40" s="22" t="n"/>
      <c r="AI40" s="22" t="n"/>
      <c r="AJ40" s="22" t="n"/>
      <c r="AK40" s="22" t="n"/>
      <c r="AL40" s="22" t="n"/>
      <c r="AM40" s="22" t="n"/>
      <c r="AN40" s="22" t="n"/>
      <c r="AO40" s="22" t="n"/>
      <c r="AP40" s="22" t="n"/>
      <c r="AQ40" s="22" t="n"/>
      <c r="AR40" s="22" t="n"/>
      <c r="AS40" s="22" t="n"/>
      <c r="AT40" s="22" t="n"/>
      <c r="AU40" s="22" t="n"/>
      <c r="AV40" s="22" t="n"/>
      <c r="AW40" s="22" t="n"/>
      <c r="AX40" s="22" t="n"/>
      <c r="AY40" s="22" t="n"/>
      <c r="AZ40" s="22" t="n"/>
      <c r="BA40" s="22" t="n"/>
      <c r="BB40" s="22" t="n"/>
      <c r="BC40" s="22" t="n"/>
      <c r="BD40" s="22" t="n"/>
      <c r="BE40" s="22" t="n"/>
      <c r="BF40" s="22" t="n"/>
      <c r="BG40" s="22" t="n"/>
      <c r="BH40" s="22" t="n"/>
      <c r="BI40" s="22" t="n"/>
      <c r="BJ40" s="22" t="n"/>
    </row>
    <row r="41" ht="43" customHeight="1">
      <c r="A41" s="23" t="inlineStr">
        <is>
          <t>6.1</t>
        </is>
      </c>
      <c r="B41" s="24" t="inlineStr">
        <is>
          <t>Calculer les ratios prudentiels de la Décision n° 05/2022/COM/UEMOA à chaque date, en deux lectures (comme le FPPN, puis retraitée)</t>
        </is>
      </c>
      <c r="C41" s="25" t="inlineStr">
        <is>
          <t>Actuaire Adenka</t>
        </is>
      </c>
      <c r="D41" s="24" t="inlineStr"/>
      <c r="E41" s="26" t="inlineStr">
        <is>
          <t>- Tableau de bord prudentiel, 2020 au 31/08/2026
- Analyses de sensibilité et leviers de conformité</t>
        </is>
      </c>
      <c r="F41" s="27" t="inlineStr">
        <is>
          <t>Rapport v8, diapositives 109 à 129 ; classeur v8, onglets 10_ratios et 10_ratios_detail.</t>
        </is>
      </c>
      <c r="G41" s="28" t="n">
        <v>0.4</v>
      </c>
      <c r="H41" s="28" t="n">
        <v>0.75</v>
      </c>
      <c r="I41" s="29" t="n">
        <v>46311</v>
      </c>
      <c r="J41" s="29" t="n">
        <v>46316</v>
      </c>
      <c r="K41" s="30" t="inlineStr">
        <is>
          <t>Effectuée</t>
        </is>
      </c>
      <c r="L41" s="31" t="n">
        <v>1</v>
      </c>
      <c r="M41" s="28">
        <f>IF($F$2="Données correctes",G41,H41)*L41</f>
        <v/>
      </c>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row>
    <row r="42" ht="43" customHeight="1">
      <c r="A42" s="32" t="inlineStr">
        <is>
          <t>6.2</t>
        </is>
      </c>
      <c r="B42" s="33" t="inlineStr">
        <is>
          <t>Contrôler le classement des comptes (PCMS), la marge de solvabilité, l'affectation des excédents et l'excédent par risque</t>
        </is>
      </c>
      <c r="C42" s="34" t="inlineStr">
        <is>
          <t>Actuaire Adenka</t>
        </is>
      </c>
      <c r="D42" s="33" t="inlineStr">
        <is>
          <t>Chef comptable</t>
        </is>
      </c>
      <c r="E42" s="8" t="n"/>
      <c r="F42" s="35" t="inlineStr">
        <is>
          <t>Rapport v8, diapositives 131 à 134 ; classeur v8, onglets 10_controle_pcms, 10_marge_solvabilite, 10_affectation_excedents et 10_excedent_par_risque.</t>
        </is>
      </c>
      <c r="G42" s="36" t="n">
        <v>0.25</v>
      </c>
      <c r="H42" s="36" t="n">
        <v>0.5</v>
      </c>
      <c r="I42" s="37" t="n">
        <v>46311</v>
      </c>
      <c r="J42" s="37" t="n">
        <v>46316</v>
      </c>
      <c r="K42" s="38" t="inlineStr">
        <is>
          <t>Effectuée</t>
        </is>
      </c>
      <c r="L42" s="39" t="n">
        <v>1</v>
      </c>
      <c r="M42" s="36">
        <f>IF($F$2="Données correctes",G42,H42)*L42</f>
        <v/>
      </c>
      <c r="N42" s="22" t="n"/>
      <c r="O42" s="22" t="n"/>
      <c r="P42" s="22" t="n"/>
      <c r="Q42" s="22" t="n"/>
      <c r="R42" s="22" t="n"/>
      <c r="S42" s="22" t="n"/>
      <c r="T42" s="22" t="n"/>
      <c r="U42" s="22" t="n"/>
      <c r="V42" s="22" t="n"/>
      <c r="W42" s="22" t="n"/>
      <c r="X42" s="22" t="n"/>
      <c r="Y42" s="22" t="n"/>
      <c r="Z42" s="22" t="n"/>
      <c r="AA42" s="22" t="n"/>
      <c r="AB42" s="22" t="n"/>
      <c r="AC42" s="22" t="n"/>
      <c r="AD42" s="22" t="n"/>
      <c r="AE42" s="22" t="n"/>
      <c r="AF42" s="22" t="n"/>
      <c r="AG42" s="22" t="n"/>
      <c r="AH42" s="22" t="n"/>
      <c r="AI42" s="22" t="n"/>
      <c r="AJ42" s="22" t="n"/>
      <c r="AK42" s="22" t="n"/>
      <c r="AL42" s="22" t="n"/>
      <c r="AM42" s="22" t="n"/>
      <c r="AN42" s="22" t="n"/>
      <c r="AO42" s="22" t="n"/>
      <c r="AP42" s="22" t="n"/>
      <c r="AQ42" s="22" t="n"/>
      <c r="AR42" s="22" t="n"/>
      <c r="AS42" s="22" t="n"/>
      <c r="AT42" s="22" t="n"/>
      <c r="AU42" s="22" t="n"/>
      <c r="AV42" s="22" t="n"/>
      <c r="AW42" s="22" t="n"/>
      <c r="AX42" s="22" t="n"/>
      <c r="AY42" s="22" t="n"/>
      <c r="AZ42" s="22" t="n"/>
      <c r="BA42" s="22" t="n"/>
      <c r="BB42" s="22" t="n"/>
      <c r="BC42" s="22" t="n"/>
      <c r="BD42" s="22" t="n"/>
      <c r="BE42" s="22" t="n"/>
      <c r="BF42" s="22" t="n"/>
      <c r="BG42" s="22" t="n"/>
      <c r="BH42" s="22" t="n"/>
      <c r="BI42" s="22" t="n"/>
      <c r="BJ42" s="22" t="n"/>
    </row>
    <row r="43" ht="43" customHeight="1">
      <c r="A43" s="23" t="inlineStr">
        <is>
          <t>6.3</t>
        </is>
      </c>
      <c r="B43" s="24" t="inlineStr">
        <is>
          <t>Mener les analyses de sensibilité et chiffrer les leviers de conformité (montant à combler, effet de chaque levier)</t>
        </is>
      </c>
      <c r="C43" s="25" t="inlineStr">
        <is>
          <t>Actuaire Adenka</t>
        </is>
      </c>
      <c r="D43" s="24" t="inlineStr"/>
      <c r="E43" s="8" t="n"/>
      <c r="F43" s="27" t="inlineStr">
        <is>
          <t>Rapport v8, diapositives 138 à 151 ; classeur v8, onglets 13a à 13i.</t>
        </is>
      </c>
      <c r="G43" s="28" t="n">
        <v>0.25</v>
      </c>
      <c r="H43" s="28" t="n">
        <v>0.5</v>
      </c>
      <c r="I43" s="29" t="n">
        <v>46315</v>
      </c>
      <c r="J43" s="29" t="n">
        <v>46316</v>
      </c>
      <c r="K43" s="30" t="inlineStr">
        <is>
          <t>Effectuée</t>
        </is>
      </c>
      <c r="L43" s="31" t="n">
        <v>1</v>
      </c>
      <c r="M43" s="28">
        <f>IF($F$2="Données correctes",G43,H43)*L43</f>
        <v/>
      </c>
      <c r="N43" s="22" t="n"/>
      <c r="O43" s="22" t="n"/>
      <c r="P43" s="22" t="n"/>
      <c r="Q43" s="22" t="n"/>
      <c r="R43" s="22" t="n"/>
      <c r="S43" s="22" t="n"/>
      <c r="T43" s="22" t="n"/>
      <c r="U43" s="22" t="n"/>
      <c r="V43" s="22" t="n"/>
      <c r="W43" s="22" t="n"/>
      <c r="X43" s="22" t="n"/>
      <c r="Y43" s="22" t="n"/>
      <c r="Z43" s="22" t="n"/>
      <c r="AA43" s="22" t="n"/>
      <c r="AB43" s="22" t="n"/>
      <c r="AC43" s="22" t="n"/>
      <c r="AD43" s="22" t="n"/>
      <c r="AE43" s="22" t="n"/>
      <c r="AF43" s="22" t="n"/>
      <c r="AG43" s="22" t="n"/>
      <c r="AH43" s="22" t="n"/>
      <c r="AI43" s="22" t="n"/>
      <c r="AJ43" s="22" t="n"/>
      <c r="AK43" s="22" t="n"/>
      <c r="AL43" s="22" t="n"/>
      <c r="AM43" s="22" t="n"/>
      <c r="AN43" s="22" t="n"/>
      <c r="AO43" s="22" t="n"/>
      <c r="AP43" s="22" t="n"/>
      <c r="AQ43" s="22" t="n"/>
      <c r="AR43" s="22" t="n"/>
      <c r="AS43" s="22" t="n"/>
      <c r="AT43" s="22" t="n"/>
      <c r="AU43" s="22" t="n"/>
      <c r="AV43" s="22" t="n"/>
      <c r="AW43" s="22" t="n"/>
      <c r="AX43" s="22" t="n"/>
      <c r="AY43" s="22" t="n"/>
      <c r="AZ43" s="22" t="n"/>
      <c r="BA43" s="22" t="n"/>
      <c r="BB43" s="22" t="n"/>
      <c r="BC43" s="22" t="n"/>
      <c r="BD43" s="22" t="n"/>
      <c r="BE43" s="22" t="n"/>
      <c r="BF43" s="22" t="n"/>
      <c r="BG43" s="22" t="n"/>
      <c r="BH43" s="22" t="n"/>
      <c r="BI43" s="22" t="n"/>
      <c r="BJ43" s="22" t="n"/>
    </row>
    <row r="44" ht="30" customHeight="1">
      <c r="A44" s="32" t="inlineStr">
        <is>
          <t>6.4</t>
        </is>
      </c>
      <c r="B44" s="33" t="inlineStr">
        <is>
          <t>Compléter les ratios en attente de données (risques longs, FOMUS-CI, contrôles a posteriori)</t>
        </is>
      </c>
      <c r="C44" s="34" t="inlineStr">
        <is>
          <t>Actuaire Adenka</t>
        </is>
      </c>
      <c r="D44" s="33" t="inlineStr">
        <is>
          <t>Chef comptable</t>
        </is>
      </c>
      <c r="E44" s="8" t="n"/>
      <c r="F44" s="35" t="inlineStr">
        <is>
          <t>Rapport v8, diapositive 119 (données en attente). Items PBC attendus : 47, 48, 49, 52.</t>
        </is>
      </c>
      <c r="G44" s="36" t="n">
        <v>0.1</v>
      </c>
      <c r="H44" s="36" t="n">
        <v>0.25</v>
      </c>
      <c r="I44" s="37" t="n">
        <v>46329</v>
      </c>
      <c r="J44" s="37" t="n">
        <v>46339</v>
      </c>
      <c r="K44" s="38" t="inlineStr">
        <is>
          <t>Bloquée</t>
        </is>
      </c>
      <c r="L44" s="39" t="n">
        <v>0</v>
      </c>
      <c r="M44" s="36">
        <f>IF($F$2="Données correctes",G44,H44)*L44</f>
        <v/>
      </c>
      <c r="N44" s="22" t="n"/>
      <c r="O44" s="22" t="n"/>
      <c r="P44" s="22" t="n"/>
      <c r="Q44" s="22" t="n"/>
      <c r="R44" s="22" t="n"/>
      <c r="S44" s="22" t="n"/>
      <c r="T44" s="22" t="n"/>
      <c r="U44" s="22" t="n"/>
      <c r="V44" s="22" t="n"/>
      <c r="W44" s="22" t="n"/>
      <c r="X44" s="22" t="n"/>
      <c r="Y44" s="22" t="n"/>
      <c r="Z44" s="22" t="n"/>
      <c r="AA44" s="22" t="n"/>
      <c r="AB44" s="22" t="n"/>
      <c r="AC44" s="22" t="n"/>
      <c r="AD44" s="22" t="n"/>
      <c r="AE44" s="22" t="n"/>
      <c r="AF44" s="22" t="n"/>
      <c r="AG44" s="22" t="n"/>
      <c r="AH44" s="22" t="n"/>
      <c r="AI44" s="22" t="n"/>
      <c r="AJ44" s="22" t="n"/>
      <c r="AK44" s="22" t="n"/>
      <c r="AL44" s="22" t="n"/>
      <c r="AM44" s="22" t="n"/>
      <c r="AN44" s="22" t="n"/>
      <c r="AO44" s="22" t="n"/>
      <c r="AP44" s="22" t="n"/>
      <c r="AQ44" s="22" t="n"/>
      <c r="AR44" s="22" t="n"/>
      <c r="AS44" s="22" t="n"/>
      <c r="AT44" s="22" t="n"/>
      <c r="AU44" s="22" t="n"/>
      <c r="AV44" s="22" t="n"/>
      <c r="AW44" s="22" t="n"/>
      <c r="AX44" s="22" t="n"/>
      <c r="AY44" s="22" t="n"/>
      <c r="AZ44" s="22" t="n"/>
      <c r="BA44" s="22" t="n"/>
      <c r="BB44" s="22" t="n"/>
      <c r="BC44" s="22" t="n"/>
      <c r="BD44" s="22" t="n"/>
      <c r="BE44" s="22" t="n"/>
      <c r="BF44" s="22" t="n"/>
      <c r="BG44" s="22" t="n"/>
      <c r="BH44" s="22" t="n"/>
      <c r="BI44" s="22" t="n"/>
      <c r="BJ44" s="22" t="n"/>
    </row>
    <row r="45" ht="32" customHeight="1">
      <c r="A45" s="15" t="n">
        <v>7</v>
      </c>
      <c r="B45" s="16" t="inlineStr">
        <is>
          <t>Phase 7 : Projection de l'équilibre technique</t>
        </is>
      </c>
      <c r="C45" s="16" t="inlineStr"/>
      <c r="D45" s="16" t="inlineStr"/>
      <c r="E45" s="16" t="inlineStr"/>
      <c r="F45" s="17" t="inlineStr">
        <is>
          <t>Estimation : Projeter cotisations, prestations et frais sur 5 à 10 ans, puis tester les hypothèses.</t>
        </is>
      </c>
      <c r="G45" s="18">
        <f>SUM(G46:G48)</f>
        <v/>
      </c>
      <c r="H45" s="18">
        <f>SUM(H46:H48)</f>
        <v/>
      </c>
      <c r="I45" s="19">
        <f>MIN(I46:I48)</f>
        <v/>
      </c>
      <c r="J45" s="19">
        <f>MAX(J46:J48)</f>
        <v/>
      </c>
      <c r="K45" s="20">
        <f>IF(L45&gt;=1,"Effectuée",IF(AND(L45=0,COUNTIF(K46:K48,"Bloquée")&gt;0),"Bloquée",IF(L45=0,"Non réalisée","En cours")))</f>
        <v/>
      </c>
      <c r="L45" s="21">
        <f>IFERROR(M45/IF($F$2="Données correctes",G45,H45),0)</f>
        <v/>
      </c>
      <c r="M45" s="18">
        <f>SUM(M46:M48)</f>
        <v/>
      </c>
      <c r="N45" s="22" t="n"/>
      <c r="O45" s="22" t="n"/>
      <c r="P45" s="22" t="n"/>
      <c r="Q45" s="22" t="n"/>
      <c r="R45" s="22" t="n"/>
      <c r="S45" s="22" t="n"/>
      <c r="T45" s="22" t="n"/>
      <c r="U45" s="22" t="n"/>
      <c r="V45" s="22" t="n"/>
      <c r="W45" s="22" t="n"/>
      <c r="X45" s="22" t="n"/>
      <c r="Y45" s="22" t="n"/>
      <c r="Z45" s="22" t="n"/>
      <c r="AA45" s="22" t="n"/>
      <c r="AB45" s="22" t="n"/>
      <c r="AC45" s="22" t="n"/>
      <c r="AD45" s="22" t="n"/>
      <c r="AE45" s="22" t="n"/>
      <c r="AF45" s="22" t="n"/>
      <c r="AG45" s="22" t="n"/>
      <c r="AH45" s="22" t="n"/>
      <c r="AI45" s="22" t="n"/>
      <c r="AJ45" s="22" t="n"/>
      <c r="AK45" s="22" t="n"/>
      <c r="AL45" s="22" t="n"/>
      <c r="AM45" s="22" t="n"/>
      <c r="AN45" s="22" t="n"/>
      <c r="AO45" s="22" t="n"/>
      <c r="AP45" s="22" t="n"/>
      <c r="AQ45" s="22" t="n"/>
      <c r="AR45" s="22" t="n"/>
      <c r="AS45" s="22" t="n"/>
      <c r="AT45" s="22" t="n"/>
      <c r="AU45" s="22" t="n"/>
      <c r="AV45" s="22" t="n"/>
      <c r="AW45" s="22" t="n"/>
      <c r="AX45" s="22" t="n"/>
      <c r="AY45" s="22" t="n"/>
      <c r="AZ45" s="22" t="n"/>
      <c r="BA45" s="22" t="n"/>
      <c r="BB45" s="22" t="n"/>
      <c r="BC45" s="22" t="n"/>
      <c r="BD45" s="22" t="n"/>
      <c r="BE45" s="22" t="n"/>
      <c r="BF45" s="22" t="n"/>
      <c r="BG45" s="22" t="n"/>
      <c r="BH45" s="22" t="n"/>
      <c r="BI45" s="22" t="n"/>
      <c r="BJ45" s="22" t="n"/>
    </row>
    <row r="46" ht="56" customHeight="1">
      <c r="A46" s="23" t="inlineStr">
        <is>
          <t>7.1</t>
        </is>
      </c>
      <c r="B46" s="24" t="inlineStr">
        <is>
          <t>Fixer les hypothèses de projection : effectifs, cotisations, inflation médicale, mortalité, rendement, frais</t>
        </is>
      </c>
      <c r="C46" s="25" t="inlineStr">
        <is>
          <t>Actuaire Adenka</t>
        </is>
      </c>
      <c r="D46" s="24" t="inlineStr">
        <is>
          <t>Chef comptable</t>
        </is>
      </c>
      <c r="E46" s="26" t="inlineStr">
        <is>
          <t>- Projection de l'équilibre technique sur 5 à 10 ans
- Tests de sensibilité des hypothèses</t>
        </is>
      </c>
      <c r="F46" s="27" t="inlineStr">
        <is>
          <t>Éléments disponibles : tendances et taux de croissance (classeur v8, onglets 8_tcam et 8_tendances), inflation médicale (Rapport v8, diapositive 148), rendements (diapositive 150).</t>
        </is>
      </c>
      <c r="G46" s="28" t="n">
        <v>0.75</v>
      </c>
      <c r="H46" s="28" t="n">
        <v>1</v>
      </c>
      <c r="I46" s="29" t="n">
        <v>46335</v>
      </c>
      <c r="J46" s="29" t="n">
        <v>46338</v>
      </c>
      <c r="K46" s="30" t="inlineStr">
        <is>
          <t>En cours</t>
        </is>
      </c>
      <c r="L46" s="31" t="n">
        <v>0.2</v>
      </c>
      <c r="M46" s="28">
        <f>IF($F$2="Données correctes",G46,H46)*L46</f>
        <v/>
      </c>
      <c r="N46" s="22" t="n"/>
      <c r="O46" s="22" t="n"/>
      <c r="P46" s="22" t="n"/>
      <c r="Q46" s="22" t="n"/>
      <c r="R46" s="22" t="n"/>
      <c r="S46" s="22" t="n"/>
      <c r="T46" s="22" t="n"/>
      <c r="U46" s="22" t="n"/>
      <c r="V46" s="22" t="n"/>
      <c r="W46" s="22" t="n"/>
      <c r="X46" s="22" t="n"/>
      <c r="Y46" s="22" t="n"/>
      <c r="Z46" s="22" t="n"/>
      <c r="AA46" s="22" t="n"/>
      <c r="AB46" s="22" t="n"/>
      <c r="AC46" s="22" t="n"/>
      <c r="AD46" s="22" t="n"/>
      <c r="AE46" s="22" t="n"/>
      <c r="AF46" s="22" t="n"/>
      <c r="AG46" s="22" t="n"/>
      <c r="AH46" s="22" t="n"/>
      <c r="AI46" s="22" t="n"/>
      <c r="AJ46" s="22" t="n"/>
      <c r="AK46" s="22" t="n"/>
      <c r="AL46" s="22" t="n"/>
      <c r="AM46" s="22" t="n"/>
      <c r="AN46" s="22" t="n"/>
      <c r="AO46" s="22" t="n"/>
      <c r="AP46" s="22" t="n"/>
      <c r="AQ46" s="22" t="n"/>
      <c r="AR46" s="22" t="n"/>
      <c r="AS46" s="22" t="n"/>
      <c r="AT46" s="22" t="n"/>
      <c r="AU46" s="22" t="n"/>
      <c r="AV46" s="22" t="n"/>
      <c r="AW46" s="22" t="n"/>
      <c r="AX46" s="22" t="n"/>
      <c r="AY46" s="22" t="n"/>
      <c r="AZ46" s="22" t="n"/>
      <c r="BA46" s="22" t="n"/>
      <c r="BB46" s="22" t="n"/>
      <c r="BC46" s="22" t="n"/>
      <c r="BD46" s="22" t="n"/>
      <c r="BE46" s="22" t="n"/>
      <c r="BF46" s="22" t="n"/>
      <c r="BG46" s="22" t="n"/>
      <c r="BH46" s="22" t="n"/>
      <c r="BI46" s="22" t="n"/>
      <c r="BJ46" s="22" t="n"/>
    </row>
    <row r="47" ht="30" customHeight="1">
      <c r="A47" s="32" t="inlineStr">
        <is>
          <t>7.2</t>
        </is>
      </c>
      <c r="B47" s="33" t="inlineStr">
        <is>
          <t>Projeter cotisations, prestations et frais sur 5 à 10 ans par garantie</t>
        </is>
      </c>
      <c r="C47" s="34" t="inlineStr">
        <is>
          <t>Actuaire Adenka</t>
        </is>
      </c>
      <c r="D47" s="33" t="inlineStr"/>
      <c r="E47" s="8" t="n"/>
      <c r="F47" s="35" t="inlineStr">
        <is>
          <t>Dépend des phases 3 et 4.</t>
        </is>
      </c>
      <c r="G47" s="36" t="n">
        <v>1.5</v>
      </c>
      <c r="H47" s="36" t="n">
        <v>2</v>
      </c>
      <c r="I47" s="37" t="n">
        <v>46338</v>
      </c>
      <c r="J47" s="37" t="n">
        <v>46345</v>
      </c>
      <c r="K47" s="38" t="inlineStr">
        <is>
          <t>Non réalisée</t>
        </is>
      </c>
      <c r="L47" s="39" t="n">
        <v>0</v>
      </c>
      <c r="M47" s="36">
        <f>IF($F$2="Données correctes",G47,H47)*L47</f>
        <v/>
      </c>
      <c r="N47" s="22" t="n"/>
      <c r="O47" s="22" t="n"/>
      <c r="P47" s="22" t="n"/>
      <c r="Q47" s="22" t="n"/>
      <c r="R47" s="22" t="n"/>
      <c r="S47" s="22" t="n"/>
      <c r="T47" s="22" t="n"/>
      <c r="U47" s="22" t="n"/>
      <c r="V47" s="22" t="n"/>
      <c r="W47" s="22" t="n"/>
      <c r="X47" s="22" t="n"/>
      <c r="Y47" s="22" t="n"/>
      <c r="Z47" s="22" t="n"/>
      <c r="AA47" s="22" t="n"/>
      <c r="AB47" s="22" t="n"/>
      <c r="AC47" s="22" t="n"/>
      <c r="AD47" s="22" t="n"/>
      <c r="AE47" s="22" t="n"/>
      <c r="AF47" s="22" t="n"/>
      <c r="AG47" s="22" t="n"/>
      <c r="AH47" s="22" t="n"/>
      <c r="AI47" s="22" t="n"/>
      <c r="AJ47" s="22" t="n"/>
      <c r="AK47" s="22" t="n"/>
      <c r="AL47" s="22" t="n"/>
      <c r="AM47" s="22" t="n"/>
      <c r="AN47" s="22" t="n"/>
      <c r="AO47" s="22" t="n"/>
      <c r="AP47" s="22" t="n"/>
      <c r="AQ47" s="22" t="n"/>
      <c r="AR47" s="22" t="n"/>
      <c r="AS47" s="22" t="n"/>
      <c r="AT47" s="22" t="n"/>
      <c r="AU47" s="22" t="n"/>
      <c r="AV47" s="22" t="n"/>
      <c r="AW47" s="22" t="n"/>
      <c r="AX47" s="22" t="n"/>
      <c r="AY47" s="22" t="n"/>
      <c r="AZ47" s="22" t="n"/>
      <c r="BA47" s="22" t="n"/>
      <c r="BB47" s="22" t="n"/>
      <c r="BC47" s="22" t="n"/>
      <c r="BD47" s="22" t="n"/>
      <c r="BE47" s="22" t="n"/>
      <c r="BF47" s="22" t="n"/>
      <c r="BG47" s="22" t="n"/>
      <c r="BH47" s="22" t="n"/>
      <c r="BI47" s="22" t="n"/>
      <c r="BJ47" s="22" t="n"/>
    </row>
    <row r="48" ht="30" customHeight="1">
      <c r="A48" s="23" t="inlineStr">
        <is>
          <t>7.3</t>
        </is>
      </c>
      <c r="B48" s="24" t="inlineStr">
        <is>
          <t>Tester les hypothèses (sensibilités et scénarios) et en tirer les mesures de retour à l'équilibre</t>
        </is>
      </c>
      <c r="C48" s="25" t="inlineStr">
        <is>
          <t>Actuaire Adenka</t>
        </is>
      </c>
      <c r="D48" s="24" t="inlineStr"/>
      <c r="E48" s="8" t="n"/>
      <c r="F48" s="27" t="inlineStr">
        <is>
          <t>Sensibilités ponctuelles déjà menées (Rapport v8, diapositives 148 à 150), à étendre à la projection.</t>
        </is>
      </c>
      <c r="G48" s="28" t="n">
        <v>0.75</v>
      </c>
      <c r="H48" s="28" t="n">
        <v>1</v>
      </c>
      <c r="I48" s="29" t="n">
        <v>46344</v>
      </c>
      <c r="J48" s="29" t="n">
        <v>46346</v>
      </c>
      <c r="K48" s="30" t="inlineStr">
        <is>
          <t>Non réalisée</t>
        </is>
      </c>
      <c r="L48" s="31" t="n">
        <v>0</v>
      </c>
      <c r="M48" s="28">
        <f>IF($F$2="Données correctes",G48,H48)*L48</f>
        <v/>
      </c>
      <c r="N48" s="22" t="n"/>
      <c r="O48" s="22" t="n"/>
      <c r="P48" s="22" t="n"/>
      <c r="Q48" s="22" t="n"/>
      <c r="R48" s="22" t="n"/>
      <c r="S48" s="22" t="n"/>
      <c r="T48" s="22" t="n"/>
      <c r="U48" s="22" t="n"/>
      <c r="V48" s="22" t="n"/>
      <c r="W48" s="22" t="n"/>
      <c r="X48" s="22" t="n"/>
      <c r="Y48" s="22" t="n"/>
      <c r="Z48" s="22" t="n"/>
      <c r="AA48" s="22" t="n"/>
      <c r="AB48" s="22" t="n"/>
      <c r="AC48" s="22" t="n"/>
      <c r="AD48" s="22" t="n"/>
      <c r="AE48" s="22" t="n"/>
      <c r="AF48" s="22" t="n"/>
      <c r="AG48" s="22" t="n"/>
      <c r="AH48" s="22" t="n"/>
      <c r="AI48" s="22" t="n"/>
      <c r="AJ48" s="22" t="n"/>
      <c r="AK48" s="22" t="n"/>
      <c r="AL48" s="22" t="n"/>
      <c r="AM48" s="22" t="n"/>
      <c r="AN48" s="22" t="n"/>
      <c r="AO48" s="22" t="n"/>
      <c r="AP48" s="22" t="n"/>
      <c r="AQ48" s="22" t="n"/>
      <c r="AR48" s="22" t="n"/>
      <c r="AS48" s="22" t="n"/>
      <c r="AT48" s="22" t="n"/>
      <c r="AU48" s="22" t="n"/>
      <c r="AV48" s="22" t="n"/>
      <c r="AW48" s="22" t="n"/>
      <c r="AX48" s="22" t="n"/>
      <c r="AY48" s="22" t="n"/>
      <c r="AZ48" s="22" t="n"/>
      <c r="BA48" s="22" t="n"/>
      <c r="BB48" s="22" t="n"/>
      <c r="BC48" s="22" t="n"/>
      <c r="BD48" s="22" t="n"/>
      <c r="BE48" s="22" t="n"/>
      <c r="BF48" s="22" t="n"/>
      <c r="BG48" s="22" t="n"/>
      <c r="BH48" s="22" t="n"/>
      <c r="BI48" s="22" t="n"/>
      <c r="BJ48" s="22" t="n"/>
    </row>
    <row r="49" ht="32" customHeight="1">
      <c r="A49" s="15" t="n">
        <v>8</v>
      </c>
      <c r="B49" s="16" t="inlineStr">
        <is>
          <t>Phase 8 : Rapport actuariel et revues</t>
        </is>
      </c>
      <c r="C49" s="16" t="inlineStr"/>
      <c r="D49" s="16" t="inlineStr"/>
      <c r="E49" s="16" t="inlineStr"/>
      <c r="F49" s="17" t="inlineStr">
        <is>
          <t>Estimation : Rédaction, contrôle qualité, prise en compte des remarques.</t>
        </is>
      </c>
      <c r="G49" s="18">
        <f>SUM(G50:G55)</f>
        <v/>
      </c>
      <c r="H49" s="18">
        <f>SUM(H50:H55)</f>
        <v/>
      </c>
      <c r="I49" s="19">
        <f>MIN(I50:I55)</f>
        <v/>
      </c>
      <c r="J49" s="19">
        <f>MAX(J50:J55)</f>
        <v/>
      </c>
      <c r="K49" s="20">
        <f>IF(L49&gt;=1,"Effectuée",IF(AND(L49=0,COUNTIF(K50:K55,"Bloquée")&gt;0),"Bloquée",IF(L49=0,"Non réalisée","En cours")))</f>
        <v/>
      </c>
      <c r="L49" s="21">
        <f>IFERROR(M49/IF($F$2="Données correctes",G49,H49),0)</f>
        <v/>
      </c>
      <c r="M49" s="18">
        <f>SUM(M50:M55)</f>
        <v/>
      </c>
      <c r="N49" s="22" t="n"/>
      <c r="O49" s="22" t="n"/>
      <c r="P49" s="22" t="n"/>
      <c r="Q49" s="22" t="n"/>
      <c r="R49" s="22" t="n"/>
      <c r="S49" s="22" t="n"/>
      <c r="T49" s="22" t="n"/>
      <c r="U49" s="22" t="n"/>
      <c r="V49" s="22" t="n"/>
      <c r="W49" s="22" t="n"/>
      <c r="X49" s="22" t="n"/>
      <c r="Y49" s="22" t="n"/>
      <c r="Z49" s="22" t="n"/>
      <c r="AA49" s="22" t="n"/>
      <c r="AB49" s="22" t="n"/>
      <c r="AC49" s="22" t="n"/>
      <c r="AD49" s="22" t="n"/>
      <c r="AE49" s="22" t="n"/>
      <c r="AF49" s="22" t="n"/>
      <c r="AG49" s="22" t="n"/>
      <c r="AH49" s="22" t="n"/>
      <c r="AI49" s="22" t="n"/>
      <c r="AJ49" s="22" t="n"/>
      <c r="AK49" s="22" t="n"/>
      <c r="AL49" s="22" t="n"/>
      <c r="AM49" s="22" t="n"/>
      <c r="AN49" s="22" t="n"/>
      <c r="AO49" s="22" t="n"/>
      <c r="AP49" s="22" t="n"/>
      <c r="AQ49" s="22" t="n"/>
      <c r="AR49" s="22" t="n"/>
      <c r="AS49" s="22" t="n"/>
      <c r="AT49" s="22" t="n"/>
      <c r="AU49" s="22" t="n"/>
      <c r="AV49" s="22" t="n"/>
      <c r="AW49" s="22" t="n"/>
      <c r="AX49" s="22" t="n"/>
      <c r="AY49" s="22" t="n"/>
      <c r="AZ49" s="22" t="n"/>
      <c r="BA49" s="22" t="n"/>
      <c r="BB49" s="22" t="n"/>
      <c r="BC49" s="22" t="n"/>
      <c r="BD49" s="22" t="n"/>
      <c r="BE49" s="22" t="n"/>
      <c r="BF49" s="22" t="n"/>
      <c r="BG49" s="22" t="n"/>
      <c r="BH49" s="22" t="n"/>
      <c r="BI49" s="22" t="n"/>
      <c r="BJ49" s="22" t="n"/>
    </row>
    <row r="50" ht="43" customHeight="1">
      <c r="A50" s="23" t="inlineStr">
        <is>
          <t>8.1</t>
        </is>
      </c>
      <c r="B50" s="24" t="inlineStr">
        <is>
          <t>Rédiger le rapport actuariel et statistique et le classeur des calculs, avec la traçabilité de chaque chiffre</t>
        </is>
      </c>
      <c r="C50" s="25" t="inlineStr">
        <is>
          <t>Actuaire Adenka</t>
        </is>
      </c>
      <c r="D50" s="24" t="inlineStr"/>
      <c r="E50" s="26" t="inlineStr">
        <is>
          <t>- Note de point d'étape du 21/10/2026
- Rapport actuariel et statistique provisoire
- Rapport actuariel et statistique définitif</t>
        </is>
      </c>
      <c r="F50" s="27" t="inlineStr">
        <is>
          <t>Rapport v8 (FPPN_Rapport_actuariel_statistique_20261015_v8.pptx, 204 diapositives) et classeur v8 (onglet 9_tracabilite).</t>
        </is>
      </c>
      <c r="G50" s="28" t="n">
        <v>1.5</v>
      </c>
      <c r="H50" s="28" t="n">
        <v>1.75</v>
      </c>
      <c r="I50" s="29" t="n">
        <v>46310</v>
      </c>
      <c r="J50" s="29" t="n">
        <v>46346</v>
      </c>
      <c r="K50" s="30" t="inlineStr">
        <is>
          <t>En cours</t>
        </is>
      </c>
      <c r="L50" s="31" t="n">
        <v>0.6</v>
      </c>
      <c r="M50" s="28">
        <f>IF($F$2="Données correctes",G50,H50)*L50</f>
        <v/>
      </c>
      <c r="N50" s="22" t="n"/>
      <c r="O50" s="22" t="n"/>
      <c r="P50" s="22" t="n"/>
      <c r="Q50" s="22" t="n"/>
      <c r="R50" s="22" t="n"/>
      <c r="S50" s="22" t="n"/>
      <c r="T50" s="22" t="n"/>
      <c r="U50" s="22" t="n"/>
      <c r="V50" s="22" t="n"/>
      <c r="W50" s="22" t="n"/>
      <c r="X50" s="22" t="n"/>
      <c r="Y50" s="22" t="n"/>
      <c r="Z50" s="22" t="n"/>
      <c r="AA50" s="22" t="n"/>
      <c r="AB50" s="22" t="n"/>
      <c r="AC50" s="22" t="n"/>
      <c r="AD50" s="22" t="n"/>
      <c r="AE50" s="22" t="n"/>
      <c r="AF50" s="22" t="n"/>
      <c r="AG50" s="22" t="n"/>
      <c r="AH50" s="22" t="n"/>
      <c r="AI50" s="22" t="n"/>
      <c r="AJ50" s="22" t="n"/>
      <c r="AK50" s="22" t="n"/>
      <c r="AL50" s="22" t="n"/>
      <c r="AM50" s="22" t="n"/>
      <c r="AN50" s="22" t="n"/>
      <c r="AO50" s="22" t="n"/>
      <c r="AP50" s="22" t="n"/>
      <c r="AQ50" s="22" t="n"/>
      <c r="AR50" s="22" t="n"/>
      <c r="AS50" s="22" t="n"/>
      <c r="AT50" s="22" t="n"/>
      <c r="AU50" s="22" t="n"/>
      <c r="AV50" s="22" t="n"/>
      <c r="AW50" s="22" t="n"/>
      <c r="AX50" s="22" t="n"/>
      <c r="AY50" s="22" t="n"/>
      <c r="AZ50" s="22" t="n"/>
      <c r="BA50" s="22" t="n"/>
      <c r="BB50" s="22" t="n"/>
      <c r="BC50" s="22" t="n"/>
      <c r="BD50" s="22" t="n"/>
      <c r="BE50" s="22" t="n"/>
      <c r="BF50" s="22" t="n"/>
      <c r="BG50" s="22" t="n"/>
      <c r="BH50" s="22" t="n"/>
      <c r="BI50" s="22" t="n"/>
      <c r="BJ50" s="22" t="n"/>
    </row>
    <row r="51" ht="30" customHeight="1">
      <c r="A51" s="32" t="inlineStr">
        <is>
          <t>8.2</t>
        </is>
      </c>
      <c r="B51" s="33" t="inlineStr">
        <is>
          <t>Rédiger la note de point d'étape des travaux (réunion du 21/10/2026)</t>
        </is>
      </c>
      <c r="C51" s="34" t="inlineStr">
        <is>
          <t>Actuaire Adenka</t>
        </is>
      </c>
      <c r="D51" s="33" t="inlineStr">
        <is>
          <t>Direction générale, DAF</t>
        </is>
      </c>
      <c r="E51" s="8" t="n"/>
      <c r="F51" s="35" t="inlineStr">
        <is>
          <t>FPPN_Note_point_etape_travaux_20261021.docx.</t>
        </is>
      </c>
      <c r="G51" s="36" t="n">
        <v>0.25</v>
      </c>
      <c r="H51" s="36" t="n">
        <v>0.25</v>
      </c>
      <c r="I51" s="37" t="n">
        <v>46315</v>
      </c>
      <c r="J51" s="37" t="n">
        <v>46316</v>
      </c>
      <c r="K51" s="38" t="inlineStr">
        <is>
          <t>Effectuée</t>
        </is>
      </c>
      <c r="L51" s="39" t="n">
        <v>1</v>
      </c>
      <c r="M51" s="36">
        <f>IF($F$2="Données correctes",G51,H51)*L51</f>
        <v/>
      </c>
      <c r="N51" s="22" t="n"/>
      <c r="O51" s="22" t="n"/>
      <c r="P51" s="22" t="n"/>
      <c r="Q51" s="22" t="n"/>
      <c r="R51" s="22" t="n"/>
      <c r="S51" s="22" t="n"/>
      <c r="T51" s="22" t="n"/>
      <c r="U51" s="22" t="n"/>
      <c r="V51" s="22" t="n"/>
      <c r="W51" s="22" t="n"/>
      <c r="X51" s="22" t="n"/>
      <c r="Y51" s="22" t="n"/>
      <c r="Z51" s="22" t="n"/>
      <c r="AA51" s="22" t="n"/>
      <c r="AB51" s="22" t="n"/>
      <c r="AC51" s="22" t="n"/>
      <c r="AD51" s="22" t="n"/>
      <c r="AE51" s="22" t="n"/>
      <c r="AF51" s="22" t="n"/>
      <c r="AG51" s="22" t="n"/>
      <c r="AH51" s="22" t="n"/>
      <c r="AI51" s="22" t="n"/>
      <c r="AJ51" s="22" t="n"/>
      <c r="AK51" s="22" t="n"/>
      <c r="AL51" s="22" t="n"/>
      <c r="AM51" s="22" t="n"/>
      <c r="AN51" s="22" t="n"/>
      <c r="AO51" s="22" t="n"/>
      <c r="AP51" s="22" t="n"/>
      <c r="AQ51" s="22" t="n"/>
      <c r="AR51" s="22" t="n"/>
      <c r="AS51" s="22" t="n"/>
      <c r="AT51" s="22" t="n"/>
      <c r="AU51" s="22" t="n"/>
      <c r="AV51" s="22" t="n"/>
      <c r="AW51" s="22" t="n"/>
      <c r="AX51" s="22" t="n"/>
      <c r="AY51" s="22" t="n"/>
      <c r="AZ51" s="22" t="n"/>
      <c r="BA51" s="22" t="n"/>
      <c r="BB51" s="22" t="n"/>
      <c r="BC51" s="22" t="n"/>
      <c r="BD51" s="22" t="n"/>
      <c r="BE51" s="22" t="n"/>
      <c r="BF51" s="22" t="n"/>
      <c r="BG51" s="22" t="n"/>
      <c r="BH51" s="22" t="n"/>
      <c r="BI51" s="22" t="n"/>
      <c r="BJ51" s="22" t="n"/>
    </row>
    <row r="52" ht="43" customHeight="1">
      <c r="A52" s="23" t="inlineStr">
        <is>
          <t>8.3</t>
        </is>
      </c>
      <c r="B52" s="24" t="inlineStr">
        <is>
          <t>Contrôle qualité : forme, cohérence des chiffres entre sections, niveau de preuve</t>
        </is>
      </c>
      <c r="C52" s="25" t="inlineStr">
        <is>
          <t>Actuaire Adenka</t>
        </is>
      </c>
      <c r="D52" s="24" t="inlineStr"/>
      <c r="E52" s="8" t="n"/>
      <c r="F52" s="27" t="inlineStr">
        <is>
          <t>Contrôles menés sur les versions 5 à 8 (mise en page, contrôle automatique des chiffres). À refaire sur le rapport provisoire.</t>
        </is>
      </c>
      <c r="G52" s="28" t="n">
        <v>0.5</v>
      </c>
      <c r="H52" s="28" t="n">
        <v>0.75</v>
      </c>
      <c r="I52" s="29" t="n">
        <v>46315</v>
      </c>
      <c r="J52" s="29" t="n">
        <v>46349</v>
      </c>
      <c r="K52" s="30" t="inlineStr">
        <is>
          <t>En cours</t>
        </is>
      </c>
      <c r="L52" s="31" t="n">
        <v>0.3</v>
      </c>
      <c r="M52" s="28">
        <f>IF($F$2="Données correctes",G52,H52)*L52</f>
        <v/>
      </c>
      <c r="N52" s="22" t="n"/>
      <c r="O52" s="22" t="n"/>
      <c r="P52" s="22" t="n"/>
      <c r="Q52" s="22" t="n"/>
      <c r="R52" s="22" t="n"/>
      <c r="S52" s="22" t="n"/>
      <c r="T52" s="22" t="n"/>
      <c r="U52" s="22" t="n"/>
      <c r="V52" s="22" t="n"/>
      <c r="W52" s="22" t="n"/>
      <c r="X52" s="22" t="n"/>
      <c r="Y52" s="22" t="n"/>
      <c r="Z52" s="22" t="n"/>
      <c r="AA52" s="22" t="n"/>
      <c r="AB52" s="22" t="n"/>
      <c r="AC52" s="22" t="n"/>
      <c r="AD52" s="22" t="n"/>
      <c r="AE52" s="22" t="n"/>
      <c r="AF52" s="22" t="n"/>
      <c r="AG52" s="22" t="n"/>
      <c r="AH52" s="22" t="n"/>
      <c r="AI52" s="22" t="n"/>
      <c r="AJ52" s="22" t="n"/>
      <c r="AK52" s="22" t="n"/>
      <c r="AL52" s="22" t="n"/>
      <c r="AM52" s="22" t="n"/>
      <c r="AN52" s="22" t="n"/>
      <c r="AO52" s="22" t="n"/>
      <c r="AP52" s="22" t="n"/>
      <c r="AQ52" s="22" t="n"/>
      <c r="AR52" s="22" t="n"/>
      <c r="AS52" s="22" t="n"/>
      <c r="AT52" s="22" t="n"/>
      <c r="AU52" s="22" t="n"/>
      <c r="AV52" s="22" t="n"/>
      <c r="AW52" s="22" t="n"/>
      <c r="AX52" s="22" t="n"/>
      <c r="AY52" s="22" t="n"/>
      <c r="AZ52" s="22" t="n"/>
      <c r="BA52" s="22" t="n"/>
      <c r="BB52" s="22" t="n"/>
      <c r="BC52" s="22" t="n"/>
      <c r="BD52" s="22" t="n"/>
      <c r="BE52" s="22" t="n"/>
      <c r="BF52" s="22" t="n"/>
      <c r="BG52" s="22" t="n"/>
      <c r="BH52" s="22" t="n"/>
      <c r="BI52" s="22" t="n"/>
      <c r="BJ52" s="22" t="n"/>
    </row>
    <row r="53" ht="30" customHeight="1">
      <c r="A53" s="32" t="inlineStr">
        <is>
          <t>8.4</t>
        </is>
      </c>
      <c r="B53" s="33" t="inlineStr">
        <is>
          <t>Restitution provisoire au FPPN et recueil des commentaires</t>
        </is>
      </c>
      <c r="C53" s="34" t="inlineStr">
        <is>
          <t>Actuaire Adenka</t>
        </is>
      </c>
      <c r="D53" s="33" t="inlineStr">
        <is>
          <t>Direction générale, DAF, chef comptable</t>
        </is>
      </c>
      <c r="E53" s="8" t="n"/>
      <c r="F53" s="35" t="inlineStr"/>
      <c r="G53" s="36" t="n">
        <v>0.5</v>
      </c>
      <c r="H53" s="36" t="n">
        <v>0.5</v>
      </c>
      <c r="I53" s="37" t="n">
        <v>46349</v>
      </c>
      <c r="J53" s="37" t="n">
        <v>46350</v>
      </c>
      <c r="K53" s="38" t="inlineStr">
        <is>
          <t>Non réalisée</t>
        </is>
      </c>
      <c r="L53" s="39" t="n">
        <v>0</v>
      </c>
      <c r="M53" s="36">
        <f>IF($F$2="Données correctes",G53,H53)*L53</f>
        <v/>
      </c>
      <c r="N53" s="22" t="n"/>
      <c r="O53" s="22" t="n"/>
      <c r="P53" s="22" t="n"/>
      <c r="Q53" s="22" t="n"/>
      <c r="R53" s="22" t="n"/>
      <c r="S53" s="22" t="n"/>
      <c r="T53" s="22" t="n"/>
      <c r="U53" s="22" t="n"/>
      <c r="V53" s="22" t="n"/>
      <c r="W53" s="22" t="n"/>
      <c r="X53" s="22" t="n"/>
      <c r="Y53" s="22" t="n"/>
      <c r="Z53" s="22" t="n"/>
      <c r="AA53" s="22" t="n"/>
      <c r="AB53" s="22" t="n"/>
      <c r="AC53" s="22" t="n"/>
      <c r="AD53" s="22" t="n"/>
      <c r="AE53" s="22" t="n"/>
      <c r="AF53" s="22" t="n"/>
      <c r="AG53" s="22" t="n"/>
      <c r="AH53" s="22" t="n"/>
      <c r="AI53" s="22" t="n"/>
      <c r="AJ53" s="22" t="n"/>
      <c r="AK53" s="22" t="n"/>
      <c r="AL53" s="22" t="n"/>
      <c r="AM53" s="22" t="n"/>
      <c r="AN53" s="22" t="n"/>
      <c r="AO53" s="22" t="n"/>
      <c r="AP53" s="22" t="n"/>
      <c r="AQ53" s="22" t="n"/>
      <c r="AR53" s="22" t="n"/>
      <c r="AS53" s="22" t="n"/>
      <c r="AT53" s="22" t="n"/>
      <c r="AU53" s="22" t="n"/>
      <c r="AV53" s="22" t="n"/>
      <c r="AW53" s="22" t="n"/>
      <c r="AX53" s="22" t="n"/>
      <c r="AY53" s="22" t="n"/>
      <c r="AZ53" s="22" t="n"/>
      <c r="BA53" s="22" t="n"/>
      <c r="BB53" s="22" t="n"/>
      <c r="BC53" s="22" t="n"/>
      <c r="BD53" s="22" t="n"/>
      <c r="BE53" s="22" t="n"/>
      <c r="BF53" s="22" t="n"/>
      <c r="BG53" s="22" t="n"/>
      <c r="BH53" s="22" t="n"/>
      <c r="BI53" s="22" t="n"/>
      <c r="BJ53" s="22" t="n"/>
    </row>
    <row r="54" ht="30" customHeight="1">
      <c r="A54" s="23" t="inlineStr">
        <is>
          <t>8.5</t>
        </is>
      </c>
      <c r="B54" s="24" t="inlineStr">
        <is>
          <t>Intégrer les commentaires et finaliser le rapport</t>
        </is>
      </c>
      <c r="C54" s="25" t="inlineStr">
        <is>
          <t>Actuaire Adenka</t>
        </is>
      </c>
      <c r="D54" s="24" t="inlineStr"/>
      <c r="E54" s="8" t="n"/>
      <c r="F54" s="27" t="inlineStr"/>
      <c r="G54" s="28" t="n">
        <v>1</v>
      </c>
      <c r="H54" s="28" t="n">
        <v>1.25</v>
      </c>
      <c r="I54" s="29" t="n">
        <v>46351</v>
      </c>
      <c r="J54" s="29" t="n">
        <v>46353</v>
      </c>
      <c r="K54" s="30" t="inlineStr">
        <is>
          <t>Non réalisée</t>
        </is>
      </c>
      <c r="L54" s="31" t="n">
        <v>0</v>
      </c>
      <c r="M54" s="28">
        <f>IF($F$2="Données correctes",G54,H54)*L54</f>
        <v/>
      </c>
      <c r="N54" s="22" t="n"/>
      <c r="O54" s="22" t="n"/>
      <c r="P54" s="22" t="n"/>
      <c r="Q54" s="22" t="n"/>
      <c r="R54" s="22" t="n"/>
      <c r="S54" s="22" t="n"/>
      <c r="T54" s="22" t="n"/>
      <c r="U54" s="22" t="n"/>
      <c r="V54" s="22" t="n"/>
      <c r="W54" s="22" t="n"/>
      <c r="X54" s="22" t="n"/>
      <c r="Y54" s="22" t="n"/>
      <c r="Z54" s="22" t="n"/>
      <c r="AA54" s="22" t="n"/>
      <c r="AB54" s="22" t="n"/>
      <c r="AC54" s="22" t="n"/>
      <c r="AD54" s="22" t="n"/>
      <c r="AE54" s="22" t="n"/>
      <c r="AF54" s="22" t="n"/>
      <c r="AG54" s="22" t="n"/>
      <c r="AH54" s="22" t="n"/>
      <c r="AI54" s="22" t="n"/>
      <c r="AJ54" s="22" t="n"/>
      <c r="AK54" s="22" t="n"/>
      <c r="AL54" s="22" t="n"/>
      <c r="AM54" s="22" t="n"/>
      <c r="AN54" s="22" t="n"/>
      <c r="AO54" s="22" t="n"/>
      <c r="AP54" s="22" t="n"/>
      <c r="AQ54" s="22" t="n"/>
      <c r="AR54" s="22" t="n"/>
      <c r="AS54" s="22" t="n"/>
      <c r="AT54" s="22" t="n"/>
      <c r="AU54" s="22" t="n"/>
      <c r="AV54" s="22" t="n"/>
      <c r="AW54" s="22" t="n"/>
      <c r="AX54" s="22" t="n"/>
      <c r="AY54" s="22" t="n"/>
      <c r="AZ54" s="22" t="n"/>
      <c r="BA54" s="22" t="n"/>
      <c r="BB54" s="22" t="n"/>
      <c r="BC54" s="22" t="n"/>
      <c r="BD54" s="22" t="n"/>
      <c r="BE54" s="22" t="n"/>
      <c r="BF54" s="22" t="n"/>
      <c r="BG54" s="22" t="n"/>
      <c r="BH54" s="22" t="n"/>
      <c r="BI54" s="22" t="n"/>
      <c r="BJ54" s="22" t="n"/>
    </row>
    <row r="55" ht="30" customHeight="1">
      <c r="A55" s="32" t="inlineStr">
        <is>
          <t>8.6</t>
        </is>
      </c>
      <c r="B55" s="33" t="inlineStr">
        <is>
          <t>Transmettre le rapport actuariel et statistique définitif</t>
        </is>
      </c>
      <c r="C55" s="34" t="inlineStr">
        <is>
          <t>Actuaire Adenka</t>
        </is>
      </c>
      <c r="D55" s="33" t="inlineStr">
        <is>
          <t>Direction générale</t>
        </is>
      </c>
      <c r="E55" s="8" t="n"/>
      <c r="F55" s="35" t="inlineStr"/>
      <c r="G55" s="36" t="n">
        <v>0.25</v>
      </c>
      <c r="H55" s="36" t="n">
        <v>0.5</v>
      </c>
      <c r="I55" s="37" t="n">
        <v>46356</v>
      </c>
      <c r="J55" s="37" t="n">
        <v>46356</v>
      </c>
      <c r="K55" s="38" t="inlineStr">
        <is>
          <t>Non réalisée</t>
        </is>
      </c>
      <c r="L55" s="39" t="n">
        <v>0</v>
      </c>
      <c r="M55" s="36">
        <f>IF($F$2="Données correctes",G55,H55)*L55</f>
        <v/>
      </c>
      <c r="N55" s="22" t="n"/>
      <c r="O55" s="22" t="n"/>
      <c r="P55" s="22" t="n"/>
      <c r="Q55" s="22" t="n"/>
      <c r="R55" s="22" t="n"/>
      <c r="S55" s="22" t="n"/>
      <c r="T55" s="22" t="n"/>
      <c r="U55" s="22" t="n"/>
      <c r="V55" s="22" t="n"/>
      <c r="W55" s="22" t="n"/>
      <c r="X55" s="22" t="n"/>
      <c r="Y55" s="22" t="n"/>
      <c r="Z55" s="22" t="n"/>
      <c r="AA55" s="22" t="n"/>
      <c r="AB55" s="22" t="n"/>
      <c r="AC55" s="22" t="n"/>
      <c r="AD55" s="22" t="n"/>
      <c r="AE55" s="22" t="n"/>
      <c r="AF55" s="22" t="n"/>
      <c r="AG55" s="22" t="n"/>
      <c r="AH55" s="22" t="n"/>
      <c r="AI55" s="22" t="n"/>
      <c r="AJ55" s="22" t="n"/>
      <c r="AK55" s="22" t="n"/>
      <c r="AL55" s="22" t="n"/>
      <c r="AM55" s="22" t="n"/>
      <c r="AN55" s="22" t="n"/>
      <c r="AO55" s="22" t="n"/>
      <c r="AP55" s="22" t="n"/>
      <c r="AQ55" s="22" t="n"/>
      <c r="AR55" s="22" t="n"/>
      <c r="AS55" s="22" t="n"/>
      <c r="AT55" s="22" t="n"/>
      <c r="AU55" s="22" t="n"/>
      <c r="AV55" s="22" t="n"/>
      <c r="AW55" s="22" t="n"/>
      <c r="AX55" s="22" t="n"/>
      <c r="AY55" s="22" t="n"/>
      <c r="AZ55" s="22" t="n"/>
      <c r="BA55" s="22" t="n"/>
      <c r="BB55" s="22" t="n"/>
      <c r="BC55" s="22" t="n"/>
      <c r="BD55" s="22" t="n"/>
      <c r="BE55" s="22" t="n"/>
      <c r="BF55" s="22" t="n"/>
      <c r="BG55" s="22" t="n"/>
      <c r="BH55" s="22" t="n"/>
      <c r="BI55" s="22" t="n"/>
      <c r="BJ55" s="22" t="n"/>
    </row>
    <row r="56" ht="26" customHeight="1">
      <c r="A56" s="40" t="inlineStr"/>
      <c r="B56" s="40" t="inlineStr">
        <is>
          <t>Total de la mission actuarielle et statistique</t>
        </is>
      </c>
      <c r="C56" s="40" t="inlineStr"/>
      <c r="D56" s="40" t="inlineStr"/>
      <c r="E56" s="40" t="inlineStr"/>
      <c r="F56" s="40" t="inlineStr"/>
      <c r="G56" s="41">
        <f>G7+G13+G21+G28+G34+G40+G45+G49</f>
        <v/>
      </c>
      <c r="H56" s="41">
        <f>H7+H13+H21+H28+H34+H40+H45+H49</f>
        <v/>
      </c>
      <c r="I56" s="42">
        <f>MIN(I7:I55)</f>
        <v/>
      </c>
      <c r="J56" s="42">
        <f>MAX(J7:J55)</f>
        <v/>
      </c>
      <c r="K56" s="43">
        <f>IF(L56&gt;=1,"Effectuée",IF(L56=0,"Non réalisée","En cours"))</f>
        <v/>
      </c>
      <c r="L56" s="44">
        <f>IFERROR(M56/IF($F$2="Données correctes",G56,H56),0)</f>
        <v/>
      </c>
      <c r="M56" s="41">
        <f>M7+M13+M21+M28+M34+M40+M45+M49</f>
        <v/>
      </c>
      <c r="N56" s="22" t="n"/>
      <c r="O56" s="22" t="n"/>
      <c r="P56" s="22" t="n"/>
      <c r="Q56" s="22" t="n"/>
      <c r="R56" s="22" t="n"/>
      <c r="S56" s="22" t="n"/>
      <c r="T56" s="22" t="n"/>
      <c r="U56" s="22" t="n"/>
      <c r="V56" s="22" t="n"/>
      <c r="W56" s="22" t="n"/>
      <c r="X56" s="22" t="n"/>
      <c r="Y56" s="22" t="n"/>
      <c r="Z56" s="22" t="n"/>
      <c r="AA56" s="22" t="n"/>
      <c r="AB56" s="22" t="n"/>
      <c r="AC56" s="22" t="n"/>
      <c r="AD56" s="22" t="n"/>
      <c r="AE56" s="22" t="n"/>
      <c r="AF56" s="22" t="n"/>
      <c r="AG56" s="22" t="n"/>
      <c r="AH56" s="22" t="n"/>
      <c r="AI56" s="22" t="n"/>
      <c r="AJ56" s="22" t="n"/>
      <c r="AK56" s="22" t="n"/>
      <c r="AL56" s="22" t="n"/>
      <c r="AM56" s="22" t="n"/>
      <c r="AN56" s="22" t="n"/>
      <c r="AO56" s="22" t="n"/>
      <c r="AP56" s="22" t="n"/>
      <c r="AQ56" s="22" t="n"/>
      <c r="AR56" s="22" t="n"/>
      <c r="AS56" s="22" t="n"/>
      <c r="AT56" s="22" t="n"/>
      <c r="AU56" s="22" t="n"/>
      <c r="AV56" s="22" t="n"/>
      <c r="AW56" s="22" t="n"/>
      <c r="AX56" s="22" t="n"/>
      <c r="AY56" s="22" t="n"/>
      <c r="AZ56" s="22" t="n"/>
      <c r="BA56" s="22" t="n"/>
      <c r="BB56" s="22" t="n"/>
      <c r="BC56" s="22" t="n"/>
      <c r="BD56" s="22" t="n"/>
      <c r="BE56" s="22" t="n"/>
      <c r="BF56" s="22" t="n"/>
      <c r="BG56" s="22" t="n"/>
      <c r="BH56" s="22" t="n"/>
      <c r="BI56" s="22" t="n"/>
      <c r="BJ56" s="22" t="n"/>
    </row>
    <row r="58">
      <c r="B58" s="45" t="inlineStr">
        <is>
          <t>Légende du diagramme</t>
        </is>
      </c>
    </row>
    <row r="59">
      <c r="A59" s="46" t="n"/>
      <c r="B59" s="47" t="inlineStr">
        <is>
          <t>Période planifiée, sous-activité effectuée</t>
        </is>
      </c>
    </row>
    <row r="60">
      <c r="A60" s="48" t="n"/>
      <c r="B60" s="47" t="inlineStr">
        <is>
          <t>Période planifiée, sous-activité en cours ou non réalisée</t>
        </is>
      </c>
    </row>
    <row r="61">
      <c r="A61" s="49" t="n"/>
      <c r="B61" s="47" t="inlineStr">
        <is>
          <t>Période planifiée, sous-activité bloquée (attente de documents)</t>
        </is>
      </c>
    </row>
    <row r="62">
      <c r="A62" s="50" t="n"/>
      <c r="B62" s="47" t="inlineStr">
        <is>
          <t>Période planifiée de la phase ; colonne orange : date du pointage</t>
        </is>
      </c>
    </row>
    <row r="63">
      <c r="A63" s="51" t="n"/>
      <c r="B63" s="47" t="inlineStr">
        <is>
          <t>Week-end</t>
        </is>
      </c>
    </row>
    <row r="65">
      <c r="A65" s="52" t="inlineStr">
        <is>
          <t>Source : estimation du temps de la mission actuarielle ; rapport actuariel et statistique v8, classeur des calculs v8, PBC pointée au 22/10/2026, comptes rendus d'entretiens ; pointage Adenka</t>
        </is>
      </c>
    </row>
  </sheetData>
  <mergeCells count="25">
    <mergeCell ref="D4:D6"/>
    <mergeCell ref="J4:J6"/>
    <mergeCell ref="L4:L6"/>
    <mergeCell ref="I4:I6"/>
    <mergeCell ref="G4:G6"/>
    <mergeCell ref="K4:K6"/>
    <mergeCell ref="A4:A6"/>
    <mergeCell ref="M4:M6"/>
    <mergeCell ref="B4:B6"/>
    <mergeCell ref="N4:AF4"/>
    <mergeCell ref="F4:F6"/>
    <mergeCell ref="H4:H6"/>
    <mergeCell ref="A1:M1"/>
    <mergeCell ref="E8:E12"/>
    <mergeCell ref="E4:E6"/>
    <mergeCell ref="C4:C6"/>
    <mergeCell ref="E14:E20"/>
    <mergeCell ref="E35:E39"/>
    <mergeCell ref="AG4:BJ4"/>
    <mergeCell ref="E29:E33"/>
    <mergeCell ref="E41:E44"/>
    <mergeCell ref="E50:E55"/>
    <mergeCell ref="A2:D2"/>
    <mergeCell ref="E22:E27"/>
    <mergeCell ref="E46:E48"/>
  </mergeCells>
  <conditionalFormatting sqref="N7:BJ7">
    <cfRule type="expression" priority="1" dxfId="0" stopIfTrue="1">
      <formula>AND(N$6&gt;=$I7,N$6&lt;=$J7)</formula>
    </cfRule>
  </conditionalFormatting>
  <conditionalFormatting sqref="N13:BJ13">
    <cfRule type="expression" priority="2" dxfId="0" stopIfTrue="1">
      <formula>AND(N$6&gt;=$I13,N$6&lt;=$J13)</formula>
    </cfRule>
  </conditionalFormatting>
  <conditionalFormatting sqref="N21:BJ21">
    <cfRule type="expression" priority="3" dxfId="0" stopIfTrue="1">
      <formula>AND(N$6&gt;=$I21,N$6&lt;=$J21)</formula>
    </cfRule>
  </conditionalFormatting>
  <conditionalFormatting sqref="N28:BJ28">
    <cfRule type="expression" priority="4" dxfId="0" stopIfTrue="1">
      <formula>AND(N$6&gt;=$I28,N$6&lt;=$J28)</formula>
    </cfRule>
  </conditionalFormatting>
  <conditionalFormatting sqref="N34:BJ34">
    <cfRule type="expression" priority="5" dxfId="0" stopIfTrue="1">
      <formula>AND(N$6&gt;=$I34,N$6&lt;=$J34)</formula>
    </cfRule>
  </conditionalFormatting>
  <conditionalFormatting sqref="N40:BJ40">
    <cfRule type="expression" priority="6" dxfId="0" stopIfTrue="1">
      <formula>AND(N$6&gt;=$I40,N$6&lt;=$J40)</formula>
    </cfRule>
  </conditionalFormatting>
  <conditionalFormatting sqref="N45:BJ45">
    <cfRule type="expression" priority="7" dxfId="0" stopIfTrue="1">
      <formula>AND(N$6&gt;=$I45,N$6&lt;=$J45)</formula>
    </cfRule>
  </conditionalFormatting>
  <conditionalFormatting sqref="N49:BJ49">
    <cfRule type="expression" priority="8" dxfId="0" stopIfTrue="1">
      <formula>AND(N$6&gt;=$I49,N$6&lt;=$J49)</formula>
    </cfRule>
  </conditionalFormatting>
  <conditionalFormatting sqref="N7:BJ55">
    <cfRule type="expression" priority="9" dxfId="1" stopIfTrue="1">
      <formula>AND($K7="Effectuée",N$6&gt;=$I7,N$6&lt;=$J7)</formula>
    </cfRule>
    <cfRule type="expression" priority="10" dxfId="2" stopIfTrue="1">
      <formula>AND($K7="Bloquée",N$6&gt;=$I7,N$6&lt;=$J7)</formula>
    </cfRule>
    <cfRule type="expression" priority="11" dxfId="3" stopIfTrue="1">
      <formula>AND(N$6&gt;=$I7,N$6&lt;=$J7)</formula>
    </cfRule>
  </conditionalFormatting>
  <conditionalFormatting sqref="N7:BJ56">
    <cfRule type="expression" priority="12" dxfId="4">
      <formula>WEEKDAY(N$6,2)&gt;5</formula>
    </cfRule>
  </conditionalFormatting>
  <conditionalFormatting sqref="K7:K56">
    <cfRule type="expression" priority="13" dxfId="5">
      <formula>K7="Effectuée"</formula>
    </cfRule>
    <cfRule type="expression" priority="14" dxfId="6">
      <formula>K7="En cours"</formula>
    </cfRule>
    <cfRule type="expression" priority="15" dxfId="7">
      <formula>K7="Bloquée"</formula>
    </cfRule>
    <cfRule type="expression" priority="16" dxfId="8">
      <formula>K7="Non réalisée"</formula>
    </cfRule>
  </conditionalFormatting>
  <dataValidations count="3">
    <dataValidation sqref="F2" showDropDown="0" showInputMessage="0" showErrorMessage="0" allowBlank="0" type="list">
      <formula1>"Données dégradées,Données correctes"</formula1>
    </dataValidation>
    <dataValidation sqref="K8 K9 K10 K11 K12 K14 K15 K16 K17 K18 K19 K20 K22 K23 K24 K25 K26 K27 K29 K30 K31 K32 K33 K35 K36 K37 K38 K39 K41 K42 K43 K44 K46 K47 K48 K50 K51 K52 K53 K54 K55" showDropDown="0" showInputMessage="0" showErrorMessage="0" allowBlank="1" type="list">
      <formula1>"Effectuée,En cours,Bloquée,Non réalisée"</formula1>
    </dataValidation>
    <dataValidation sqref="L8 L9 L10 L11 L12 L14 L15 L16 L17 L18 L19 L20 L22 L23 L24 L25 L26 L27 L29 L30 L31 L32 L33 L35 L36 L37 L38 L39 L41 L42 L43 L44 L46 L47 L48 L50 L51 L52 L53 L54 L55" showDropDown="0" showInputMessage="0" showErrorMessage="0" allowBlank="1" errorTitle="Taux de réalisation" error="Saisir un taux entre 0 % et 100 %." type="decimal" operator="between">
      <formula1>0</formula1>
      <formula2>1</formula2>
    </dataValidation>
  </dataValidations>
  <pageMargins left="0.75" right="0.75" top="1" bottom="1" header="0.5" footer="0.5"/>
  <pageSetup orientation="landscape" paperSize="8" fitToHeight="0" fitToWidth="1"/>
  <headerFooter>
    <oddHeader/>
    <oddFooter>&amp;LAdenka : plan de travail actuariel FPPN&amp;RPage &amp;P / &amp;N</oddFooter>
    <evenHeader/>
    <evenFooter/>
    <firstHeader/>
    <firstFooter/>
  </headerFooter>
</worksheet>
</file>

<file path=xl/worksheets/sheet2.xml><?xml version="1.0" encoding="utf-8"?>
<worksheet xmlns="http://schemas.openxmlformats.org/spreadsheetml/2006/main">
  <sheetPr>
    <tabColor rgb="00112A40"/>
    <outlinePr summaryBelow="1" summaryRight="1"/>
    <pageSetUpPr fitToPage="1"/>
  </sheetPr>
  <dimension ref="A1:K3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8" customWidth="1" min="1" max="1"/>
    <col width="14" customWidth="1" min="2" max="2"/>
    <col width="14" customWidth="1" min="3" max="3"/>
    <col width="14" customWidth="1" min="4" max="4"/>
    <col width="12" customWidth="1" min="5" max="5"/>
    <col width="12" customWidth="1" min="6" max="6"/>
    <col width="11" customWidth="1" min="7" max="7"/>
    <col width="11" customWidth="1" min="8" max="8"/>
    <col width="11" customWidth="1" min="9" max="9"/>
    <col width="12" customWidth="1" min="10" max="10"/>
    <col width="12" customWidth="1" min="11" max="11"/>
  </cols>
  <sheetData>
    <row r="1">
      <c r="A1" s="53" t="inlineStr">
        <is>
          <t>Tableau 1 : Avancement par phase au 22/10/2026</t>
        </is>
      </c>
    </row>
    <row r="2">
      <c r="A2" s="54" t="inlineStr">
        <is>
          <t>Calculé à partir de l'onglet « Plan de travail » : toute mise à jour des statuts et des taux s'y reporte. Le temps restant est le temps estimé du scénario choisi moins le temps réalisé équivalent.</t>
        </is>
      </c>
    </row>
    <row r="4" ht="42" customHeight="1">
      <c r="A4" s="6" t="inlineStr">
        <is>
          <t>Phase</t>
        </is>
      </c>
      <c r="B4" s="6" t="inlineStr">
        <is>
          <t>Temps estimé, données correctes (j)</t>
        </is>
      </c>
      <c r="C4" s="6" t="inlineStr">
        <is>
          <t>Temps estimé, données dégradées (j)</t>
        </is>
      </c>
      <c r="D4" s="6" t="inlineStr">
        <is>
          <t>Temps réalisé équivalent (j)</t>
        </is>
      </c>
      <c r="E4" s="6" t="inlineStr">
        <is>
          <t>Temps restant (j)</t>
        </is>
      </c>
      <c r="F4" s="6" t="inlineStr">
        <is>
          <t>Taux de réalisation</t>
        </is>
      </c>
      <c r="G4" s="55" t="inlineStr">
        <is>
          <t>Effectuées</t>
        </is>
      </c>
      <c r="H4" s="4" t="inlineStr">
        <is>
          <t>En cours</t>
        </is>
      </c>
      <c r="I4" s="56" t="inlineStr">
        <is>
          <t>Bloquées</t>
        </is>
      </c>
      <c r="J4" s="57" t="inlineStr">
        <is>
          <t>Non réalisées</t>
        </is>
      </c>
      <c r="K4" s="6" t="inlineStr">
        <is>
          <t>Sous-activités</t>
        </is>
      </c>
    </row>
    <row r="5" ht="30" customHeight="1">
      <c r="A5" s="58">
        <f>'Plan de travail'!B7</f>
        <v/>
      </c>
      <c r="B5" s="59">
        <f>'Plan de travail'!G7</f>
        <v/>
      </c>
      <c r="C5" s="59">
        <f>'Plan de travail'!H7</f>
        <v/>
      </c>
      <c r="D5" s="59">
        <f>'Plan de travail'!M7</f>
        <v/>
      </c>
      <c r="E5" s="59">
        <f>IF('Plan de travail'!$F$2="Données correctes",B5,C5)-D5</f>
        <v/>
      </c>
      <c r="F5" s="60">
        <f>'Plan de travail'!L7</f>
        <v/>
      </c>
      <c r="G5" s="61">
        <f>COUNTIF('Plan de travail'!K8:K12,"Effectuée")</f>
        <v/>
      </c>
      <c r="H5" s="61">
        <f>COUNTIF('Plan de travail'!K8:K12,"En cours")</f>
        <v/>
      </c>
      <c r="I5" s="61">
        <f>COUNTIF('Plan de travail'!K8:K12,"Bloquée")</f>
        <v/>
      </c>
      <c r="J5" s="61">
        <f>COUNTIF('Plan de travail'!K8:K12,"Non réalisée")</f>
        <v/>
      </c>
      <c r="K5" s="61">
        <f>COUNTA('Plan de travail'!K8:K12)</f>
        <v/>
      </c>
    </row>
    <row r="6" ht="30" customHeight="1">
      <c r="A6" s="58">
        <f>'Plan de travail'!B13</f>
        <v/>
      </c>
      <c r="B6" s="62">
        <f>'Plan de travail'!G13</f>
        <v/>
      </c>
      <c r="C6" s="62">
        <f>'Plan de travail'!H13</f>
        <v/>
      </c>
      <c r="D6" s="62">
        <f>'Plan de travail'!M13</f>
        <v/>
      </c>
      <c r="E6" s="62">
        <f>IF('Plan de travail'!$F$2="Données correctes",B6,C6)-D6</f>
        <v/>
      </c>
      <c r="F6" s="63">
        <f>'Plan de travail'!L13</f>
        <v/>
      </c>
      <c r="G6" s="64">
        <f>COUNTIF('Plan de travail'!K14:K20,"Effectuée")</f>
        <v/>
      </c>
      <c r="H6" s="64">
        <f>COUNTIF('Plan de travail'!K14:K20,"En cours")</f>
        <v/>
      </c>
      <c r="I6" s="64">
        <f>COUNTIF('Plan de travail'!K14:K20,"Bloquée")</f>
        <v/>
      </c>
      <c r="J6" s="64">
        <f>COUNTIF('Plan de travail'!K14:K20,"Non réalisée")</f>
        <v/>
      </c>
      <c r="K6" s="64">
        <f>COUNTA('Plan de travail'!K14:K20)</f>
        <v/>
      </c>
    </row>
    <row r="7" ht="30" customHeight="1">
      <c r="A7" s="58">
        <f>'Plan de travail'!B21</f>
        <v/>
      </c>
      <c r="B7" s="59">
        <f>'Plan de travail'!G21</f>
        <v/>
      </c>
      <c r="C7" s="59">
        <f>'Plan de travail'!H21</f>
        <v/>
      </c>
      <c r="D7" s="59">
        <f>'Plan de travail'!M21</f>
        <v/>
      </c>
      <c r="E7" s="59">
        <f>IF('Plan de travail'!$F$2="Données correctes",B7,C7)-D7</f>
        <v/>
      </c>
      <c r="F7" s="60">
        <f>'Plan de travail'!L21</f>
        <v/>
      </c>
      <c r="G7" s="61">
        <f>COUNTIF('Plan de travail'!K22:K27,"Effectuée")</f>
        <v/>
      </c>
      <c r="H7" s="61">
        <f>COUNTIF('Plan de travail'!K22:K27,"En cours")</f>
        <v/>
      </c>
      <c r="I7" s="61">
        <f>COUNTIF('Plan de travail'!K22:K27,"Bloquée")</f>
        <v/>
      </c>
      <c r="J7" s="61">
        <f>COUNTIF('Plan de travail'!K22:K27,"Non réalisée")</f>
        <v/>
      </c>
      <c r="K7" s="61">
        <f>COUNTA('Plan de travail'!K22:K27)</f>
        <v/>
      </c>
    </row>
    <row r="8" ht="30" customHeight="1">
      <c r="A8" s="58">
        <f>'Plan de travail'!B28</f>
        <v/>
      </c>
      <c r="B8" s="62">
        <f>'Plan de travail'!G28</f>
        <v/>
      </c>
      <c r="C8" s="62">
        <f>'Plan de travail'!H28</f>
        <v/>
      </c>
      <c r="D8" s="62">
        <f>'Plan de travail'!M28</f>
        <v/>
      </c>
      <c r="E8" s="62">
        <f>IF('Plan de travail'!$F$2="Données correctes",B8,C8)-D8</f>
        <v/>
      </c>
      <c r="F8" s="63">
        <f>'Plan de travail'!L28</f>
        <v/>
      </c>
      <c r="G8" s="64">
        <f>COUNTIF('Plan de travail'!K29:K33,"Effectuée")</f>
        <v/>
      </c>
      <c r="H8" s="64">
        <f>COUNTIF('Plan de travail'!K29:K33,"En cours")</f>
        <v/>
      </c>
      <c r="I8" s="64">
        <f>COUNTIF('Plan de travail'!K29:K33,"Bloquée")</f>
        <v/>
      </c>
      <c r="J8" s="64">
        <f>COUNTIF('Plan de travail'!K29:K33,"Non réalisée")</f>
        <v/>
      </c>
      <c r="K8" s="64">
        <f>COUNTA('Plan de travail'!K29:K33)</f>
        <v/>
      </c>
    </row>
    <row r="9" ht="30" customHeight="1">
      <c r="A9" s="58">
        <f>'Plan de travail'!B34</f>
        <v/>
      </c>
      <c r="B9" s="59">
        <f>'Plan de travail'!G34</f>
        <v/>
      </c>
      <c r="C9" s="59">
        <f>'Plan de travail'!H34</f>
        <v/>
      </c>
      <c r="D9" s="59">
        <f>'Plan de travail'!M34</f>
        <v/>
      </c>
      <c r="E9" s="59">
        <f>IF('Plan de travail'!$F$2="Données correctes",B9,C9)-D9</f>
        <v/>
      </c>
      <c r="F9" s="60">
        <f>'Plan de travail'!L34</f>
        <v/>
      </c>
      <c r="G9" s="61">
        <f>COUNTIF('Plan de travail'!K35:K39,"Effectuée")</f>
        <v/>
      </c>
      <c r="H9" s="61">
        <f>COUNTIF('Plan de travail'!K35:K39,"En cours")</f>
        <v/>
      </c>
      <c r="I9" s="61">
        <f>COUNTIF('Plan de travail'!K35:K39,"Bloquée")</f>
        <v/>
      </c>
      <c r="J9" s="61">
        <f>COUNTIF('Plan de travail'!K35:K39,"Non réalisée")</f>
        <v/>
      </c>
      <c r="K9" s="61">
        <f>COUNTA('Plan de travail'!K35:K39)</f>
        <v/>
      </c>
    </row>
    <row r="10" ht="30" customHeight="1">
      <c r="A10" s="58">
        <f>'Plan de travail'!B40</f>
        <v/>
      </c>
      <c r="B10" s="62">
        <f>'Plan de travail'!G40</f>
        <v/>
      </c>
      <c r="C10" s="62">
        <f>'Plan de travail'!H40</f>
        <v/>
      </c>
      <c r="D10" s="62">
        <f>'Plan de travail'!M40</f>
        <v/>
      </c>
      <c r="E10" s="62">
        <f>IF('Plan de travail'!$F$2="Données correctes",B10,C10)-D10</f>
        <v/>
      </c>
      <c r="F10" s="63">
        <f>'Plan de travail'!L40</f>
        <v/>
      </c>
      <c r="G10" s="64">
        <f>COUNTIF('Plan de travail'!K41:K44,"Effectuée")</f>
        <v/>
      </c>
      <c r="H10" s="64">
        <f>COUNTIF('Plan de travail'!K41:K44,"En cours")</f>
        <v/>
      </c>
      <c r="I10" s="64">
        <f>COUNTIF('Plan de travail'!K41:K44,"Bloquée")</f>
        <v/>
      </c>
      <c r="J10" s="64">
        <f>COUNTIF('Plan de travail'!K41:K44,"Non réalisée")</f>
        <v/>
      </c>
      <c r="K10" s="64">
        <f>COUNTA('Plan de travail'!K41:K44)</f>
        <v/>
      </c>
    </row>
    <row r="11" ht="30" customHeight="1">
      <c r="A11" s="58">
        <f>'Plan de travail'!B45</f>
        <v/>
      </c>
      <c r="B11" s="59">
        <f>'Plan de travail'!G45</f>
        <v/>
      </c>
      <c r="C11" s="59">
        <f>'Plan de travail'!H45</f>
        <v/>
      </c>
      <c r="D11" s="59">
        <f>'Plan de travail'!M45</f>
        <v/>
      </c>
      <c r="E11" s="59">
        <f>IF('Plan de travail'!$F$2="Données correctes",B11,C11)-D11</f>
        <v/>
      </c>
      <c r="F11" s="60">
        <f>'Plan de travail'!L45</f>
        <v/>
      </c>
      <c r="G11" s="61">
        <f>COUNTIF('Plan de travail'!K46:K48,"Effectuée")</f>
        <v/>
      </c>
      <c r="H11" s="61">
        <f>COUNTIF('Plan de travail'!K46:K48,"En cours")</f>
        <v/>
      </c>
      <c r="I11" s="61">
        <f>COUNTIF('Plan de travail'!K46:K48,"Bloquée")</f>
        <v/>
      </c>
      <c r="J11" s="61">
        <f>COUNTIF('Plan de travail'!K46:K48,"Non réalisée")</f>
        <v/>
      </c>
      <c r="K11" s="61">
        <f>COUNTA('Plan de travail'!K46:K48)</f>
        <v/>
      </c>
    </row>
    <row r="12" ht="30" customHeight="1">
      <c r="A12" s="58">
        <f>'Plan de travail'!B49</f>
        <v/>
      </c>
      <c r="B12" s="62">
        <f>'Plan de travail'!G49</f>
        <v/>
      </c>
      <c r="C12" s="62">
        <f>'Plan de travail'!H49</f>
        <v/>
      </c>
      <c r="D12" s="62">
        <f>'Plan de travail'!M49</f>
        <v/>
      </c>
      <c r="E12" s="62">
        <f>IF('Plan de travail'!$F$2="Données correctes",B12,C12)-D12</f>
        <v/>
      </c>
      <c r="F12" s="63">
        <f>'Plan de travail'!L49</f>
        <v/>
      </c>
      <c r="G12" s="64">
        <f>COUNTIF('Plan de travail'!K50:K55,"Effectuée")</f>
        <v/>
      </c>
      <c r="H12" s="64">
        <f>COUNTIF('Plan de travail'!K50:K55,"En cours")</f>
        <v/>
      </c>
      <c r="I12" s="64">
        <f>COUNTIF('Plan de travail'!K50:K55,"Bloquée")</f>
        <v/>
      </c>
      <c r="J12" s="64">
        <f>COUNTIF('Plan de travail'!K50:K55,"Non réalisée")</f>
        <v/>
      </c>
      <c r="K12" s="64">
        <f>COUNTA('Plan de travail'!K50:K55)</f>
        <v/>
      </c>
    </row>
    <row r="13">
      <c r="A13" s="58" t="inlineStr">
        <is>
          <t>Total de la mission</t>
        </is>
      </c>
      <c r="B13" s="65">
        <f>SUM(B5:B12)</f>
        <v/>
      </c>
      <c r="C13" s="65">
        <f>SUM(C5:C12)</f>
        <v/>
      </c>
      <c r="D13" s="65">
        <f>SUM(D5:D12)</f>
        <v/>
      </c>
      <c r="E13" s="65">
        <f>SUM(E5:E12)</f>
        <v/>
      </c>
      <c r="F13" s="66">
        <f>'Plan de travail'!L56</f>
        <v/>
      </c>
      <c r="G13" s="67">
        <f>SUM(G5:G12)</f>
        <v/>
      </c>
      <c r="H13" s="67">
        <f>SUM(H5:H12)</f>
        <v/>
      </c>
      <c r="I13" s="67">
        <f>SUM(I5:I12)</f>
        <v/>
      </c>
      <c r="J13" s="67">
        <f>SUM(J5:J12)</f>
        <v/>
      </c>
      <c r="K13" s="67">
        <f>SUM(K5:K12)</f>
        <v/>
      </c>
    </row>
    <row r="14">
      <c r="A14" s="52" t="inlineStr">
        <is>
          <t>Source : onglet « Plan de travail » ; pointage Adenka au 22/10/2026</t>
        </is>
      </c>
    </row>
    <row r="16">
      <c r="A16" s="45" t="inlineStr">
        <is>
          <t>Figure 1 : Taux de réalisation par phase au 22/10/2026</t>
        </is>
      </c>
    </row>
    <row r="36">
      <c r="A36" s="52" t="inlineStr">
        <is>
          <t>Source : onglet « Plan de travail » ; pointage Adenka</t>
        </is>
      </c>
    </row>
  </sheetData>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E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90" customWidth="1" min="2" max="2"/>
    <col width="18" customWidth="1" min="3" max="3"/>
    <col width="20" customWidth="1" min="4" max="4"/>
    <col width="24" customWidth="1" min="5" max="5"/>
  </cols>
  <sheetData>
    <row r="1">
      <c r="A1" s="53" t="inlineStr">
        <is>
          <t>Tableau 2 : Documents de la PBC dont dépendent les sous-activités bloquées ou en cours</t>
        </is>
      </c>
    </row>
    <row r="2">
      <c r="A2" s="54" t="inlineStr">
        <is>
          <t>Numéros et statuts repris de la PBC pointée au 22/10/2026 (FPPN_PBC_complete_pointee_20261022.xlsx).</t>
        </is>
      </c>
    </row>
    <row r="4">
      <c r="A4" s="6" t="inlineStr">
        <is>
          <t>Item PBC</t>
        </is>
      </c>
      <c r="B4" s="6" t="inlineStr">
        <is>
          <t>Document attendu</t>
        </is>
      </c>
      <c r="C4" s="6" t="inlineStr">
        <is>
          <t>Statut dans la PBC</t>
        </is>
      </c>
      <c r="D4" s="6" t="inlineStr">
        <is>
          <t>Sous-activités concernées</t>
        </is>
      </c>
      <c r="E4" s="6" t="inlineStr">
        <is>
          <t>Effet sur le plan</t>
        </is>
      </c>
    </row>
    <row r="5" ht="39" customHeight="1">
      <c r="A5" s="68" t="n">
        <v>1</v>
      </c>
      <c r="B5" s="27" t="inlineStr">
        <is>
          <t>Statuts et règlement intérieur en vigueur, ainsi que les versions applicables entre le 1er janvier 2020 et le 31 août 2026, avec leurs dates d'adoption.</t>
        </is>
      </c>
      <c r="C5" s="25" t="inlineStr">
        <is>
          <t>Partiellement Reçu</t>
        </is>
      </c>
      <c r="D5" s="25" t="inlineStr">
        <is>
          <t>1.3</t>
        </is>
      </c>
      <c r="E5" s="24" t="inlineStr">
        <is>
          <t>Limite la conclusion</t>
        </is>
      </c>
    </row>
    <row r="6" ht="65" customHeight="1">
      <c r="A6" s="68" t="n">
        <v>9</v>
      </c>
      <c r="B6" s="35" t="inlineStr">
        <is>
          <t>Fichier des mutualistes à chacune des dates suivantes : 31/12/2019, 31/12/2020, 31/12/2021, 31/12/2022, 31/12/2023, 31/12/2024, 31/12/2025 et 31/08/2026. Une ligne par mutualiste : matricule, date de naissance, sexe, date d'entrée dans la police, date d'adhésion au FPPN, statut (actif, retraité, sorti, décédé), date et motif de sortie, montant de la cotisation mensuelle.</t>
        </is>
      </c>
      <c r="C6" s="34" t="inlineStr">
        <is>
          <t>Partiellement Reçu</t>
        </is>
      </c>
      <c r="D6" s="34" t="inlineStr">
        <is>
          <t>3.1, 3.5</t>
        </is>
      </c>
      <c r="E6" s="33" t="inlineStr">
        <is>
          <t>Bloque la sous-activité</t>
        </is>
      </c>
    </row>
    <row r="7" ht="28" customHeight="1">
      <c r="A7" s="68" t="n">
        <v>10</v>
      </c>
      <c r="B7" s="27" t="inlineStr">
        <is>
          <t>Fichier des ayants droit. Une ligne par ayant droit : matricule du mutualiste, lien (conjoint, enfant), date de naissance, sexe.</t>
        </is>
      </c>
      <c r="C7" s="25" t="inlineStr">
        <is>
          <t>Non Reçu</t>
        </is>
      </c>
      <c r="D7" s="25" t="inlineStr">
        <is>
          <t>3.1, 3.5</t>
        </is>
      </c>
      <c r="E7" s="24" t="inlineStr">
        <is>
          <t>Bloque la sous-activité</t>
        </is>
      </c>
    </row>
    <row r="8" ht="52" customHeight="1">
      <c r="A8" s="68" t="n">
        <v>13</v>
      </c>
      <c r="B8" s="35" t="inlineStr">
        <is>
          <t>Fichier des prestations payées du 01/01/2020 au 31/08/2026. Une ligne par dossier : matricule, type de prestation, date de l'événement (décès, soins, départ à la retraite, etc.), date de déclaration ou de réception de la facture, date de paiement, montant dû, montant payé.</t>
        </is>
      </c>
      <c r="C8" s="34" t="inlineStr">
        <is>
          <t>Partiellement Reçu</t>
        </is>
      </c>
      <c r="D8" s="34" t="inlineStr">
        <is>
          <t>2.6, 3.5, 4.3</t>
        </is>
      </c>
      <c r="E8" s="33" t="inlineStr">
        <is>
          <t>Bloque la sous-activité</t>
        </is>
      </c>
    </row>
    <row r="9" ht="65" customHeight="1">
      <c r="A9" s="68" t="n">
        <v>14</v>
      </c>
      <c r="B9" s="27" t="inlineStr">
        <is>
          <t>Liste des dossiers de prestations non payés à chacune des dates suivantes : 31/12/2019, 31/12/2020, 31/12/2021, 31/12/2022, 31/12/2023, 31/12/2024, 31/12/2025 et 31/08/2026, y compris les factures des prestataires de santé non réglées. Une ligne par dossier : matricule, type de prestation, date de l'événement, date de déclaration, montant dû.</t>
        </is>
      </c>
      <c r="C9" s="25" t="inlineStr">
        <is>
          <t>Non Reçu</t>
        </is>
      </c>
      <c r="D9" s="25" t="inlineStr">
        <is>
          <t>4.2</t>
        </is>
      </c>
      <c r="E9" s="24" t="inlineStr">
        <is>
          <t>Bloque la sous-activité</t>
        </is>
      </c>
    </row>
    <row r="10" ht="39" customHeight="1">
      <c r="A10" s="68" t="n">
        <v>17</v>
      </c>
      <c r="B10" s="35" t="inlineStr">
        <is>
          <t>Comptes individuels d'épargne de 2020 au 31/08/2026. Une ligne par mutualiste et par année : solde d'ouverture, versements, intérêts crédités, retraits, solde de clôture.</t>
        </is>
      </c>
      <c r="C10" s="34" t="inlineStr">
        <is>
          <t>Partiellement Reçu</t>
        </is>
      </c>
      <c r="D10" s="34" t="inlineStr">
        <is>
          <t>2.5</t>
        </is>
      </c>
      <c r="E10" s="33" t="inlineStr">
        <is>
          <t>Limite la conclusion</t>
        </is>
      </c>
    </row>
    <row r="11" ht="28" customHeight="1">
      <c r="A11" s="68" t="n">
        <v>19</v>
      </c>
      <c r="B11" s="27" t="inlineStr">
        <is>
          <t>Rapprochement, à chaque date d'arrêté, entre le total des comptes individuels d'épargne et le montant inscrit au bilan.</t>
        </is>
      </c>
      <c r="C11" s="25" t="inlineStr">
        <is>
          <t>Non Reçu</t>
        </is>
      </c>
      <c r="D11" s="25" t="inlineStr">
        <is>
          <t>2.5</t>
        </is>
      </c>
      <c r="E11" s="24" t="inlineStr">
        <is>
          <t>Limite la conclusion</t>
        </is>
      </c>
    </row>
    <row r="12" ht="39" customHeight="1">
      <c r="A12" s="68" t="n">
        <v>20</v>
      </c>
      <c r="B12" s="35" t="inlineStr">
        <is>
          <t>Échéancier des placements au 31/12/2025 et au 31/08/2026 : nature, établissement, montant, date de souscription, date d'échéance, taux, conditions de sortie anticipée.</t>
        </is>
      </c>
      <c r="C12" s="34" t="inlineStr">
        <is>
          <t>Partiellement Reçu</t>
        </is>
      </c>
      <c r="D12" s="34" t="inlineStr">
        <is>
          <t>5.3</t>
        </is>
      </c>
      <c r="E12" s="33" t="inlineStr">
        <is>
          <t>Bloque la sous-activité</t>
        </is>
      </c>
    </row>
    <row r="13" ht="28" customHeight="1">
      <c r="A13" s="68" t="n">
        <v>25</v>
      </c>
      <c r="B13" s="27" t="inlineStr">
        <is>
          <t>Âge de départ à la retraite des fonctionnaires de police, par grade le cas échéant, et texte de référence.</t>
        </is>
      </c>
      <c r="C13" s="25" t="inlineStr">
        <is>
          <t>Non Reçu</t>
        </is>
      </c>
      <c r="D13" s="25" t="inlineStr">
        <is>
          <t>1.5</t>
        </is>
      </c>
      <c r="E13" s="24" t="inlineStr">
        <is>
          <t>Limite la conclusion</t>
        </is>
      </c>
    </row>
    <row r="14" ht="65" customHeight="1">
      <c r="A14" s="68" t="n">
        <v>28</v>
      </c>
      <c r="B14" s="35" t="inlineStr">
        <is>
          <t>Base des sinistres décès et allocations du 01/01/2019 au 31/08/2026, une ligne par dossier, au format de l'onglet « Modèle données décès » : matricule, grade, date de naissance, bénéficiaire (policier, conjoint, enfant), date du décès, date de déclaration, date de dossier complet, date de paiement, capital, frais funéraires, statut.</t>
        </is>
      </c>
      <c r="C14" s="34" t="inlineStr">
        <is>
          <t>Partiellement Reçu</t>
        </is>
      </c>
      <c r="D14" s="34" t="inlineStr">
        <is>
          <t>2.6, 3.5, 4.3</t>
        </is>
      </c>
      <c r="E14" s="33" t="inlineStr">
        <is>
          <t>Bloque la sous-activité</t>
        </is>
      </c>
    </row>
    <row r="15" ht="39" customHeight="1">
      <c r="A15" s="68" t="n">
        <v>29</v>
      </c>
      <c r="B15" s="27" t="inlineStr">
        <is>
          <t>Liste des dossiers non payés au 31/12/2025 et au 31/08/2026, avec l'année du décès, y compris les dossiers antérieurs à 2013 et les dossiers bloqués par un litige familial.</t>
        </is>
      </c>
      <c r="C15" s="25" t="inlineStr">
        <is>
          <t>Non Reçu</t>
        </is>
      </c>
      <c r="D15" s="25" t="inlineStr">
        <is>
          <t>4.2</t>
        </is>
      </c>
      <c r="E15" s="24" t="inlineStr">
        <is>
          <t>Bloque la sous-activité</t>
        </is>
      </c>
    </row>
    <row r="16" ht="52" customHeight="1">
      <c r="A16" s="68" t="n">
        <v>40</v>
      </c>
      <c r="B16" s="35" t="inlineStr">
        <is>
          <t>Base des prestations santé du 01/01/2019 au 31/08/2026, une ligne par facture, au format de l'onglet « Modèle données santé » : bénéficiaire, matricule du mutualiste, lien, prestataire, date des soins, date de la facture, date de paiement, montant facturé, montant payé.</t>
        </is>
      </c>
      <c r="C16" s="34" t="inlineStr">
        <is>
          <t>Non Reçu</t>
        </is>
      </c>
      <c r="D16" s="34" t="inlineStr">
        <is>
          <t>2.6, 3.5</t>
        </is>
      </c>
      <c r="E16" s="33" t="inlineStr">
        <is>
          <t>Bloque la sous-activité</t>
        </is>
      </c>
    </row>
    <row r="17" ht="28" customHeight="1">
      <c r="A17" s="68" t="n">
        <v>47</v>
      </c>
      <c r="B17" s="27" t="inlineStr">
        <is>
          <t>Rapports du commissaire aux comptes 2020 à 2025 et états financiers par risque long (règlement d'exécution n° 004/2022, art. 12 et 13).</t>
        </is>
      </c>
      <c r="C17" s="25" t="inlineStr">
        <is>
          <t>Partiellement Reçu</t>
        </is>
      </c>
      <c r="D17" s="25" t="inlineStr">
        <is>
          <t>6.4</t>
        </is>
      </c>
      <c r="E17" s="24" t="inlineStr">
        <is>
          <t>Bloque la sous-activité</t>
        </is>
      </c>
    </row>
    <row r="18" ht="28" customHeight="1">
      <c r="A18" s="68" t="n">
        <v>48</v>
      </c>
      <c r="B18" s="35" t="inlineStr">
        <is>
          <t>Étude actuarielle des risques longs déposée à l'AIRMS, le cas échéant (règlement d'exécution n° 004/2022, art. 14).</t>
        </is>
      </c>
      <c r="C18" s="34" t="inlineStr">
        <is>
          <t>Non Reçu</t>
        </is>
      </c>
      <c r="D18" s="34" t="inlineStr">
        <is>
          <t>6.4</t>
        </is>
      </c>
      <c r="E18" s="33" t="inlineStr">
        <is>
          <t>Bloque la sous-activité</t>
        </is>
      </c>
    </row>
    <row r="19" ht="28" customHeight="1">
      <c r="A19" s="68" t="n">
        <v>49</v>
      </c>
      <c r="B19" s="27" t="inlineStr">
        <is>
          <t>Attestation d'adhésion au FOMUS-CI, appels de cotisation et preuves de paiement 2022 à 2026.</t>
        </is>
      </c>
      <c r="C19" s="25" t="inlineStr">
        <is>
          <t>Non Reçu</t>
        </is>
      </c>
      <c r="D19" s="25" t="inlineStr">
        <is>
          <t>6.4</t>
        </is>
      </c>
      <c r="E19" s="24" t="inlineStr">
        <is>
          <t>Bloque la sous-activité</t>
        </is>
      </c>
    </row>
    <row r="20" ht="28" customHeight="1">
      <c r="A20" s="68" t="n">
        <v>51</v>
      </c>
      <c r="B20" s="35" t="inlineStr">
        <is>
          <t>Fichiers aller mensuels des postes maladie 936 et décès 8Z6, 2024 à 2026 (taux de recouvrement des cotisations).</t>
        </is>
      </c>
      <c r="C20" s="34" t="inlineStr">
        <is>
          <t>Non Reçu</t>
        </is>
      </c>
      <c r="D20" s="34" t="inlineStr">
        <is>
          <t>2.4</t>
        </is>
      </c>
      <c r="E20" s="33" t="inlineStr">
        <is>
          <t>Bloque la sous-activité</t>
        </is>
      </c>
    </row>
    <row r="21" ht="28" customHeight="1">
      <c r="A21" s="68" t="n">
        <v>52</v>
      </c>
      <c r="B21" s="27" t="inlineStr">
        <is>
          <t>Registre des contrôles a posteriori des factures et montants de prestations indues récupérés, 2022 à 2026.</t>
        </is>
      </c>
      <c r="C21" s="25" t="inlineStr">
        <is>
          <t>Non Reçu</t>
        </is>
      </c>
      <c r="D21" s="25" t="inlineStr">
        <is>
          <t>6.4</t>
        </is>
      </c>
      <c r="E21" s="24" t="inlineStr">
        <is>
          <t>Bloque la sous-activité</t>
        </is>
      </c>
    </row>
    <row r="22" ht="52" customHeight="1">
      <c r="A22" s="68" t="n">
        <v>61</v>
      </c>
      <c r="B22" s="35" t="inlineStr">
        <is>
          <t>Fichiers aller maladie (poste 936) et décès (poste 8Z6), de janvier 2020 à août 2026, transmis par la direction du personnel de la Police à la Solde (aucun fichier aller reçu sur 80 mois, voir l'onglet « Fichiers manquants » de la PBC complémentaire cotisations).</t>
        </is>
      </c>
      <c r="C22" s="34" t="inlineStr">
        <is>
          <t>Non Reçu</t>
        </is>
      </c>
      <c r="D22" s="34" t="inlineStr">
        <is>
          <t>2.4</t>
        </is>
      </c>
      <c r="E22" s="33" t="inlineStr">
        <is>
          <t>Bloque la sous-activité</t>
        </is>
      </c>
    </row>
    <row r="23" ht="39" customHeight="1">
      <c r="A23" s="68" t="n">
        <v>62</v>
      </c>
      <c r="B23" s="27" t="inlineStr">
        <is>
          <t>Fichiers retour maladie et décès manquants (voir l'onglet « Fichiers manquants » de la PBC complémentaire cotisations), et description du canal par lequel le FPPN les reçoit.</t>
        </is>
      </c>
      <c r="C23" s="25" t="inlineStr">
        <is>
          <t>Non Reçu</t>
        </is>
      </c>
      <c r="D23" s="25" t="inlineStr">
        <is>
          <t>2.4</t>
        </is>
      </c>
      <c r="E23" s="24" t="inlineStr">
        <is>
          <t>Bloque la sous-activité</t>
        </is>
      </c>
    </row>
    <row r="24" ht="39" customHeight="1">
      <c r="A24" s="68" t="n">
        <v>63</v>
      </c>
      <c r="B24" s="35" t="inlineStr">
        <is>
          <t>Fichiers aller et retour manquants de l'EFC, du PEP, du Grenier, de MEDOC, de la flotte automobile et des retraités (CGRAE), mois par mois (voir l'onglet « Fichiers manquants » de la PBC complémentaire cotisations).</t>
        </is>
      </c>
      <c r="C24" s="34" t="inlineStr">
        <is>
          <t>Non Reçu</t>
        </is>
      </c>
      <c r="D24" s="34" t="inlineStr">
        <is>
          <t>2.4</t>
        </is>
      </c>
      <c r="E24" s="33" t="inlineStr">
        <is>
          <t>Bloque la sous-activité</t>
        </is>
      </c>
    </row>
    <row r="25" ht="28" customHeight="1">
      <c r="A25" s="68" t="n">
        <v>66</v>
      </c>
      <c r="B25" s="27" t="inlineStr">
        <is>
          <t>Fichier des ayants droit au 31/08/2026, au format de l'onglet « Modèle ayants droit » de la PBC complémentaire cotisations.</t>
        </is>
      </c>
      <c r="C25" s="25" t="inlineStr">
        <is>
          <t>Non Reçu</t>
        </is>
      </c>
      <c r="D25" s="25" t="inlineStr">
        <is>
          <t>3.5</t>
        </is>
      </c>
      <c r="E25" s="24" t="inlineStr">
        <is>
          <t>Bloque la sous-activité</t>
        </is>
      </c>
    </row>
    <row r="26" ht="65" customHeight="1">
      <c r="A26" s="68" t="n">
        <v>71</v>
      </c>
      <c r="B26" s="35" t="inlineStr">
        <is>
          <t>Bases des prestations maladie et décès sur le plus grand nombre d'années disponibles (au moins depuis 2019) jusqu'au 31/08/2026, une ligne par dossier : date de survenance (soins ou décès), date de déclaration, date de paiement, montant, statut (payé, en attente, rejeté). Nécessaires à la PSAP dossier par dossier et à la méthode CIMA des sinistres tardifs.</t>
        </is>
      </c>
      <c r="C26" s="34" t="inlineStr">
        <is>
          <t>Partiellement Reçu</t>
        </is>
      </c>
      <c r="D26" s="34" t="inlineStr">
        <is>
          <t>2.6, 3.5, 4.2, 4.3</t>
        </is>
      </c>
      <c r="E26" s="33" t="inlineStr">
        <is>
          <t>Bloque la sous-activité</t>
        </is>
      </c>
    </row>
    <row r="27" ht="39" customHeight="1">
      <c r="A27" s="68" t="n">
        <v>72</v>
      </c>
      <c r="B27" s="27" t="inlineStr">
        <is>
          <t>Note de calcul des provisions pour prestations à payer maladie et obsèques (comptes 15801000 et 15802000), liste des dossiers qui les composent, et raison de l'absence de mise à jour depuis 2020.</t>
        </is>
      </c>
      <c r="C27" s="25" t="inlineStr">
        <is>
          <t>Non Reçu</t>
        </is>
      </c>
      <c r="D27" s="25" t="inlineStr">
        <is>
          <t>4.2</t>
        </is>
      </c>
      <c r="E27" s="24" t="inlineStr">
        <is>
          <t>Bloque la sous-activité</t>
        </is>
      </c>
    </row>
    <row r="28" ht="28" customHeight="1">
      <c r="A28" s="68" t="n">
        <v>75</v>
      </c>
      <c r="B28" s="35" t="inlineStr">
        <is>
          <t>Détail des mouvements du compte 47111106 « GNA ASSURANCE » de 2023 au 31/08/2026, avec les pièces justificatives.</t>
        </is>
      </c>
      <c r="C28" s="34" t="inlineStr">
        <is>
          <t>Non Reçu</t>
        </is>
      </c>
      <c r="D28" s="34" t="inlineStr">
        <is>
          <t>4.4</t>
        </is>
      </c>
      <c r="E28" s="33" t="inlineStr">
        <is>
          <t>Limite la conclusion</t>
        </is>
      </c>
    </row>
    <row r="29" ht="28" customHeight="1">
      <c r="A29" s="68" t="n">
        <v>78</v>
      </c>
      <c r="B29" s="27" t="inlineStr">
        <is>
          <t>Note de calcul de la provision pour indemnités de départ à la retraite (compte 196) : méthode, hypothèses, liste des salariés.</t>
        </is>
      </c>
      <c r="C29" s="25" t="inlineStr">
        <is>
          <t>Non Reçu</t>
        </is>
      </c>
      <c r="D29" s="25" t="inlineStr">
        <is>
          <t>4.4</t>
        </is>
      </c>
      <c r="E29" s="24" t="inlineStr">
        <is>
          <t>Limite la conclusion</t>
        </is>
      </c>
    </row>
    <row r="30" ht="28" customHeight="1">
      <c r="A30" s="68" t="n">
        <v>80</v>
      </c>
      <c r="B30" s="35" t="inlineStr">
        <is>
          <t>Conventions, taux, échéances et relevés du DAT BOA (compte 52210200) de 2020 au 31/08/2026.</t>
        </is>
      </c>
      <c r="C30" s="34" t="inlineStr">
        <is>
          <t>Partiellement Reçu</t>
        </is>
      </c>
      <c r="D30" s="34" t="inlineStr">
        <is>
          <t>5.3</t>
        </is>
      </c>
      <c r="E30" s="33" t="inlineStr">
        <is>
          <t>Bloque la sous-activité</t>
        </is>
      </c>
    </row>
    <row r="31" ht="28" customHeight="1">
      <c r="A31" s="68" t="n">
        <v>81</v>
      </c>
      <c r="B31" s="27" t="inlineStr">
        <is>
          <t>Bulletin de souscription au FCP géré par United Capital (SGI), valeurs liquidatives et relevés de 2025 au 31/08/2026.</t>
        </is>
      </c>
      <c r="C31" s="25" t="inlineStr">
        <is>
          <t>Non Reçu</t>
        </is>
      </c>
      <c r="D31" s="25" t="inlineStr">
        <is>
          <t>5.3</t>
        </is>
      </c>
      <c r="E31" s="24" t="inlineStr">
        <is>
          <t>Bloque la sous-activité</t>
        </is>
      </c>
    </row>
    <row r="32" ht="28" customHeight="1">
      <c r="A32" s="68" t="n">
        <v>82</v>
      </c>
      <c r="B32" s="35" t="inlineStr">
        <is>
          <t>Inventaire et tableau de variation de tous les placements de 2016 au 31/08/2026 : souscriptions, intérêts, débouclages, par banque ou gestionnaire.</t>
        </is>
      </c>
      <c r="C32" s="34" t="inlineStr">
        <is>
          <t>Non Reçu</t>
        </is>
      </c>
      <c r="D32" s="34" t="inlineStr">
        <is>
          <t>5.3</t>
        </is>
      </c>
      <c r="E32" s="33" t="inlineStr">
        <is>
          <t>Bloque la sous-activité</t>
        </is>
      </c>
    </row>
    <row r="33" ht="39" customHeight="1">
      <c r="A33" s="68" t="n">
        <v>92</v>
      </c>
      <c r="B33" s="27" t="inlineStr">
        <is>
          <t>Fichiers des décès transmis par la direction du personnel et calcul de fin d'année des allocations restant à payer, de 2020 à 2025, avec le compte utilisé.</t>
        </is>
      </c>
      <c r="C33" s="25" t="inlineStr">
        <is>
          <t>Non Reçu</t>
        </is>
      </c>
      <c r="D33" s="25" t="inlineStr">
        <is>
          <t>4.2</t>
        </is>
      </c>
      <c r="E33" s="24" t="inlineStr">
        <is>
          <t>Bloque la sous-activité</t>
        </is>
      </c>
    </row>
    <row r="34" ht="28" customHeight="1">
      <c r="A34" s="68" t="n">
        <v>98</v>
      </c>
      <c r="B34" s="35" t="inlineStr">
        <is>
          <t>Fichiers de calcul de la provision pour départ à la retraite de 2020 à 2026 (complète l'item 78).</t>
        </is>
      </c>
      <c r="C34" s="34" t="inlineStr">
        <is>
          <t>Non Reçu</t>
        </is>
      </c>
      <c r="D34" s="34" t="inlineStr">
        <is>
          <t>4.4</t>
        </is>
      </c>
      <c r="E34" s="33" t="inlineStr">
        <is>
          <t>Limite la conclusion</t>
        </is>
      </c>
    </row>
    <row r="35" ht="39" customHeight="1">
      <c r="A35" s="68" t="n">
        <v>103</v>
      </c>
      <c r="B35" s="27" t="inlineStr">
        <is>
          <t>Fichier du personnel de la Direction Générale avec une colonne de statut : personnel civil salarié ou fonctionnaire de police en service (article 31 du règlement intérieur ; complète l'item 76).</t>
        </is>
      </c>
      <c r="C35" s="25" t="inlineStr">
        <is>
          <t>Partiellement Reçu</t>
        </is>
      </c>
      <c r="D35" s="25" t="inlineStr">
        <is>
          <t>4.4</t>
        </is>
      </c>
      <c r="E35" s="24" t="inlineStr">
        <is>
          <t>Limite la conclusion</t>
        </is>
      </c>
    </row>
    <row r="37">
      <c r="A37" s="52" t="inlineStr">
        <is>
          <t>Source : PBC pointée au 22/10/2026 ; onglet « Plan de travail »</t>
        </is>
      </c>
    </row>
  </sheetData>
  <autoFilter ref="A4:E35"/>
  <conditionalFormatting sqref="C5:C35">
    <cfRule type="expression" priority="1" dxfId="9">
      <formula>C5="Non Reçu"</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B24"/>
  <sheetViews>
    <sheetView showGridLines="0" workbookViewId="0">
      <selection activeCell="A1" sqref="A1"/>
    </sheetView>
  </sheetViews>
  <sheetFormatPr baseColWidth="8" defaultRowHeight="15"/>
  <cols>
    <col width="26" customWidth="1" min="1" max="1"/>
    <col width="110" customWidth="1" min="2" max="2"/>
  </cols>
  <sheetData>
    <row r="1">
      <c r="A1" s="53" t="inlineStr">
        <is>
          <t>Mode d'emploi du plan de travail</t>
        </is>
      </c>
    </row>
    <row r="3">
      <c r="A3" s="69" t="inlineStr">
        <is>
          <t>Structure</t>
        </is>
      </c>
      <c r="B3" s="70" t="inlineStr"/>
    </row>
    <row r="4" ht="28" customHeight="1">
      <c r="A4" s="58" t="inlineStr">
        <is>
          <t>Phases</t>
        </is>
      </c>
      <c r="B4" s="24" t="inlineStr">
        <is>
          <t>Les huit phases sont les activités de l'estimation du temps de la mission (26 j si les données sont correctes, 39 j si elles sont dégradées).</t>
        </is>
      </c>
    </row>
    <row r="5" ht="28" customHeight="1">
      <c r="A5" s="58" t="inlineStr">
        <is>
          <t>Sous-activités</t>
        </is>
      </c>
      <c r="B5" s="33" t="inlineStr">
        <is>
          <t>Chaque phase est détaillée en sous-activités. Leur temps estimé redonne exactement le temps de la phase dans les deux scénarios.</t>
        </is>
      </c>
    </row>
    <row r="6" ht="28" customHeight="1">
      <c r="A6" s="58" t="inlineStr">
        <is>
          <t>Pointage</t>
        </is>
      </c>
      <c r="B6" s="24" t="inlineStr">
        <is>
          <t>La colonne « Observations et pièces justificatives » cite la pièce qui justifie le statut (rapport v8, classeur v8, PBC, comptes rendus) et les items de la PBC attendus.</t>
        </is>
      </c>
    </row>
    <row r="8">
      <c r="A8" s="69" t="inlineStr">
        <is>
          <t>Mise à jour</t>
        </is>
      </c>
      <c r="B8" s="70" t="inlineStr"/>
    </row>
    <row r="9" ht="18" customHeight="1">
      <c r="A9" s="58" t="inlineStr">
        <is>
          <t>Statut</t>
        </is>
      </c>
      <c r="B9" s="24" t="inlineStr">
        <is>
          <t>Liste déroulante sur chaque sous-activité. Le statut des phases et de la mission est calculé.</t>
        </is>
      </c>
    </row>
    <row r="10" ht="18" customHeight="1">
      <c r="A10" s="58" t="inlineStr">
        <is>
          <t>Taux de réalisation</t>
        </is>
      </c>
      <c r="B10" s="33" t="inlineStr">
        <is>
          <t>Saisie libre entre 0 % et 100 % sur chaque sous-activité.</t>
        </is>
      </c>
    </row>
    <row r="11" ht="28" customHeight="1">
      <c r="A11" s="58" t="inlineStr">
        <is>
          <t>Scénario</t>
        </is>
      </c>
      <c r="B11" s="24" t="inlineStr">
        <is>
          <t>Cellule orange F2 de l'onglet « Plan de travail » : données dégradées (par défaut) ou données correctes.</t>
        </is>
      </c>
    </row>
    <row r="12" ht="28" customHeight="1">
      <c r="A12" s="58" t="inlineStr">
        <is>
          <t>Dates</t>
        </is>
      </c>
      <c r="B12" s="33" t="inlineStr">
        <is>
          <t>Les colonnes « Début prévu » et « Fin prévue » pilotent le diagramme ; le modifier revient à changer ces dates.</t>
        </is>
      </c>
    </row>
    <row r="14">
      <c r="A14" s="69" t="inlineStr">
        <is>
          <t>Calculs</t>
        </is>
      </c>
      <c r="B14" s="70" t="inlineStr"/>
    </row>
    <row r="15" ht="18" customHeight="1">
      <c r="A15" s="58" t="inlineStr">
        <is>
          <t>Temps réalisé équivalent</t>
        </is>
      </c>
      <c r="B15" s="24" t="inlineStr">
        <is>
          <t>Temps estimé du scénario choisi multiplié par le taux de réalisation de la sous-activité.</t>
        </is>
      </c>
    </row>
    <row r="16" ht="28" customHeight="1">
      <c r="A16" s="58" t="inlineStr">
        <is>
          <t>Taux d'une phase</t>
        </is>
      </c>
      <c r="B16" s="33" t="inlineStr">
        <is>
          <t>Somme des temps réalisés équivalents de la phase divisée par son temps estimé : moyenne des taux pondérée par le temps.</t>
        </is>
      </c>
    </row>
    <row r="17" ht="18" customHeight="1">
      <c r="A17" s="58" t="inlineStr">
        <is>
          <t>Taux de la mission</t>
        </is>
      </c>
      <c r="B17" s="24" t="inlineStr">
        <is>
          <t>Somme des temps réalisés équivalents divisée par le temps estimé total du scénario choisi.</t>
        </is>
      </c>
    </row>
    <row r="18" ht="28" customHeight="1">
      <c r="A18" s="58" t="inlineStr">
        <is>
          <t>Statut d'une phase</t>
        </is>
      </c>
      <c r="B18" s="33" t="inlineStr">
        <is>
          <t>Effectuée à 100 % ; Bloquée si le taux est nul et qu'une sous-activité est bloquée ; Non réalisée si le taux est nul ; En cours sinon.</t>
        </is>
      </c>
    </row>
    <row r="20">
      <c r="A20" s="69" t="inlineStr">
        <is>
          <t>Statuts</t>
        </is>
      </c>
      <c r="B20" s="70" t="inlineStr"/>
    </row>
    <row r="21">
      <c r="A21" s="55" t="inlineStr">
        <is>
          <t>Effectuée</t>
        </is>
      </c>
      <c r="B21" s="71" t="inlineStr">
        <is>
          <t>Travail terminé, pièce justificative disponible.</t>
        </is>
      </c>
    </row>
    <row r="22">
      <c r="A22" s="4" t="inlineStr">
        <is>
          <t>En cours</t>
        </is>
      </c>
      <c r="B22" s="71" t="inlineStr">
        <is>
          <t>Travail engagé, résultat provisoire ou partiel.</t>
        </is>
      </c>
    </row>
    <row r="23">
      <c r="A23" s="56" t="inlineStr">
        <is>
          <t>Bloquée</t>
        </is>
      </c>
      <c r="B23" s="71" t="inlineStr">
        <is>
          <t>Travail arrêté ou limité dans l'attente de documents du FPPN (items de la PBC cités).</t>
        </is>
      </c>
    </row>
    <row r="24">
      <c r="A24" s="57" t="inlineStr">
        <is>
          <t>Non réalisée</t>
        </is>
      </c>
      <c r="B24" s="71" t="inlineStr">
        <is>
          <t>Travail non commencé, selon le calendrier prévu.</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2026-10-22T12:47:27Z</dcterms:created>
  <dcterms:modified xmlns:dcterms="http://purl.org/dc/terms/" xmlns:xsi="http://www.w3.org/2001/XMLSchema-instance" xsi:type="dcterms:W3CDTF">2026-10-22T12:47:27Z</dcterms:modified>
</cp:coreProperties>
</file>