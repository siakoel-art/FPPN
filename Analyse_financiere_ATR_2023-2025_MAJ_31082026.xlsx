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Graphiques" sheetId="1" state="visible" r:id="rId1"/>
    <sheet xmlns:r="http://schemas.openxmlformats.org/officeDocument/2006/relationships" name="Indicateurs" sheetId="2" state="visible" r:id="rId2"/>
    <sheet xmlns:r="http://schemas.openxmlformats.org/officeDocument/2006/relationships" name="États financiers" sheetId="3" state="visible" r:id="rId3"/>
    <sheet xmlns:r="http://schemas.openxmlformats.org/officeDocument/2006/relationships" name="Points d'attention" sheetId="4" state="visible" r:id="rId4"/>
  </sheets>
  <definedNames/>
  <calcPr calcId="191028" fullCalcOnLoad="1" iterateDelta="0.0001"/>
</workbook>
</file>

<file path=xl/styles.xml><?xml version="1.0" encoding="utf-8"?>
<styleSheet xmlns="http://schemas.openxmlformats.org/spreadsheetml/2006/main">
  <numFmts count="6">
    <numFmt numFmtId="164" formatCode="#,##0;[Red]\-#,##0;\-"/>
    <numFmt numFmtId="165" formatCode="0.0%;[Red]\-0.0%;\-"/>
    <numFmt numFmtId="166" formatCode="#,##0.0;[Red]\-#,##0.0;\-"/>
    <numFmt numFmtId="167" formatCode="0.0&quot; ans&quot;;[Red]\-0.0&quot; ans&quot;;\-"/>
    <numFmt numFmtId="168" formatCode="0.00\x;[Red]\-0.00\x;\-"/>
    <numFmt numFmtId="169" formatCode="#,##0&quot; j&quot;;[Red]\-#,##0&quot; j&quot;;\-"/>
  </numFmts>
  <fonts count="10">
    <font>
      <name val="Calibri"/>
      <charset val="1"/>
      <family val="2"/>
      <color theme="1"/>
      <sz val="11"/>
    </font>
    <font>
      <name val="Arial"/>
      <charset val="1"/>
      <b val="1"/>
      <color rgb="FFFFFFFF"/>
      <sz val="14"/>
    </font>
    <font>
      <name val="Arial"/>
      <charset val="1"/>
      <i val="1"/>
      <color rgb="FF808080"/>
      <sz val="9"/>
    </font>
    <font>
      <name val="Arial"/>
      <charset val="1"/>
      <b val="1"/>
      <color rgb="FFFFFFFF"/>
      <sz val="10"/>
    </font>
    <font>
      <name val="Arial"/>
      <charset val="1"/>
      <color rgb="FF000000"/>
      <sz val="10"/>
    </font>
    <font>
      <name val="Arial"/>
      <charset val="1"/>
      <color rgb="FF808080"/>
      <sz val="9"/>
    </font>
    <font>
      <name val="Arial"/>
      <charset val="1"/>
      <b val="1"/>
      <color rgb="FF000000"/>
      <sz val="10"/>
    </font>
    <font>
      <name val="Arial"/>
      <charset val="1"/>
      <color rgb="FF0000FF"/>
      <sz val="10"/>
    </font>
    <font>
      <name val="Arial"/>
      <family val="2"/>
      <sz val="10"/>
    </font>
    <font>
      <name val="Arial"/>
      <charset val="1"/>
      <sz val="10"/>
    </font>
  </fonts>
  <fills count="7">
    <fill>
      <patternFill/>
    </fill>
    <fill>
      <patternFill patternType="gray125"/>
    </fill>
    <fill>
      <patternFill patternType="solid">
        <fgColor rgb="FF000000"/>
        <bgColor rgb="FF003300"/>
      </patternFill>
    </fill>
    <fill>
      <patternFill patternType="solid">
        <fgColor rgb="FFEFAC62"/>
        <bgColor rgb="FFFF8080"/>
      </patternFill>
    </fill>
    <fill>
      <patternFill patternType="solid">
        <fgColor rgb="FF112A40"/>
        <bgColor rgb="FF333333"/>
      </patternFill>
    </fill>
    <fill>
      <patternFill patternType="solid">
        <fgColor rgb="FFE9EDF2"/>
        <bgColor rgb="FFF7F8FA"/>
      </patternFill>
    </fill>
    <fill>
      <patternFill patternType="solid">
        <fgColor rgb="FFF7F8FA"/>
        <bgColor rgb="FFFFFFFF"/>
      </patternFill>
    </fill>
  </fills>
  <borders count="2">
    <border>
      <left/>
      <right/>
      <top/>
      <bottom/>
      <diagonal/>
    </border>
    <border>
      <left/>
      <right/>
      <top style="thin">
        <color auto="1"/>
      </top>
      <bottom/>
      <diagonal/>
    </border>
  </borders>
  <cellStyleXfs count="1">
    <xf numFmtId="0" fontId="0" fillId="0" borderId="0"/>
  </cellStyleXfs>
  <cellXfs count="38">
    <xf numFmtId="0" fontId="0" fillId="0" borderId="0" pivotButton="0" quotePrefix="0" xfId="0"/>
    <xf numFmtId="0" fontId="2" fillId="0" borderId="0" pivotButton="0" quotePrefix="0" xfId="0"/>
    <xf numFmtId="0" fontId="3" fillId="3" borderId="0" applyAlignment="1" pivotButton="0" quotePrefix="0" xfId="0">
      <alignment horizontal="left" vertical="center"/>
    </xf>
    <xf numFmtId="0" fontId="3" fillId="3" borderId="0" applyAlignment="1" pivotButton="0" quotePrefix="0" xfId="0">
      <alignment horizontal="center" vertical="center"/>
    </xf>
    <xf numFmtId="0" fontId="3" fillId="4" borderId="0" pivotButton="0" quotePrefix="0" xfId="0"/>
    <xf numFmtId="0" fontId="0" fillId="4" borderId="0" pivotButton="0" quotePrefix="0" xfId="0"/>
    <xf numFmtId="0" fontId="4" fillId="5" borderId="0" pivotButton="0" quotePrefix="0" xfId="0"/>
    <xf numFmtId="164" fontId="4" fillId="5" borderId="0" applyAlignment="1" pivotButton="0" quotePrefix="0" xfId="0">
      <alignment horizontal="right"/>
    </xf>
    <xf numFmtId="0" fontId="5" fillId="5" borderId="0" pivotButton="0" quotePrefix="0" xfId="0"/>
    <xf numFmtId="0" fontId="4" fillId="6" borderId="0" pivotButton="0" quotePrefix="0" xfId="0"/>
    <xf numFmtId="164" fontId="4" fillId="6" borderId="0" applyAlignment="1" pivotButton="0" quotePrefix="0" xfId="0">
      <alignment horizontal="right"/>
    </xf>
    <xf numFmtId="0" fontId="5" fillId="6" borderId="0" pivotButton="0" quotePrefix="0" xfId="0"/>
    <xf numFmtId="165" fontId="4" fillId="5" borderId="0" applyAlignment="1" pivotButton="0" quotePrefix="0" xfId="0">
      <alignment horizontal="right"/>
    </xf>
    <xf numFmtId="165" fontId="4" fillId="6" borderId="0" applyAlignment="1" pivotButton="0" quotePrefix="0" xfId="0">
      <alignment horizontal="right"/>
    </xf>
    <xf numFmtId="166" fontId="4" fillId="5" borderId="0" applyAlignment="1" pivotButton="0" quotePrefix="0" xfId="0">
      <alignment horizontal="right"/>
    </xf>
    <xf numFmtId="166" fontId="4" fillId="6" borderId="0" applyAlignment="1" pivotButton="0" quotePrefix="0" xfId="0">
      <alignment horizontal="right"/>
    </xf>
    <xf numFmtId="167" fontId="4" fillId="6" borderId="0" applyAlignment="1" pivotButton="0" quotePrefix="0" xfId="0">
      <alignment horizontal="right"/>
    </xf>
    <xf numFmtId="168" fontId="4" fillId="5" borderId="0" applyAlignment="1" pivotButton="0" quotePrefix="0" xfId="0">
      <alignment horizontal="right"/>
    </xf>
    <xf numFmtId="169" fontId="4" fillId="6" borderId="0" applyAlignment="1" pivotButton="0" quotePrefix="0" xfId="0">
      <alignment horizontal="right"/>
    </xf>
    <xf numFmtId="168" fontId="4" fillId="6" borderId="0" applyAlignment="1" pivotButton="0" quotePrefix="0" xfId="0">
      <alignment horizontal="right"/>
    </xf>
    <xf numFmtId="169" fontId="4" fillId="5" borderId="0" applyAlignment="1" pivotButton="0" quotePrefix="0" xfId="0">
      <alignment horizontal="right"/>
    </xf>
    <xf numFmtId="0" fontId="6" fillId="5" borderId="0" pivotButton="0" quotePrefix="0" xfId="0"/>
    <xf numFmtId="164" fontId="6" fillId="5" borderId="0" pivotButton="0" quotePrefix="0" xfId="0"/>
    <xf numFmtId="164" fontId="7" fillId="6" borderId="0" pivotButton="0" quotePrefix="0" xfId="0"/>
    <xf numFmtId="164" fontId="7" fillId="5" borderId="0" pivotButton="0" quotePrefix="0" xfId="0"/>
    <xf numFmtId="0" fontId="6" fillId="6" borderId="0" pivotButton="0" quotePrefix="0" xfId="0"/>
    <xf numFmtId="164" fontId="6" fillId="6" borderId="0" pivotButton="0" quotePrefix="0" xfId="0"/>
    <xf numFmtId="0" fontId="5" fillId="0" borderId="1" pivotButton="0" quotePrefix="0" xfId="0"/>
    <xf numFmtId="0" fontId="6" fillId="0" borderId="1" pivotButton="0" quotePrefix="0" xfId="0"/>
    <xf numFmtId="164" fontId="6" fillId="0" borderId="1" pivotButton="0" quotePrefix="0" xfId="0"/>
    <xf numFmtId="164" fontId="4" fillId="5" borderId="0" pivotButton="0" quotePrefix="0" xfId="0"/>
    <xf numFmtId="164" fontId="4" fillId="6" borderId="0" pivotButton="0" quotePrefix="0" xfId="0"/>
    <xf numFmtId="0" fontId="1" fillId="2" borderId="0" applyAlignment="1" pivotButton="0" quotePrefix="0" xfId="0">
      <alignment vertical="center" indent="1"/>
    </xf>
    <xf numFmtId="0" fontId="9" fillId="0" borderId="0" applyAlignment="1" pivotButton="0" quotePrefix="0" xfId="0">
      <alignment vertical="top" wrapText="1"/>
    </xf>
    <xf numFmtId="1" fontId="7" fillId="6" borderId="0" pivotButton="0" quotePrefix="0" xfId="0"/>
    <xf numFmtId="164" fontId="7" fillId="5" borderId="0" applyAlignment="1" pivotButton="0" quotePrefix="0" xfId="0">
      <alignment horizontal="center" vertical="center"/>
    </xf>
    <xf numFmtId="164" fontId="7" fillId="6" borderId="0" applyAlignment="1" pivotButton="0" quotePrefix="0" xfId="0">
      <alignment horizontal="center" vertical="center"/>
    </xf>
    <xf numFmtId="164" fontId="4" fillId="5"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0504D"/>
      <rgbColor rgb="FFF7F8FA"/>
      <rgbColor rgb="FFE9ED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EFAC62"/>
      <rgbColor rgb="FF3366FF"/>
      <rgbColor rgb="FF33CCCC"/>
      <rgbColor rgb="FF99CC00"/>
      <rgbColor rgb="FFFFCC00"/>
      <rgbColor rgb="FFFF9900"/>
      <rgbColor rgb="FFFF6600"/>
      <rgbColor rgb="FF5B8DB8"/>
      <rgbColor rgb="FF878787"/>
      <rgbColor rgb="FF112A40"/>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Activité et soldes de gestion</a:t>
            </a:r>
          </a:p>
        </c:rich>
      </c:tx>
      <c:overlay val="0"/>
      <c:spPr>
        <a:noFill/>
        <a:ln w="0">
          <a:noFill/>
        </a:ln>
      </c:spPr>
    </c:title>
    <c:autoTitleDeleted val="0"/>
    <c:plotArea>
      <c:layout/>
      <c:barChart>
        <c:barDir val="col"/>
        <c:grouping val="clustered"/>
        <c:varyColors val="0"/>
        <c:ser>
          <c:idx val="0"/>
          <c:order val="0"/>
          <c:tx>
            <c:strRef>
              <c:f>Indicateurs!B6</c:f>
              <c:strCache>
                <c:ptCount val="1"/>
                <c:pt idx="0">
                  <c:v>Chiffre d'affaires</c:v>
                </c:pt>
              </c:strCache>
            </c:strRef>
          </c:tx>
          <c:spPr>
            <a:solidFill>
              <a:srgbClr val="112A40"/>
            </a:solidFill>
            <a:ln w="0">
              <a:solidFill>
                <a:srgbClr val="112A4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Indicateurs!$C$6:$F$6</c:f>
              <c:numCache>
                <c:formatCode>#,##0;[Red]\-#,##0;\-</c:formatCode>
                <c:ptCount val="4"/>
                <c:pt idx="0">
                  <c:v>9640.048567</c:v>
                </c:pt>
                <c:pt idx="1">
                  <c:v>10753.141288</c:v>
                </c:pt>
                <c:pt idx="2">
                  <c:v>11267.003909</c:v>
                </c:pt>
                <c:pt idx="3">
                  <c:v>7113.007488</c:v>
                </c:pt>
              </c:numCache>
            </c:numRef>
          </c:val>
          <c:extLst>
            <c:ext xmlns:c16="http://schemas.microsoft.com/office/drawing/2014/chart" uri="{C3380CC4-5D6E-409C-BE32-E72D297353CC}">
              <c16:uniqueId val="{00000000-52C8-4FA4-A5B3-71DA2415A9C1}"/>
            </c:ext>
          </c:extLst>
        </c:ser>
        <c:ser>
          <c:idx val="1"/>
          <c:order val="1"/>
          <c:tx>
            <c:strRef>
              <c:f>Indicateurs!B8</c:f>
              <c:strCache>
                <c:ptCount val="1"/>
                <c:pt idx="0">
                  <c:v>Valeur ajoutée</c:v>
                </c:pt>
              </c:strCache>
            </c:strRef>
          </c:tx>
          <c:spPr>
            <a:solidFill>
              <a:srgbClr val="EFAC62"/>
            </a:solidFill>
            <a:ln w="0">
              <a:solidFill>
                <a:srgbClr val="EFAC62"/>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Indicateurs!$C$8:$F$8</c:f>
              <c:numCache>
                <c:formatCode>#,##0;[Red]\-#,##0;\-</c:formatCode>
                <c:ptCount val="4"/>
                <c:pt idx="0">
                  <c:v>5138.926573</c:v>
                </c:pt>
                <c:pt idx="1">
                  <c:v>5774.070985</c:v>
                </c:pt>
                <c:pt idx="2">
                  <c:v>6560.253838</c:v>
                </c:pt>
                <c:pt idx="3">
                  <c:v>3822.706203</c:v>
                </c:pt>
              </c:numCache>
            </c:numRef>
          </c:val>
          <c:extLst>
            <c:ext xmlns:c16="http://schemas.microsoft.com/office/drawing/2014/chart" uri="{C3380CC4-5D6E-409C-BE32-E72D297353CC}">
              <c16:uniqueId val="{00000001-52C8-4FA4-A5B3-71DA2415A9C1}"/>
            </c:ext>
          </c:extLst>
        </c:ser>
        <c:ser>
          <c:idx val="2"/>
          <c:order val="2"/>
          <c:tx>
            <c:strRef>
              <c:f>Indicateurs!B9</c:f>
              <c:strCache>
                <c:ptCount val="1"/>
                <c:pt idx="0">
                  <c:v>Excédent brut d'exploitation (EBE)</c:v>
                </c:pt>
              </c:strCache>
            </c:strRef>
          </c:tx>
          <c:spPr>
            <a:solidFill>
              <a:srgbClr val="808080"/>
            </a:solidFill>
            <a:ln w="0">
              <a:solidFill>
                <a:srgbClr val="80808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Indicateurs!$C$9:$F$9</c:f>
              <c:numCache>
                <c:formatCode>#,##0;[Red]\-#,##0;\-</c:formatCode>
                <c:ptCount val="4"/>
                <c:pt idx="0">
                  <c:v>2727.271147</c:v>
                </c:pt>
                <c:pt idx="1">
                  <c:v>3115.084096</c:v>
                </c:pt>
                <c:pt idx="2">
                  <c:v>3804.808188</c:v>
                </c:pt>
                <c:pt idx="3">
                  <c:v>1949.587139</c:v>
                </c:pt>
              </c:numCache>
            </c:numRef>
          </c:val>
          <c:extLst>
            <c:ext xmlns:c16="http://schemas.microsoft.com/office/drawing/2014/chart" uri="{C3380CC4-5D6E-409C-BE32-E72D297353CC}">
              <c16:uniqueId val="{00000002-52C8-4FA4-A5B3-71DA2415A9C1}"/>
            </c:ext>
          </c:extLst>
        </c:ser>
        <c:ser>
          <c:idx val="3"/>
          <c:order val="3"/>
          <c:tx>
            <c:strRef>
              <c:f>Indicateurs!B10</c:f>
              <c:strCache>
                <c:ptCount val="1"/>
                <c:pt idx="0">
                  <c:v>EBE hors plus-values de cessions courantes</c:v>
                </c:pt>
              </c:strCache>
            </c:strRef>
          </c:tx>
          <c:spPr>
            <a:solidFill>
              <a:srgbClr val="5B8DB8"/>
            </a:solidFill>
            <a:ln w="0">
              <a:solidFill>
                <a:srgbClr val="5B8DB8"/>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Indicateurs!$C$10:$F$10</c:f>
              <c:numCache>
                <c:formatCode>#,##0;[Red]\-#,##0;\-</c:formatCode>
                <c:ptCount val="4"/>
                <c:pt idx="0">
                  <c:v>2278.426118</c:v>
                </c:pt>
                <c:pt idx="1">
                  <c:v>2926.736885</c:v>
                </c:pt>
                <c:pt idx="2">
                  <c:v>3498.17759</c:v>
                </c:pt>
              </c:numCache>
            </c:numRef>
          </c:val>
          <c:extLst>
            <c:ext xmlns:c16="http://schemas.microsoft.com/office/drawing/2014/chart" uri="{C3380CC4-5D6E-409C-BE32-E72D297353CC}">
              <c16:uniqueId val="{00000003-52C8-4FA4-A5B3-71DA2415A9C1}"/>
            </c:ext>
          </c:extLst>
        </c:ser>
        <c:ser>
          <c:idx val="4"/>
          <c:order val="4"/>
          <c:tx>
            <c:strRef>
              <c:f>Indicateurs!B14</c:f>
              <c:strCache>
                <c:ptCount val="1"/>
                <c:pt idx="0">
                  <c:v>Résultat net</c:v>
                </c:pt>
              </c:strCache>
            </c:strRef>
          </c:tx>
          <c:spPr>
            <a:solidFill>
              <a:srgbClr val="C0504D"/>
            </a:solidFill>
            <a:ln w="0">
              <a:solidFill>
                <a:srgbClr val="C0504D"/>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Indicateurs!$C$14:$F$14</c:f>
              <c:numCache>
                <c:formatCode>#,##0;[Red]\-#,##0;\-</c:formatCode>
                <c:ptCount val="4"/>
                <c:pt idx="0">
                  <c:v>-36.883132</c:v>
                </c:pt>
                <c:pt idx="1">
                  <c:v>194.534407</c:v>
                </c:pt>
                <c:pt idx="2">
                  <c:v>924.98632</c:v>
                </c:pt>
                <c:pt idx="3">
                  <c:v>220.099936</c:v>
                </c:pt>
              </c:numCache>
            </c:numRef>
          </c:val>
          <c:extLst>
            <c:ext xmlns:c16="http://schemas.microsoft.com/office/drawing/2014/chart" uri="{C3380CC4-5D6E-409C-BE32-E72D297353CC}">
              <c16:uniqueId val="{00000004-52C8-4FA4-A5B3-71DA2415A9C1}"/>
            </c:ext>
          </c:extLst>
        </c:ser>
        <c:dLbls>
          <c:showLegendKey val="0"/>
          <c:showVal val="0"/>
          <c:showCatName val="0"/>
          <c:showSerName val="0"/>
          <c:showPercent val="0"/>
          <c:showBubbleSize val="0"/>
        </c:dLbls>
        <c:gapWidth val="150"/>
        <c:axId val="67493860"/>
        <c:axId val="93325287"/>
      </c:barChart>
      <c:catAx>
        <c:axId val="6749386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3325287"/>
        <c:crosses val="autoZero"/>
        <c:auto val="1"/>
        <c:lblAlgn val="ctr"/>
        <c:lblOffset val="100"/>
        <c:noMultiLvlLbl val="0"/>
      </c:catAx>
      <c:valAx>
        <c:axId val="93325287"/>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M FCFA</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749386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Marges et rentabilité</a:t>
            </a:r>
          </a:p>
        </c:rich>
      </c:tx>
      <c:overlay val="0"/>
      <c:spPr>
        <a:noFill/>
        <a:ln w="0">
          <a:noFill/>
        </a:ln>
      </c:spPr>
    </c:title>
    <c:autoTitleDeleted val="0"/>
    <c:plotArea>
      <c:layout/>
      <c:lineChart>
        <c:grouping val="standard"/>
        <c:varyColors val="0"/>
        <c:ser>
          <c:idx val="0"/>
          <c:order val="0"/>
          <c:tx>
            <c:strRef>
              <c:f>Indicateurs!B26</c:f>
              <c:strCache>
                <c:ptCount val="1"/>
                <c:pt idx="0">
                  <c:v>Marge d'EBE</c:v>
                </c:pt>
              </c:strCache>
            </c:strRef>
          </c:tx>
          <c:spPr>
            <a:ln w="28080">
              <a:solidFill>
                <a:srgbClr val="112A4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Indicateurs!$C$26:$F$26</c:f>
              <c:numCache>
                <c:formatCode>0.0%;[Red]\-0.0%;\-</c:formatCode>
                <c:ptCount val="4"/>
                <c:pt idx="0">
                  <c:v>0.282910519386391</c:v>
                </c:pt>
                <c:pt idx="1">
                  <c:v>0.289690613428123</c:v>
                </c:pt>
                <c:pt idx="2">
                  <c:v>0.337694760624051</c:v>
                </c:pt>
                <c:pt idx="3">
                  <c:v>0.274087598289338</c:v>
                </c:pt>
              </c:numCache>
            </c:numRef>
          </c:val>
          <c:smooth val="0"/>
          <c:extLst>
            <c:ext xmlns:c16="http://schemas.microsoft.com/office/drawing/2014/chart" uri="{C3380CC4-5D6E-409C-BE32-E72D297353CC}">
              <c16:uniqueId val="{00000000-F4B4-4CEF-84A2-F968AC76706A}"/>
            </c:ext>
          </c:extLst>
        </c:ser>
        <c:ser>
          <c:idx val="1"/>
          <c:order val="1"/>
          <c:tx>
            <c:strRef>
              <c:f>Indicateurs!B27</c:f>
              <c:strCache>
                <c:ptCount val="1"/>
                <c:pt idx="0">
                  <c:v>Marge d'EBE hors cessions courantes</c:v>
                </c:pt>
              </c:strCache>
            </c:strRef>
          </c:tx>
          <c:spPr>
            <a:ln w="28080">
              <a:solidFill>
                <a:srgbClr val="EFAC6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Indicateurs!$C$27:$F$27</c:f>
              <c:numCache>
                <c:formatCode>0.0%;[Red]\-0.0%;\-</c:formatCode>
                <c:ptCount val="4"/>
                <c:pt idx="0">
                  <c:v>0.236350066305636</c:v>
                </c:pt>
                <c:pt idx="1">
                  <c:v>0.272175060906723</c:v>
                </c:pt>
                <c:pt idx="2">
                  <c:v>0.31047984169116</c:v>
                </c:pt>
              </c:numCache>
            </c:numRef>
          </c:val>
          <c:smooth val="0"/>
          <c:extLst>
            <c:ext xmlns:c16="http://schemas.microsoft.com/office/drawing/2014/chart" uri="{C3380CC4-5D6E-409C-BE32-E72D297353CC}">
              <c16:uniqueId val="{00000001-F4B4-4CEF-84A2-F968AC76706A}"/>
            </c:ext>
          </c:extLst>
        </c:ser>
        <c:ser>
          <c:idx val="2"/>
          <c:order val="2"/>
          <c:tx>
            <c:strRef>
              <c:f>Indicateurs!B28</c:f>
              <c:strCache>
                <c:ptCount val="1"/>
                <c:pt idx="0">
                  <c:v>Marge d'exploitation</c:v>
                </c:pt>
              </c:strCache>
            </c:strRef>
          </c:tx>
          <c:spPr>
            <a:ln w="28080">
              <a:solidFill>
                <a:srgbClr val="80808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Indicateurs!$C$28:$F$28</c:f>
              <c:numCache>
                <c:formatCode>0.0%;[Red]\-0.0%;\-</c:formatCode>
                <c:ptCount val="4"/>
                <c:pt idx="0">
                  <c:v>0.0237947234815005</c:v>
                </c:pt>
                <c:pt idx="1">
                  <c:v>0.0441773122176055</c:v>
                </c:pt>
                <c:pt idx="2">
                  <c:v>0.11943076294889</c:v>
                </c:pt>
                <c:pt idx="3">
                  <c:v>0.0629132156482274</c:v>
                </c:pt>
              </c:numCache>
            </c:numRef>
          </c:val>
          <c:smooth val="0"/>
          <c:extLst>
            <c:ext xmlns:c16="http://schemas.microsoft.com/office/drawing/2014/chart" uri="{C3380CC4-5D6E-409C-BE32-E72D297353CC}">
              <c16:uniqueId val="{00000002-F4B4-4CEF-84A2-F968AC76706A}"/>
            </c:ext>
          </c:extLst>
        </c:ser>
        <c:ser>
          <c:idx val="3"/>
          <c:order val="3"/>
          <c:tx>
            <c:strRef>
              <c:f>Indicateurs!B29</c:f>
              <c:strCache>
                <c:ptCount val="1"/>
                <c:pt idx="0">
                  <c:v>Marge nette</c:v>
                </c:pt>
              </c:strCache>
            </c:strRef>
          </c:tx>
          <c:spPr>
            <a:ln w="28080">
              <a:solidFill>
                <a:srgbClr val="5B8DB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Indicateurs!$C$29:$F$29</c:f>
              <c:numCache>
                <c:formatCode>0.0%;[Red]\-0.0%;\-</c:formatCode>
                <c:ptCount val="4"/>
                <c:pt idx="0">
                  <c:v>-0.0038260317615265</c:v>
                </c:pt>
                <c:pt idx="1">
                  <c:v>0.0180909375028013</c:v>
                </c:pt>
                <c:pt idx="2">
                  <c:v>0.0820969201280855</c:v>
                </c:pt>
                <c:pt idx="3">
                  <c:v>0.0309433016022153</c:v>
                </c:pt>
              </c:numCache>
            </c:numRef>
          </c:val>
          <c:smooth val="0"/>
          <c:extLst>
            <c:ext xmlns:c16="http://schemas.microsoft.com/office/drawing/2014/chart" uri="{C3380CC4-5D6E-409C-BE32-E72D297353CC}">
              <c16:uniqueId val="{00000003-F4B4-4CEF-84A2-F968AC76706A}"/>
            </c:ext>
          </c:extLst>
        </c:ser>
        <c:ser>
          <c:idx val="4"/>
          <c:order val="4"/>
          <c:tx>
            <c:strRef>
              <c:f>Indicateurs!B33</c:f>
              <c:strCache>
                <c:ptCount val="1"/>
                <c:pt idx="0">
                  <c:v>Rentabilité des capitaux propres (ROE)</c:v>
                </c:pt>
              </c:strCache>
            </c:strRef>
          </c:tx>
          <c:spPr>
            <a:ln w="28080">
              <a:solidFill>
                <a:srgbClr val="C0504D"/>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Indicateurs!$C$33:$F$33</c:f>
              <c:numCache>
                <c:formatCode>0.0%;[Red]\-0.0%;\-</c:formatCode>
                <c:ptCount val="4"/>
                <c:pt idx="0">
                  <c:v>-0.00639275227834086</c:v>
                </c:pt>
                <c:pt idx="1">
                  <c:v>0.0326177952640657</c:v>
                </c:pt>
                <c:pt idx="2">
                  <c:v>0.14410594009301</c:v>
                </c:pt>
                <c:pt idx="3">
                  <c:v>0.0538941608101222</c:v>
                </c:pt>
              </c:numCache>
            </c:numRef>
          </c:val>
          <c:smooth val="0"/>
          <c:extLst>
            <c:ext xmlns:c16="http://schemas.microsoft.com/office/drawing/2014/chart" uri="{C3380CC4-5D6E-409C-BE32-E72D297353CC}">
              <c16:uniqueId val="{00000004-F4B4-4CEF-84A2-F968AC76706A}"/>
            </c:ext>
          </c:extLst>
        </c:ser>
        <c:dLbls>
          <c:showLegendKey val="0"/>
          <c:showVal val="0"/>
          <c:showCatName val="0"/>
          <c:showSerName val="0"/>
          <c:showPercent val="0"/>
          <c:showBubbleSize val="0"/>
        </c:dLbls>
        <c:hiLowLines>
          <c:spPr>
            <a:ln w="0">
              <a:noFill/>
            </a:ln>
          </c:spPr>
        </c:hiLowLines>
        <c:smooth val="0"/>
        <c:axId val="89524267"/>
        <c:axId val="72205027"/>
      </c:lineChart>
      <c:catAx>
        <c:axId val="8952426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2205027"/>
        <c:crosses val="autoZero"/>
        <c:auto val="1"/>
        <c:lblAlgn val="ctr"/>
        <c:lblOffset val="100"/>
        <c:noMultiLvlLbl val="0"/>
      </c:catAx>
      <c:valAx>
        <c:axId val="72205027"/>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52426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Équilibre financier</a:t>
            </a:r>
          </a:p>
        </c:rich>
      </c:tx>
      <c:overlay val="0"/>
      <c:spPr>
        <a:noFill/>
        <a:ln w="0">
          <a:noFill/>
        </a:ln>
      </c:spPr>
    </c:title>
    <c:autoTitleDeleted val="0"/>
    <c:plotArea>
      <c:layout/>
      <c:barChart>
        <c:barDir val="col"/>
        <c:grouping val="clustered"/>
        <c:varyColors val="0"/>
        <c:ser>
          <c:idx val="0"/>
          <c:order val="0"/>
          <c:tx>
            <c:strRef>
              <c:f>Indicateurs!B44</c:f>
              <c:strCache>
                <c:ptCount val="1"/>
                <c:pt idx="0">
                  <c:v>Fonds de roulement</c:v>
                </c:pt>
              </c:strCache>
            </c:strRef>
          </c:tx>
          <c:spPr>
            <a:solidFill>
              <a:srgbClr val="112A40"/>
            </a:solidFill>
            <a:ln w="0">
              <a:solidFill>
                <a:srgbClr val="112A4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Indicateurs!$C$44:$F$44</c:f>
              <c:numCache>
                <c:formatCode>#,##0;[Red]\-#,##0;\-</c:formatCode>
                <c:ptCount val="4"/>
                <c:pt idx="0">
                  <c:v>2713.699917</c:v>
                </c:pt>
                <c:pt idx="1">
                  <c:v>2692.554841</c:v>
                </c:pt>
                <c:pt idx="2">
                  <c:v>2970.74303</c:v>
                </c:pt>
                <c:pt idx="3">
                  <c:v>3010.809815</c:v>
                </c:pt>
              </c:numCache>
            </c:numRef>
          </c:val>
          <c:extLst>
            <c:ext xmlns:c16="http://schemas.microsoft.com/office/drawing/2014/chart" uri="{C3380CC4-5D6E-409C-BE32-E72D297353CC}">
              <c16:uniqueId val="{00000000-94DF-43B6-B238-26D1CA1D3129}"/>
            </c:ext>
          </c:extLst>
        </c:ser>
        <c:ser>
          <c:idx val="1"/>
          <c:order val="1"/>
          <c:tx>
            <c:strRef>
              <c:f>Indicateurs!B45</c:f>
              <c:strCache>
                <c:ptCount val="1"/>
                <c:pt idx="0">
                  <c:v>Besoin en fonds de roulement</c:v>
                </c:pt>
              </c:strCache>
            </c:strRef>
          </c:tx>
          <c:spPr>
            <a:solidFill>
              <a:srgbClr val="EFAC62"/>
            </a:solidFill>
            <a:ln w="0">
              <a:solidFill>
                <a:srgbClr val="EFAC62"/>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Indicateurs!$C$45:$F$45</c:f>
              <c:numCache>
                <c:formatCode>#,##0;[Red]\-#,##0;\-</c:formatCode>
                <c:ptCount val="4"/>
                <c:pt idx="0">
                  <c:v>2084.247448</c:v>
                </c:pt>
                <c:pt idx="1">
                  <c:v>1784.055616</c:v>
                </c:pt>
                <c:pt idx="2">
                  <c:v>2079.244462</c:v>
                </c:pt>
                <c:pt idx="3">
                  <c:v>2674.181701</c:v>
                </c:pt>
              </c:numCache>
            </c:numRef>
          </c:val>
          <c:extLst>
            <c:ext xmlns:c16="http://schemas.microsoft.com/office/drawing/2014/chart" uri="{C3380CC4-5D6E-409C-BE32-E72D297353CC}">
              <c16:uniqueId val="{00000001-94DF-43B6-B238-26D1CA1D3129}"/>
            </c:ext>
          </c:extLst>
        </c:ser>
        <c:ser>
          <c:idx val="2"/>
          <c:order val="2"/>
          <c:tx>
            <c:strRef>
              <c:f>Indicateurs!B46</c:f>
              <c:strCache>
                <c:ptCount val="1"/>
                <c:pt idx="0">
                  <c:v>Trésorerie nette</c:v>
                </c:pt>
              </c:strCache>
            </c:strRef>
          </c:tx>
          <c:spPr>
            <a:solidFill>
              <a:srgbClr val="808080"/>
            </a:solidFill>
            <a:ln w="0">
              <a:solidFill>
                <a:srgbClr val="80808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Indicateurs!$C$46:$F$46</c:f>
              <c:numCache>
                <c:formatCode>#,##0;[Red]\-#,##0;\-</c:formatCode>
                <c:ptCount val="4"/>
                <c:pt idx="0">
                  <c:v>629.452469</c:v>
                </c:pt>
                <c:pt idx="1">
                  <c:v>908.499225</c:v>
                </c:pt>
                <c:pt idx="2">
                  <c:v>891.498568</c:v>
                </c:pt>
                <c:pt idx="3">
                  <c:v>336.628114</c:v>
                </c:pt>
              </c:numCache>
            </c:numRef>
          </c:val>
          <c:extLst>
            <c:ext xmlns:c16="http://schemas.microsoft.com/office/drawing/2014/chart" uri="{C3380CC4-5D6E-409C-BE32-E72D297353CC}">
              <c16:uniqueId val="{00000002-94DF-43B6-B238-26D1CA1D3129}"/>
            </c:ext>
          </c:extLst>
        </c:ser>
        <c:dLbls>
          <c:showLegendKey val="0"/>
          <c:showVal val="0"/>
          <c:showCatName val="0"/>
          <c:showSerName val="0"/>
          <c:showPercent val="0"/>
          <c:showBubbleSize val="0"/>
        </c:dLbls>
        <c:gapWidth val="150"/>
        <c:axId val="46345759"/>
        <c:axId val="89795296"/>
      </c:barChart>
      <c:catAx>
        <c:axId val="4634575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795296"/>
        <c:crosses val="autoZero"/>
        <c:auto val="1"/>
        <c:lblAlgn val="ctr"/>
        <c:lblOffset val="100"/>
        <c:noMultiLvlLbl val="0"/>
      </c:catAx>
      <c:valAx>
        <c:axId val="89795296"/>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M FCFA</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6345759"/>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Structure financière</a:t>
            </a:r>
          </a:p>
        </c:rich>
      </c:tx>
      <c:overlay val="0"/>
      <c:spPr>
        <a:noFill/>
        <a:ln w="0">
          <a:noFill/>
        </a:ln>
      </c:spPr>
    </c:title>
    <c:autoTitleDeleted val="0"/>
    <c:plotArea>
      <c:layout/>
      <c:barChart>
        <c:barDir val="col"/>
        <c:grouping val="clustered"/>
        <c:varyColors val="0"/>
        <c:ser>
          <c:idx val="0"/>
          <c:order val="0"/>
          <c:tx>
            <c:strRef>
              <c:f>Indicateurs!B36</c:f>
              <c:strCache>
                <c:ptCount val="1"/>
                <c:pt idx="0">
                  <c:v>Capitaux propres (M FCFA)</c:v>
                </c:pt>
              </c:strCache>
            </c:strRef>
          </c:tx>
          <c:spPr>
            <a:solidFill>
              <a:srgbClr val="112A40"/>
            </a:solidFill>
            <a:ln w="0">
              <a:solidFill>
                <a:srgbClr val="112A4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Indicateurs!$C$36:$F$36</c:f>
              <c:numCache>
                <c:formatCode>#,##0;[Red]\-#,##0;\-</c:formatCode>
                <c:ptCount val="4"/>
                <c:pt idx="0">
                  <c:v>5769.523109</c:v>
                </c:pt>
                <c:pt idx="1">
                  <c:v>5964.057516</c:v>
                </c:pt>
                <c:pt idx="2">
                  <c:v>6418.793836</c:v>
                </c:pt>
                <c:pt idx="3">
                  <c:v>6125.893771</c:v>
                </c:pt>
              </c:numCache>
            </c:numRef>
          </c:val>
          <c:extLst>
            <c:ext xmlns:c16="http://schemas.microsoft.com/office/drawing/2014/chart" uri="{C3380CC4-5D6E-409C-BE32-E72D297353CC}">
              <c16:uniqueId val="{00000000-21AB-40DD-A02D-8739EE48CFF8}"/>
            </c:ext>
          </c:extLst>
        </c:ser>
        <c:ser>
          <c:idx val="1"/>
          <c:order val="1"/>
          <c:tx>
            <c:strRef>
              <c:f>Indicateurs!B38</c:f>
              <c:strCache>
                <c:ptCount val="1"/>
                <c:pt idx="0">
                  <c:v>Dettes financières (M FCFA)</c:v>
                </c:pt>
              </c:strCache>
            </c:strRef>
          </c:tx>
          <c:spPr>
            <a:solidFill>
              <a:srgbClr val="EFAC62"/>
            </a:solidFill>
            <a:ln w="0">
              <a:solidFill>
                <a:srgbClr val="EFAC62"/>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Indicateurs!$C$38:$F$38</c:f>
              <c:numCache>
                <c:formatCode>#,##0;[Red]\-#,##0;\-</c:formatCode>
                <c:ptCount val="4"/>
                <c:pt idx="0">
                  <c:v>3666.527646</c:v>
                </c:pt>
                <c:pt idx="1">
                  <c:v>2042.67648</c:v>
                </c:pt>
                <c:pt idx="2">
                  <c:v>2807.075634</c:v>
                </c:pt>
                <c:pt idx="3">
                  <c:v>3327.82993</c:v>
                </c:pt>
              </c:numCache>
            </c:numRef>
          </c:val>
          <c:extLst>
            <c:ext xmlns:c16="http://schemas.microsoft.com/office/drawing/2014/chart" uri="{C3380CC4-5D6E-409C-BE32-E72D297353CC}">
              <c16:uniqueId val="{00000001-21AB-40DD-A02D-8739EE48CFF8}"/>
            </c:ext>
          </c:extLst>
        </c:ser>
        <c:ser>
          <c:idx val="2"/>
          <c:order val="2"/>
          <c:tx>
            <c:strRef>
              <c:f>Indicateurs!B39</c:f>
              <c:strCache>
                <c:ptCount val="1"/>
                <c:pt idx="0">
                  <c:v>Endettement net (M FCFA)</c:v>
                </c:pt>
              </c:strCache>
            </c:strRef>
          </c:tx>
          <c:spPr>
            <a:solidFill>
              <a:srgbClr val="808080"/>
            </a:solidFill>
            <a:ln w="0">
              <a:solidFill>
                <a:srgbClr val="80808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Indicateurs!$C$39:$F$39</c:f>
              <c:numCache>
                <c:formatCode>#,##0;[Red]\-#,##0;\-</c:formatCode>
                <c:ptCount val="4"/>
                <c:pt idx="0">
                  <c:v>3037.075177</c:v>
                </c:pt>
                <c:pt idx="1">
                  <c:v>1134.177255</c:v>
                </c:pt>
                <c:pt idx="2">
                  <c:v>1915.577066</c:v>
                </c:pt>
                <c:pt idx="3">
                  <c:v>2991.201816</c:v>
                </c:pt>
              </c:numCache>
            </c:numRef>
          </c:val>
          <c:extLst>
            <c:ext xmlns:c16="http://schemas.microsoft.com/office/drawing/2014/chart" uri="{C3380CC4-5D6E-409C-BE32-E72D297353CC}">
              <c16:uniqueId val="{00000002-21AB-40DD-A02D-8739EE48CFF8}"/>
            </c:ext>
          </c:extLst>
        </c:ser>
        <c:dLbls>
          <c:showLegendKey val="0"/>
          <c:showVal val="0"/>
          <c:showCatName val="0"/>
          <c:showSerName val="0"/>
          <c:showPercent val="0"/>
          <c:showBubbleSize val="0"/>
        </c:dLbls>
        <c:gapWidth val="150"/>
        <c:axId val="41425693"/>
        <c:axId val="61829592"/>
      </c:barChart>
      <c:catAx>
        <c:axId val="4142569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829592"/>
        <c:crosses val="autoZero"/>
        <c:auto val="1"/>
        <c:lblAlgn val="ctr"/>
        <c:lblOffset val="100"/>
        <c:noMultiLvlLbl val="0"/>
      </c:catAx>
      <c:valAx>
        <c:axId val="61829592"/>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M FCFA</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142569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Autofinancement et investissement</a:t>
            </a:r>
          </a:p>
        </c:rich>
      </c:tx>
      <c:overlay val="0"/>
      <c:spPr>
        <a:noFill/>
        <a:ln w="0">
          <a:noFill/>
        </a:ln>
      </c:spPr>
    </c:title>
    <c:autoTitleDeleted val="0"/>
    <c:plotArea>
      <c:layout/>
      <c:barChart>
        <c:barDir val="col"/>
        <c:grouping val="clustered"/>
        <c:varyColors val="0"/>
        <c:ser>
          <c:idx val="0"/>
          <c:order val="0"/>
          <c:tx>
            <c:strRef>
              <c:f>Indicateurs!B15</c:f>
              <c:strCache>
                <c:ptCount val="1"/>
                <c:pt idx="0">
                  <c:v>Capacité d'autofinancement globale (CAFG)</c:v>
                </c:pt>
              </c:strCache>
            </c:strRef>
          </c:tx>
          <c:spPr>
            <a:solidFill>
              <a:srgbClr val="112A40"/>
            </a:solidFill>
            <a:ln w="0">
              <a:solidFill>
                <a:srgbClr val="112A4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Indicateurs!$C$15:$F$15</c:f>
              <c:numCache>
                <c:formatCode>#,##0;[Red]\-#,##0;\-</c:formatCode>
                <c:ptCount val="4"/>
                <c:pt idx="0">
                  <c:v>2012.160303</c:v>
                </c:pt>
                <c:pt idx="1">
                  <c:v>2643.987072</c:v>
                </c:pt>
                <c:pt idx="2">
                  <c:v>3051.481867</c:v>
                </c:pt>
                <c:pt idx="3">
                  <c:v>1716.349919</c:v>
                </c:pt>
              </c:numCache>
            </c:numRef>
          </c:val>
          <c:extLst>
            <c:ext xmlns:c16="http://schemas.microsoft.com/office/drawing/2014/chart" uri="{C3380CC4-5D6E-409C-BE32-E72D297353CC}">
              <c16:uniqueId val="{00000000-5176-44EB-8BDC-6EE325B6BF87}"/>
            </c:ext>
          </c:extLst>
        </c:ser>
        <c:ser>
          <c:idx val="1"/>
          <c:order val="1"/>
          <c:tx>
            <c:strRef>
              <c:f>Indicateurs!B57</c:f>
              <c:strCache>
                <c:ptCount val="1"/>
                <c:pt idx="0">
                  <c:v>Flux des activités opérationnelles</c:v>
                </c:pt>
              </c:strCache>
            </c:strRef>
          </c:tx>
          <c:spPr>
            <a:solidFill>
              <a:srgbClr val="EFAC62"/>
            </a:solidFill>
            <a:ln w="0">
              <a:solidFill>
                <a:srgbClr val="EFAC62"/>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Indicateurs!$C$57:$F$57</c:f>
              <c:numCache>
                <c:formatCode>#,##0;[Red]\-#,##0;\-</c:formatCode>
                <c:ptCount val="4"/>
                <c:pt idx="0">
                  <c:v>1543.140101</c:v>
                </c:pt>
                <c:pt idx="1">
                  <c:v>2944.178904</c:v>
                </c:pt>
                <c:pt idx="2">
                  <c:v>2756.303021</c:v>
                </c:pt>
                <c:pt idx="3">
                  <c:v>1121.41268</c:v>
                </c:pt>
              </c:numCache>
            </c:numRef>
          </c:val>
          <c:extLst>
            <c:ext xmlns:c16="http://schemas.microsoft.com/office/drawing/2014/chart" uri="{C3380CC4-5D6E-409C-BE32-E72D297353CC}">
              <c16:uniqueId val="{00000001-5176-44EB-8BDC-6EE325B6BF87}"/>
            </c:ext>
          </c:extLst>
        </c:ser>
        <c:ser>
          <c:idx val="2"/>
          <c:order val="2"/>
          <c:tx>
            <c:strRef>
              <c:f>Indicateurs!B58</c:f>
              <c:strCache>
                <c:ptCount val="1"/>
                <c:pt idx="0">
                  <c:v>Investissements bruts</c:v>
                </c:pt>
              </c:strCache>
            </c:strRef>
          </c:tx>
          <c:spPr>
            <a:solidFill>
              <a:srgbClr val="808080"/>
            </a:solidFill>
            <a:ln w="0">
              <a:solidFill>
                <a:srgbClr val="80808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Indicateurs!$C$58:$F$58</c:f>
              <c:numCache>
                <c:formatCode>#,##0;[Red]\-#,##0;\-</c:formatCode>
                <c:ptCount val="4"/>
                <c:pt idx="0">
                  <c:v>3976.26952</c:v>
                </c:pt>
                <c:pt idx="1">
                  <c:v>1337.592071</c:v>
                </c:pt>
                <c:pt idx="2">
                  <c:v>5401.312019</c:v>
                </c:pt>
                <c:pt idx="3">
                  <c:v>1780.000234</c:v>
                </c:pt>
              </c:numCache>
            </c:numRef>
          </c:val>
          <c:extLst>
            <c:ext xmlns:c16="http://schemas.microsoft.com/office/drawing/2014/chart" uri="{C3380CC4-5D6E-409C-BE32-E72D297353CC}">
              <c16:uniqueId val="{00000002-5176-44EB-8BDC-6EE325B6BF87}"/>
            </c:ext>
          </c:extLst>
        </c:ser>
        <c:ser>
          <c:idx val="3"/>
          <c:order val="3"/>
          <c:tx>
            <c:strRef>
              <c:f>Indicateurs!B60</c:f>
              <c:strCache>
                <c:ptCount val="1"/>
                <c:pt idx="0">
                  <c:v>Flux de trésorerie disponible</c:v>
                </c:pt>
              </c:strCache>
            </c:strRef>
          </c:tx>
          <c:spPr>
            <a:solidFill>
              <a:srgbClr val="5B8DB8"/>
            </a:solidFill>
            <a:ln w="0">
              <a:solidFill>
                <a:srgbClr val="5B8DB8"/>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Indicateurs!$C$60:$F$60</c:f>
              <c:numCache>
                <c:formatCode>#,##0;[Red]\-#,##0;\-</c:formatCode>
                <c:ptCount val="4"/>
                <c:pt idx="0">
                  <c:v>-2066.324187</c:v>
                </c:pt>
                <c:pt idx="1">
                  <c:v>1900.281413</c:v>
                </c:pt>
                <c:pt idx="2">
                  <c:v>-314.999154</c:v>
                </c:pt>
                <c:pt idx="3">
                  <c:v>-562.624749</c:v>
                </c:pt>
              </c:numCache>
            </c:numRef>
          </c:val>
          <c:extLst>
            <c:ext xmlns:c16="http://schemas.microsoft.com/office/drawing/2014/chart" uri="{C3380CC4-5D6E-409C-BE32-E72D297353CC}">
              <c16:uniqueId val="{00000003-5176-44EB-8BDC-6EE325B6BF87}"/>
            </c:ext>
          </c:extLst>
        </c:ser>
        <c:dLbls>
          <c:showLegendKey val="0"/>
          <c:showVal val="0"/>
          <c:showCatName val="0"/>
          <c:showSerName val="0"/>
          <c:showPercent val="0"/>
          <c:showBubbleSize val="0"/>
        </c:dLbls>
        <c:gapWidth val="150"/>
        <c:axId val="4840783"/>
        <c:axId val="99232158"/>
      </c:barChart>
      <c:catAx>
        <c:axId val="484078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232158"/>
        <c:crosses val="autoZero"/>
        <c:auto val="1"/>
        <c:lblAlgn val="ctr"/>
        <c:lblOffset val="100"/>
        <c:noMultiLvlLbl val="0"/>
      </c:catAx>
      <c:valAx>
        <c:axId val="99232158"/>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M FCFA</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84078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Délais (jours)</a:t>
            </a:r>
          </a:p>
        </c:rich>
      </c:tx>
      <c:overlay val="0"/>
      <c:spPr>
        <a:noFill/>
        <a:ln w="0">
          <a:noFill/>
        </a:ln>
      </c:spPr>
    </c:title>
    <c:autoTitleDeleted val="0"/>
    <c:plotArea>
      <c:layout/>
      <c:lineChart>
        <c:grouping val="standard"/>
        <c:varyColors val="0"/>
        <c:ser>
          <c:idx val="0"/>
          <c:order val="0"/>
          <c:tx>
            <c:strRef>
              <c:f>Indicateurs!B53</c:f>
              <c:strCache>
                <c:ptCount val="1"/>
                <c:pt idx="0">
                  <c:v>Délai de recouvrement clients</c:v>
                </c:pt>
              </c:strCache>
            </c:strRef>
          </c:tx>
          <c:spPr>
            <a:ln w="28080">
              <a:solidFill>
                <a:srgbClr val="112A4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Indicateurs!$C$53:$F$53</c:f>
              <c:numCache>
                <c:formatCode>#,##0" j";[Red]\-#,##0" j";\-</c:formatCode>
                <c:ptCount val="4"/>
                <c:pt idx="0">
                  <c:v>121.896610585821</c:v>
                </c:pt>
                <c:pt idx="1">
                  <c:v>100.018139365491</c:v>
                </c:pt>
                <c:pt idx="2">
                  <c:v>88.7946123175522</c:v>
                </c:pt>
                <c:pt idx="3">
                  <c:v>104.070791092073</c:v>
                </c:pt>
              </c:numCache>
            </c:numRef>
          </c:val>
          <c:smooth val="0"/>
          <c:extLst>
            <c:ext xmlns:c16="http://schemas.microsoft.com/office/drawing/2014/chart" uri="{C3380CC4-5D6E-409C-BE32-E72D297353CC}">
              <c16:uniqueId val="{00000000-4E2F-420A-8AAE-6E793CA4EDDE}"/>
            </c:ext>
          </c:extLst>
        </c:ser>
        <c:ser>
          <c:idx val="1"/>
          <c:order val="1"/>
          <c:tx>
            <c:strRef>
              <c:f>Indicateurs!B54</c:f>
              <c:strCache>
                <c:ptCount val="1"/>
                <c:pt idx="0">
                  <c:v>Délai de paiement fournisseurs</c:v>
                </c:pt>
              </c:strCache>
            </c:strRef>
          </c:tx>
          <c:spPr>
            <a:ln w="28080">
              <a:solidFill>
                <a:srgbClr val="EFAC6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Indicateurs!$C$54:$F$54</c:f>
              <c:numCache>
                <c:formatCode>#,##0" j";[Red]\-#,##0" j";\-</c:formatCode>
                <c:ptCount val="4"/>
                <c:pt idx="0">
                  <c:v>98.1573194530647</c:v>
                </c:pt>
                <c:pt idx="1">
                  <c:v>81.2537651922832</c:v>
                </c:pt>
                <c:pt idx="2">
                  <c:v>61.3233125622002</c:v>
                </c:pt>
                <c:pt idx="3">
                  <c:v>67.1493338427222</c:v>
                </c:pt>
              </c:numCache>
            </c:numRef>
          </c:val>
          <c:smooth val="0"/>
          <c:extLst>
            <c:ext xmlns:c16="http://schemas.microsoft.com/office/drawing/2014/chart" uri="{C3380CC4-5D6E-409C-BE32-E72D297353CC}">
              <c16:uniqueId val="{00000001-4E2F-420A-8AAE-6E793CA4EDDE}"/>
            </c:ext>
          </c:extLst>
        </c:ser>
        <c:ser>
          <c:idx val="2"/>
          <c:order val="2"/>
          <c:tx>
            <c:strRef>
              <c:f>Indicateurs!B55</c:f>
              <c:strCache>
                <c:ptCount val="1"/>
                <c:pt idx="0">
                  <c:v>Rotation des stocks</c:v>
                </c:pt>
              </c:strCache>
            </c:strRef>
          </c:tx>
          <c:spPr>
            <a:ln w="28080">
              <a:solidFill>
                <a:srgbClr val="80808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Indicateurs!$C$4:$F$4</c:f>
              <c:strCache>
                <c:ptCount val="4"/>
                <c:pt idx="0">
                  <c:v>2023</c:v>
                </c:pt>
                <c:pt idx="1">
                  <c:v>2024</c:v>
                </c:pt>
                <c:pt idx="2">
                  <c:v>2025</c:v>
                </c:pt>
                <c:pt idx="3">
                  <c:v>2026 (8 mois)</c:v>
                </c:pt>
              </c:strCache>
            </c:strRef>
          </c:cat>
          <c:val>
            <c:numRef>
              <c:f>Indicateurs!$C$55:$F$55</c:f>
              <c:numCache>
                <c:formatCode>#,##0" j";[Red]\-#,##0" j";\-</c:formatCode>
                <c:ptCount val="4"/>
                <c:pt idx="0">
                  <c:v>75.0408734108649</c:v>
                </c:pt>
                <c:pt idx="1">
                  <c:v>45.729552231616</c:v>
                </c:pt>
                <c:pt idx="2">
                  <c:v>30.3041528068326</c:v>
                </c:pt>
                <c:pt idx="3">
                  <c:v>31.2267776797629</c:v>
                </c:pt>
              </c:numCache>
            </c:numRef>
          </c:val>
          <c:smooth val="0"/>
          <c:extLst>
            <c:ext xmlns:c16="http://schemas.microsoft.com/office/drawing/2014/chart" uri="{C3380CC4-5D6E-409C-BE32-E72D297353CC}">
              <c16:uniqueId val="{00000002-4E2F-420A-8AAE-6E793CA4EDDE}"/>
            </c:ext>
          </c:extLst>
        </c:ser>
        <c:dLbls>
          <c:showLegendKey val="0"/>
          <c:showVal val="0"/>
          <c:showCatName val="0"/>
          <c:showSerName val="0"/>
          <c:showPercent val="0"/>
          <c:showBubbleSize val="0"/>
        </c:dLbls>
        <c:hiLowLines>
          <c:spPr>
            <a:ln w="0">
              <a:noFill/>
            </a:ln>
          </c:spPr>
        </c:hiLowLines>
        <c:smooth val="0"/>
        <c:axId val="40403001"/>
        <c:axId val="73294423"/>
      </c:lineChart>
      <c:catAx>
        <c:axId val="4040300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3294423"/>
        <c:crosses val="autoZero"/>
        <c:auto val="1"/>
        <c:lblAlgn val="ctr"/>
        <c:lblOffset val="100"/>
        <c:noMultiLvlLbl val="0"/>
      </c:catAx>
      <c:valAx>
        <c:axId val="73294423"/>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jours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0403001"/>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omments/comment1.xml><?xml version="1.0" encoding="utf-8"?>
<comments xmlns="http://schemas.openxmlformats.org/spreadsheetml/2006/main">
  <authors>
    <author>Analyse financière</author>
    <author>Unknown Author</author>
  </authors>
  <commentList>
    <comment ref="G3" authorId="0" shapeId="0">
      <text>
        <t>EFI intermédiaires : exercice clos le 31/08/2026, durée 8 mois (page de garde, bilan et compte de résultat). Sert à annualiser les flux et à calculer les délais 2026 dans l'onglet Indicateurs.</t>
      </text>
    </comment>
    <comment ref="G109" authorId="0" shapeId="0">
      <text>
        <t>TFT 2026 reconstitué : les EFI intermédiaires ne contiennent pas de TFT. Méthode de la liasse SYSCOHADA (variations du BFR en valeurs nettes, comme dans les TFT publiés 2024 et 2025). Hypothèses détaillées dans « Points d'attention ».</t>
      </text>
    </comment>
    <comment ref="G111" authorId="0" shapeId="0">
      <text>
        <t>CAFG = EBE − produits de cessions courantes (754) + VNC des cessions courantes (654) + revenus financiers + transferts de charges financières + frais financiers + autres produits HAO + autres charges HAO + participation + impôt (charges en négatif). 754 et 654 non disponibles au 31/08/2026 : pris à zéro.</t>
      </text>
    </comment>
    <comment ref="G117" authorId="0" shapeId="0">
      <text>
        <t>Valeur brute des immobilisations incorporelles inchangée (47 661 688 FCFA au 31/12/2025 et au 31/08/2026) : aucune acquisition.</t>
      </text>
    </comment>
    <comment ref="G118" authorId="0" shapeId="0">
      <text>
        <t>Solde : trésorerie de clôture − trésorerie d'ouverture − flux opérationnels − autres flux d'investissement − flux de financement. Correspond aux acquisitions d'immobilisations corporelles de la période (y compris nouveaux contrats de location-acquisition).</t>
      </text>
    </comment>
    <comment ref="G119" authorId="0" shapeId="0">
      <text>
        <t>Variation nette des autres immobilisations financières (dépôts et cautionnements) : hausse = acquisition.</t>
      </text>
    </comment>
    <comment ref="G120" authorId="0" shapeId="0">
      <text>
        <t>Produits des cessions HAO (TN) + produits des cessions courantes (754, non disponible). Encaissement supposé intervenu dans la période.</t>
      </text>
    </comment>
    <comment ref="G121" authorId="0" shapeId="0">
      <text>
        <t>Baisse nette des autres immobilisations financières (114,5 M → 24,6 M FCFA) : remboursement de dépôts.</t>
      </text>
    </comment>
    <comment ref="G126" authorId="0" shapeId="0">
      <text>
        <t>Distribution déduite de la variation des capitaux propres : CP 31/12/2025 + résultat de la période − CP 31/08/2026 (aucune augmentation de capital). Supposée payée au 31/08/2026.</t>
      </text>
    </comment>
    <comment ref="G128" authorId="0" shapeId="0">
      <text>
        <t>Variation nette des dettes de location-acquisition (DB) : les nouveaux contrats et les remboursements ne sont pas détaillés dans les EFI intermédiaires.</t>
      </text>
    </comment>
    <comment ref="C145" authorId="1" shapeId="0">
      <text>
        <t>Source : Tableau de calcul de la CAF de chaque liasse, montant publié en milliers de FCFA</t>
      </text>
    </comment>
    <comment ref="G145" authorId="0" shapeId="0">
      <text>
        <t>Non disponible : les EFI intermédiaires au 31/08/2026 ne comportent ni notes annexes ni tableau de calcul de la CAF. Saisir ici le produit des cessions courantes (compte 754) dès qu'il est connu : la CAFG, les cessions (FI) et l'EBE hors cessions 2026 se mettent à jour.</t>
      </text>
    </comment>
    <comment ref="C146" authorId="1" shapeId="0">
      <text>
        <t>Source : Note 26 de chaque liasse, au franc près</t>
      </text>
    </comment>
    <comment ref="G146" authorId="0" shapeId="0">
      <text>
        <t>Non disponible dans les EFI intermédiaires. Saisir la valeur comptable des cessions courantes (compte 654) dès qu'elle est connue.</t>
      </text>
    </comment>
    <comment ref="F147" authorId="1" shapeId="0">
      <text>
        <t>Note 27B non renseignée dans la liasse 2025</t>
      </text>
    </comment>
    <comment ref="G147" authorId="0" shapeId="0">
      <text>
        <t>Effectif non communiqué dans les EFI intermédiaires.</t>
      </text>
    </comment>
  </commentList>
</comments>
</file>

<file path=xl/comments/comment2.xml><?xml version="1.0" encoding="utf-8"?>
<comments xmlns="http://schemas.openxmlformats.org/spreadsheetml/2006/main">
  <authors>
    <author>Analyse financière</author>
  </authors>
  <commentList>
    <comment ref="F8" authorId="0" shapeId="0">
      <text>
        <t>EFI au 31/08/2026 : 220 099 935,66 FCFA, arrondi au franc. Bilan passif et capitaux propres publiés avec centimes (DZ 11 415 711 603,02 ; CP 6 125 893 771,02), arrondis au franc.</t>
      </text>
    </comment>
    <comment ref="F9" authorId="0" shapeId="0">
      <text>
        <t>Pas de TFT dans les EFI intermédiaires : flux reconstitués dans « États financiers ». Le contrôle de trésorerie (ligne 20) est nul par construction.</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10</xdr:col>
      <xdr:colOff>76320</xdr:colOff>
      <xdr:row>18</xdr:row>
      <xdr:rowOff>32400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4</xdr:row>
      <xdr:rowOff>0</xdr:rowOff>
    </xdr:from>
    <xdr:to>
      <xdr:col>19</xdr:col>
      <xdr:colOff>75960</xdr:colOff>
      <xdr:row>18</xdr:row>
      <xdr:rowOff>32400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20</xdr:row>
      <xdr:rowOff>0</xdr:rowOff>
    </xdr:from>
    <xdr:to>
      <xdr:col>10</xdr:col>
      <xdr:colOff>76320</xdr:colOff>
      <xdr:row>34</xdr:row>
      <xdr:rowOff>32760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20</xdr:row>
      <xdr:rowOff>0</xdr:rowOff>
    </xdr:from>
    <xdr:to>
      <xdr:col>19</xdr:col>
      <xdr:colOff>75960</xdr:colOff>
      <xdr:row>34</xdr:row>
      <xdr:rowOff>32760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36</xdr:row>
      <xdr:rowOff>0</xdr:rowOff>
    </xdr:from>
    <xdr:to>
      <xdr:col>10</xdr:col>
      <xdr:colOff>76320</xdr:colOff>
      <xdr:row>50</xdr:row>
      <xdr:rowOff>32760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0</xdr:colOff>
      <xdr:row>36</xdr:row>
      <xdr:rowOff>0</xdr:rowOff>
    </xdr:from>
    <xdr:to>
      <xdr:col>19</xdr:col>
      <xdr:colOff>75960</xdr:colOff>
      <xdr:row>50</xdr:row>
      <xdr:rowOff>32760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1:U3"/>
  <sheetViews>
    <sheetView showGridLines="0" tabSelected="1" zoomScale="90" zoomScaleNormal="90" workbookViewId="0">
      <selection activeCell="A1" sqref="A1"/>
    </sheetView>
  </sheetViews>
  <sheetFormatPr baseColWidth="8" defaultColWidth="8.7109375" defaultRowHeight="15"/>
  <cols>
    <col width="2" customWidth="1" min="1" max="1"/>
  </cols>
  <sheetData>
    <row r="1" ht="27.75" customHeight="1">
      <c r="B1" s="32" t="inlineStr">
        <is>
          <t>ANALYSE FINANCIÈRE : ATR, GRAPHIQUES</t>
        </is>
      </c>
    </row>
    <row r="3">
      <c r="B3" s="1" t="inlineStr">
        <is>
          <t>Graphiques Excel natifs : ils lisent l'onglet Indicateurs et se mettent à jour avec lui.</t>
        </is>
      </c>
    </row>
  </sheetData>
  <mergeCells count="1">
    <mergeCell ref="B1:U1"/>
  </mergeCell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1:G64"/>
  <sheetViews>
    <sheetView showGridLines="0" zoomScale="90" zoomScaleNormal="90" workbookViewId="0">
      <pane xSplit="2" ySplit="4" topLeftCell="C5" activePane="bottomRight" state="frozen"/>
      <selection pane="bottomRight" activeCell="A1" sqref="A1"/>
      <selection pane="bottomLeft" activeCell="A5" sqref="A5"/>
      <selection pane="topRight" activeCell="C1" sqref="C1"/>
    </sheetView>
  </sheetViews>
  <sheetFormatPr baseColWidth="8" defaultColWidth="8.7109375" defaultRowHeight="15"/>
  <cols>
    <col width="2" customWidth="1" min="1" max="1"/>
    <col width="46" customWidth="1" min="2" max="2"/>
    <col width="15" customWidth="1" min="3" max="5"/>
    <col width="13" customWidth="1" min="4" max="4"/>
    <col width="13" customWidth="1" min="5" max="5"/>
    <col width="15" customWidth="1" min="6" max="6"/>
    <col width="72" customWidth="1" min="7" max="7"/>
  </cols>
  <sheetData>
    <row r="1" ht="27.75" customHeight="1">
      <c r="B1" s="32" t="inlineStr">
        <is>
          <t>ANALYSE FINANCIÈRE : ATR, INDICATEURS CLÉS</t>
        </is>
      </c>
    </row>
    <row r="2">
      <c r="B2" s="1" t="inlineStr">
        <is>
          <t>ATELIER TECHNIQUE DE REPARATIO, NCC 9908512B, activité : Entretien et réparations de machines. Toutes les valeurs sont des formules liées à l'onglet « États financiers ». Colonne 2026 : situation au 31/08/2026 (8 mois).</t>
        </is>
      </c>
    </row>
    <row r="4">
      <c r="B4" s="2" t="inlineStr">
        <is>
          <t>Indicateur</t>
        </is>
      </c>
      <c r="C4" s="2" t="inlineStr">
        <is>
          <t>2023</t>
        </is>
      </c>
      <c r="D4" s="3" t="inlineStr">
        <is>
          <t>2024</t>
        </is>
      </c>
      <c r="E4" s="3" t="inlineStr">
        <is>
          <t>2025</t>
        </is>
      </c>
      <c r="F4" s="3" t="inlineStr">
        <is>
          <t>2026 (8 mois)</t>
        </is>
      </c>
      <c r="G4" s="2" t="inlineStr">
        <is>
          <t>Formule</t>
        </is>
      </c>
    </row>
    <row r="5">
      <c r="B5" s="4" t="inlineStr">
        <is>
          <t>ACTIVITÉ ET SOLDES DE GESTION (M FCFA)</t>
        </is>
      </c>
      <c r="C5" s="5" t="n"/>
      <c r="D5" s="5" t="n"/>
      <c r="E5" s="5" t="n"/>
      <c r="F5" s="5" t="n"/>
      <c r="G5" s="5" t="n"/>
    </row>
    <row r="6">
      <c r="B6" s="6" t="inlineStr">
        <is>
          <t>Chiffre d'affaires</t>
        </is>
      </c>
      <c r="C6" s="7">
        <f>'États financiers'!D73/1000000</f>
        <v>9640.048567</v>
      </c>
      <c r="D6" s="7">
        <f>'États financiers'!E73/1000000</f>
        <v>10753.141288</v>
      </c>
      <c r="E6" s="7">
        <f>'États financiers'!F73/1000000</f>
        <v>11267.003909</v>
      </c>
      <c r="F6" s="7">
        <f>'États financiers'!G73/1000000</f>
        <v>7113.007488</v>
      </c>
      <c r="G6" s="8" t="inlineStr">
        <is>
          <t>XB</t>
        </is>
      </c>
    </row>
    <row r="7">
      <c r="B7" s="9" t="inlineStr">
        <is>
          <t>Marge commerciale</t>
        </is>
      </c>
      <c r="C7" s="10">
        <f>'États financiers'!D69/1000000</f>
        <v>127.318176</v>
      </c>
      <c r="D7" s="10">
        <f>'États financiers'!E69/1000000</f>
        <v>90.363165</v>
      </c>
      <c r="E7" s="10">
        <f>'États financiers'!F69/1000000</f>
        <v>53.658578</v>
      </c>
      <c r="F7" s="10">
        <f>'États financiers'!G69/1000000</f>
        <v>9.906332</v>
      </c>
      <c r="G7" s="11" t="inlineStr">
        <is>
          <t>XA = ventes de marchandises − coût d'achat des marchandises vendues</t>
        </is>
      </c>
    </row>
    <row r="8">
      <c r="B8" s="6" t="inlineStr">
        <is>
          <t>Valeur ajoutée</t>
        </is>
      </c>
      <c r="C8" s="7">
        <f>'États financiers'!D87/1000000</f>
        <v>5138.926573</v>
      </c>
      <c r="D8" s="7">
        <f>'États financiers'!E87/1000000</f>
        <v>5774.070985</v>
      </c>
      <c r="E8" s="7">
        <f>'États financiers'!F87/1000000</f>
        <v>6560.253838</v>
      </c>
      <c r="F8" s="7">
        <f>'États financiers'!G87/1000000</f>
        <v>3822.706203</v>
      </c>
      <c r="G8" s="8" t="inlineStr">
        <is>
          <t>XC</t>
        </is>
      </c>
    </row>
    <row r="9">
      <c r="B9" s="9" t="inlineStr">
        <is>
          <t>Excédent brut d'exploitation (EBE)</t>
        </is>
      </c>
      <c r="C9" s="10">
        <f>'États financiers'!D89/1000000</f>
        <v>2727.271147</v>
      </c>
      <c r="D9" s="10">
        <f>'États financiers'!E89/1000000</f>
        <v>3115.084096</v>
      </c>
      <c r="E9" s="10">
        <f>'États financiers'!F89/1000000</f>
        <v>3804.808188</v>
      </c>
      <c r="F9" s="10">
        <f>'États financiers'!G89/1000000</f>
        <v>1949.587139</v>
      </c>
      <c r="G9" s="11" t="inlineStr">
        <is>
          <t>XD = VA − charges de personnel</t>
        </is>
      </c>
    </row>
    <row r="10">
      <c r="B10" s="6" t="inlineStr">
        <is>
          <t>EBE hors plus-values de cessions courantes</t>
        </is>
      </c>
      <c r="C10" s="7">
        <f>('États financiers'!D89-'États financiers'!D145+'États financiers'!D146)/1000000</f>
        <v>2278.426118</v>
      </c>
      <c r="D10" s="7">
        <f>('États financiers'!E89-'États financiers'!E145+'États financiers'!E146)/1000000</f>
        <v>2926.736885</v>
      </c>
      <c r="E10" s="7">
        <f>('États financiers'!F89-'États financiers'!F145+'États financiers'!F146)/1000000</f>
        <v>3498.17759</v>
      </c>
      <c r="F10" s="7" t="str">
        <f>IF(COUNT('États financiers'!G145:G146)&lt;2,"n.d.",('États financiers'!G89-'États financiers'!G145+'États financiers'!G146)/1000000)</f>
        <v>n.d.</v>
      </c>
      <c r="G10" s="8" t="inlineStr">
        <is>
          <t>XD − produits (754) + VNC (654) des cessions courantes d'immobilisations ; 2026 : n.d. (754 et 654 non communiqués)</t>
        </is>
      </c>
    </row>
    <row r="11">
      <c r="B11" s="9" t="inlineStr">
        <is>
          <t>Résultat d'exploitation</t>
        </is>
      </c>
      <c r="C11" s="10">
        <f>'États financiers'!D92/1000000</f>
        <v>229.38229</v>
      </c>
      <c r="D11" s="10">
        <f>'États financiers'!E92/1000000</f>
        <v>475.04488</v>
      </c>
      <c r="E11" s="10">
        <f>'États financiers'!F92/1000000</f>
        <v>1345.626873</v>
      </c>
      <c r="F11" s="10">
        <f>'États financiers'!G92/1000000</f>
        <v>447.502174</v>
      </c>
      <c r="G11" s="11" t="inlineStr">
        <is>
          <t>XE</t>
        </is>
      </c>
    </row>
    <row r="12">
      <c r="B12" s="6" t="inlineStr">
        <is>
          <t>Résultat financier</t>
        </is>
      </c>
      <c r="C12" s="7">
        <f>'États financiers'!D98/1000000</f>
        <v>-241.600206</v>
      </c>
      <c r="D12" s="7">
        <f>'États financiers'!E98/1000000</f>
        <v>-206.719346</v>
      </c>
      <c r="E12" s="7">
        <f>'États financiers'!F98/1000000</f>
        <v>-154.953965</v>
      </c>
      <c r="F12" s="7">
        <f>'États financiers'!G98/1000000</f>
        <v>-141.61131</v>
      </c>
      <c r="G12" s="8" t="inlineStr">
        <is>
          <t>XF</t>
        </is>
      </c>
    </row>
    <row r="13">
      <c r="B13" s="9" t="inlineStr">
        <is>
          <t>Résultat hors activités ordinaires</t>
        </is>
      </c>
      <c r="C13" s="10">
        <f>'États financiers'!D104/1000000</f>
        <v>0</v>
      </c>
      <c r="D13" s="10">
        <f>'États financiers'!E104/1000000</f>
        <v>-0.377376</v>
      </c>
      <c r="E13" s="10">
        <f>'États financiers'!F104/1000000</f>
        <v>-26.592432</v>
      </c>
      <c r="F13" s="10">
        <f>'États financiers'!G104/1000000</f>
        <v>5.834982</v>
      </c>
      <c r="G13" s="11" t="inlineStr">
        <is>
          <t>XH</t>
        </is>
      </c>
    </row>
    <row r="14">
      <c r="B14" s="6" t="inlineStr">
        <is>
          <t>Résultat net</t>
        </is>
      </c>
      <c r="C14" s="7">
        <f>'États financiers'!D107/1000000</f>
        <v>-36.883132</v>
      </c>
      <c r="D14" s="7">
        <f>'États financiers'!E107/1000000</f>
        <v>194.534407</v>
      </c>
      <c r="E14" s="7">
        <f>'États financiers'!F107/1000000</f>
        <v>924.98632</v>
      </c>
      <c r="F14" s="7">
        <f>'États financiers'!G107/1000000</f>
        <v>220.099936</v>
      </c>
      <c r="G14" s="8" t="inlineStr">
        <is>
          <t>XI</t>
        </is>
      </c>
    </row>
    <row r="15">
      <c r="B15" s="9" t="inlineStr">
        <is>
          <t>Capacité d'autofinancement globale (CAFG)</t>
        </is>
      </c>
      <c r="C15" s="10">
        <f>'États financiers'!D111/1000000</f>
        <v>2012.160303</v>
      </c>
      <c r="D15" s="10">
        <f>'États financiers'!E111/1000000</f>
        <v>2643.987072</v>
      </c>
      <c r="E15" s="10">
        <f>'États financiers'!F111/1000000</f>
        <v>3051.481867</v>
      </c>
      <c r="F15" s="10">
        <f>'États financiers'!G111/1000000</f>
        <v>1716.349919</v>
      </c>
      <c r="G15" s="11" t="inlineStr">
        <is>
          <t>FA (TFT) ; 2026 : TFT reconstitué, 8 mois</t>
        </is>
      </c>
    </row>
    <row r="16">
      <c r="B16" s="4" t="inlineStr">
        <is>
          <t>CROISSANCE</t>
        </is>
      </c>
      <c r="C16" s="5" t="n"/>
      <c r="D16" s="5" t="n"/>
      <c r="E16" s="5" t="n"/>
      <c r="F16" s="5" t="n"/>
      <c r="G16" s="5" t="n"/>
    </row>
    <row r="17">
      <c r="B17" s="6" t="inlineStr">
        <is>
          <t>Croissance, chiffre d'affaires</t>
        </is>
      </c>
      <c r="C17" s="12" t="n"/>
      <c r="D17" s="12">
        <f>IFERROR(('États financiers'!E73-'États financiers'!D73)/ABS('États financiers'!D73),"")</f>
        <v>0.115465468173092</v>
      </c>
      <c r="E17" s="12">
        <f>IFERROR(('États financiers'!F73-'États financiers'!E73)/ABS('États financiers'!E73),"")</f>
        <v>0.0477872100102922</v>
      </c>
      <c r="F17" s="12">
        <f>IFERROR(('États financiers'!G73*12/'États financiers'!G$3-'États financiers'!F73)/ABS('États financiers'!F73),"")</f>
        <v>-0.0530303070652818</v>
      </c>
      <c r="G17" s="8" t="inlineStr">
        <is>
          <t>Variation sur un an ; 2026 : flux de 8 mois annualisés (× 12/8)</t>
        </is>
      </c>
    </row>
    <row r="18">
      <c r="B18" s="9" t="inlineStr">
        <is>
          <t>Croissance, valeur ajoutée</t>
        </is>
      </c>
      <c r="C18" s="13" t="n"/>
      <c r="D18" s="13">
        <f>IFERROR(('États financiers'!E87-'États financiers'!D87)/ABS('États financiers'!D87),"")</f>
        <v>0.123594763026399</v>
      </c>
      <c r="E18" s="13">
        <f>IFERROR(('États financiers'!F87-'États financiers'!E87)/ABS('États financiers'!E87),"")</f>
        <v>0.136157462393927</v>
      </c>
      <c r="F18" s="13">
        <f>IFERROR(('États financiers'!G87*12/'États financiers'!G$3-'États financiers'!F87)/ABS('États financiers'!F87),"")</f>
        <v>-0.12593941544065</v>
      </c>
      <c r="G18" s="11" t="inlineStr">
        <is>
          <t>Variation sur un an ; 2026 : flux de 8 mois annualisés (× 12/8)</t>
        </is>
      </c>
    </row>
    <row r="19">
      <c r="B19" s="6" t="inlineStr">
        <is>
          <t>Croissance, EBE</t>
        </is>
      </c>
      <c r="C19" s="12" t="n"/>
      <c r="D19" s="12">
        <f>IFERROR(('États financiers'!E89-'États financiers'!D89)/ABS('États financiers'!D89),"")</f>
        <v>0.142198163694356</v>
      </c>
      <c r="E19" s="12">
        <f>IFERROR(('États financiers'!F89-'États financiers'!E89)/ABS('États financiers'!E89),"")</f>
        <v>0.221414276707861</v>
      </c>
      <c r="F19" s="12">
        <f>IFERROR(('États financiers'!G89*12/'États financiers'!G$3-'États financiers'!F89)/ABS('États financiers'!F89),"")</f>
        <v>-0.231398650338481</v>
      </c>
      <c r="G19" s="8" t="inlineStr">
        <is>
          <t>Variation sur un an ; 2026 : flux de 8 mois annualisés (× 12/8)</t>
        </is>
      </c>
    </row>
    <row r="20">
      <c r="B20" s="9" t="inlineStr">
        <is>
          <t>Croissance, EBE hors cessions courantes</t>
        </is>
      </c>
      <c r="C20" s="13" t="n"/>
      <c r="D20" s="13">
        <f>IFERROR((D10-C10)/ABS(C10),"")</f>
        <v>0.284543247585788</v>
      </c>
      <c r="E20" s="13">
        <f>IFERROR((E10-D10)/ABS(D10),"")</f>
        <v>0.195248403752564</v>
      </c>
      <c r="F20" s="13" t="str">
        <f>IFERROR((F10*12/'États financiers'!G$3-E10)/ABS(E10),"n.d.")</f>
        <v>n.d.</v>
      </c>
      <c r="G20" s="11" t="inlineStr">
        <is>
          <t>Variation sur un an ; 2026 : n.d.</t>
        </is>
      </c>
    </row>
    <row r="21">
      <c r="B21" s="6" t="inlineStr">
        <is>
          <t>Croissance, résultat net</t>
        </is>
      </c>
      <c r="C21" s="12" t="n"/>
      <c r="D21" s="12">
        <f>IFERROR(('États financiers'!E107-'États financiers'!D107)/ABS('États financiers'!D107),"")</f>
        <v>6.27434619706374</v>
      </c>
      <c r="E21" s="12">
        <f>IFERROR(('États financiers'!F107-'États financiers'!E107)/ABS('États financiers'!E107),"")</f>
        <v>3.75487259176728</v>
      </c>
      <c r="F21" s="12">
        <f>IFERROR(('États financiers'!G107*12/'États financiers'!G$3-'États financiers'!F107)/ABS('États financiers'!F107),"")</f>
        <v>-0.643075906246916</v>
      </c>
      <c r="G21" s="8" t="inlineStr">
        <is>
          <t>Variation sur un an (dénominateur en valeur absolue) ; 2026 : flux de 8 mois annualisés (× 12/8)</t>
        </is>
      </c>
    </row>
    <row r="22">
      <c r="B22" s="9" t="inlineStr">
        <is>
          <t>Croissance, total du bilan</t>
        </is>
      </c>
      <c r="C22" s="13" t="n"/>
      <c r="D22" s="13">
        <f>IFERROR(('États financiers'!E33-'États financiers'!D33)/ABS('États financiers'!D33),"")</f>
        <v>-0.127699681441689</v>
      </c>
      <c r="E22" s="13">
        <f>IFERROR(('États financiers'!F33-'États financiers'!E33)/ABS('États financiers'!E33),"")</f>
        <v>0.103413572903474</v>
      </c>
      <c r="F22" s="13">
        <f>IFERROR(('États financiers'!G33-'États financiers'!F33)/ABS('États financiers'!F33),"")</f>
        <v>0.0307129971539606</v>
      </c>
      <c r="G22" s="11" t="inlineStr">
        <is>
          <t>Variation sur un an ; 2026 : 31/08/2026 vs 31/12/2025</t>
        </is>
      </c>
    </row>
    <row r="23">
      <c r="B23" s="6" t="inlineStr">
        <is>
          <t>Croissance, capitaux propres</t>
        </is>
      </c>
      <c r="C23" s="12" t="n"/>
      <c r="D23" s="12">
        <f>IFERROR(('États financiers'!E46-'États financiers'!D46)/ABS('États financiers'!D46),"")</f>
        <v>0.0337175886680377</v>
      </c>
      <c r="E23" s="12">
        <f>IFERROR(('États financiers'!F46-'États financiers'!E46)/ABS('États financiers'!E46),"")</f>
        <v>0.0762461325666397</v>
      </c>
      <c r="F23" s="12">
        <f>IFERROR(('États financiers'!G46-'États financiers'!F46)/ABS('États financiers'!F46),"")</f>
        <v>-0.0456316361739586</v>
      </c>
      <c r="G23" s="8" t="inlineStr">
        <is>
          <t>Variation sur un an ; 2026 : 31/08/2026 vs 31/12/2025</t>
        </is>
      </c>
    </row>
    <row r="24">
      <c r="B24" s="4" t="inlineStr">
        <is>
          <t>RENTABILITÉ</t>
        </is>
      </c>
      <c r="C24" s="5" t="n"/>
      <c r="D24" s="5" t="n"/>
      <c r="E24" s="5" t="n"/>
      <c r="F24" s="5" t="n"/>
      <c r="G24" s="5" t="n"/>
    </row>
    <row r="25">
      <c r="B25" s="6" t="inlineStr">
        <is>
          <t>Taux de valeur ajoutée</t>
        </is>
      </c>
      <c r="C25" s="12">
        <f>IFERROR('États financiers'!D87/'États financiers'!D73,"")</f>
        <v>0.533080983698741</v>
      </c>
      <c r="D25" s="12">
        <f>IFERROR('États financiers'!E87/'États financiers'!E73,"")</f>
        <v>0.536965973974841</v>
      </c>
      <c r="E25" s="12">
        <f>IFERROR('États financiers'!F87/'États financiers'!F73,"")</f>
        <v>0.582253622257086</v>
      </c>
      <c r="F25" s="12">
        <f>IFERROR('États financiers'!G87/'États financiers'!G73,"")</f>
        <v>0.537424740441943</v>
      </c>
      <c r="G25" s="8" t="inlineStr">
        <is>
          <t>VA / CA</t>
        </is>
      </c>
    </row>
    <row r="26">
      <c r="B26" s="9" t="inlineStr">
        <is>
          <t>Marge d'EBE</t>
        </is>
      </c>
      <c r="C26" s="13">
        <f>IFERROR('États financiers'!D89/'États financiers'!D73,"")</f>
        <v>0.282910519386391</v>
      </c>
      <c r="D26" s="13">
        <f>IFERROR('États financiers'!E89/'États financiers'!E73,"")</f>
        <v>0.289690613428123</v>
      </c>
      <c r="E26" s="13">
        <f>IFERROR('États financiers'!F89/'États financiers'!F73,"")</f>
        <v>0.337694760624051</v>
      </c>
      <c r="F26" s="13">
        <f>IFERROR('États financiers'!G89/'États financiers'!G73,"")</f>
        <v>0.274087598289338</v>
      </c>
      <c r="G26" s="11" t="inlineStr">
        <is>
          <t>EBE / CA</t>
        </is>
      </c>
    </row>
    <row r="27">
      <c r="B27" s="6" t="inlineStr">
        <is>
          <t>Marge d'EBE hors cessions courantes</t>
        </is>
      </c>
      <c r="C27" s="12">
        <f>IFERROR(('États financiers'!D89-'États financiers'!D145+'États financiers'!D146)/'États financiers'!D73,"")</f>
        <v>0.236350066305636</v>
      </c>
      <c r="D27" s="12">
        <f>IFERROR(('États financiers'!E89-'États financiers'!E145+'États financiers'!E146)/'États financiers'!E73,"")</f>
        <v>0.272175060906723</v>
      </c>
      <c r="E27" s="12">
        <f>IFERROR(('États financiers'!F89-'États financiers'!F145+'États financiers'!F146)/'États financiers'!F73,"")</f>
        <v>0.31047984169116</v>
      </c>
      <c r="F27" s="12" t="str">
        <f>IF(COUNT('États financiers'!G145:G146)&lt;2,"n.d.",IFERROR(('États financiers'!G89-'États financiers'!G145+'États financiers'!G146)/'États financiers'!G73,""))</f>
        <v>n.d.</v>
      </c>
      <c r="G27" s="8" t="inlineStr">
        <is>
          <t>EBE hors plus-values de cessions courantes / CA ; 2026 : n.d.</t>
        </is>
      </c>
    </row>
    <row r="28">
      <c r="B28" s="9" t="inlineStr">
        <is>
          <t>Marge d'exploitation</t>
        </is>
      </c>
      <c r="C28" s="13">
        <f>IFERROR('États financiers'!D92/'États financiers'!D73,"")</f>
        <v>0.0237947234815005</v>
      </c>
      <c r="D28" s="13">
        <f>IFERROR('États financiers'!E92/'États financiers'!E73,"")</f>
        <v>0.0441773122176055</v>
      </c>
      <c r="E28" s="13">
        <f>IFERROR('États financiers'!F92/'États financiers'!F73,"")</f>
        <v>0.11943076294889</v>
      </c>
      <c r="F28" s="13">
        <f>IFERROR('États financiers'!G92/'États financiers'!G73,"")</f>
        <v>0.0629132156482274</v>
      </c>
      <c r="G28" s="11" t="inlineStr">
        <is>
          <t>Résultat d'exploitation / CA</t>
        </is>
      </c>
    </row>
    <row r="29">
      <c r="B29" s="6" t="inlineStr">
        <is>
          <t>Marge nette</t>
        </is>
      </c>
      <c r="C29" s="12">
        <f>IFERROR('États financiers'!D107/'États financiers'!D73,"")</f>
        <v>-0.0038260317615265</v>
      </c>
      <c r="D29" s="12">
        <f>IFERROR('États financiers'!E107/'États financiers'!E73,"")</f>
        <v>0.0180909375028013</v>
      </c>
      <c r="E29" s="12">
        <f>IFERROR('États financiers'!F107/'États financiers'!F73,"")</f>
        <v>0.0820969201280855</v>
      </c>
      <c r="F29" s="12">
        <f>IFERROR('États financiers'!G107/'États financiers'!G73,"")</f>
        <v>0.0309433016022153</v>
      </c>
      <c r="G29" s="8" t="inlineStr">
        <is>
          <t>Résultat net / CA</t>
        </is>
      </c>
    </row>
    <row r="30">
      <c r="B30" s="9" t="inlineStr">
        <is>
          <t>Charges de personnel / valeur ajoutée</t>
        </is>
      </c>
      <c r="C30" s="13">
        <f>IFERROR(-'États financiers'!D88/'États financiers'!D87,"")</f>
        <v>0.469291668550174</v>
      </c>
      <c r="D30" s="13">
        <f>IFERROR(-'États financiers'!E88/'États financiers'!E87,"")</f>
        <v>0.460504710785089</v>
      </c>
      <c r="E30" s="13">
        <f>IFERROR(-'États financiers'!F88/'États financiers'!F87,"")</f>
        <v>0.420021194003073</v>
      </c>
      <c r="F30" s="13">
        <f>IFERROR(-'États financiers'!G88/'États financiers'!G87,"")</f>
        <v>0.489998175253438</v>
      </c>
      <c r="G30" s="11" t="inlineStr">
        <is>
          <t>−RK / XC</t>
        </is>
      </c>
    </row>
    <row r="31">
      <c r="B31" s="6" t="inlineStr">
        <is>
          <t>Valeur ajoutée par salarié (M FCFA)</t>
        </is>
      </c>
      <c r="C31" s="14">
        <f>IFERROR('États financiers'!D87/'États financiers'!D147/1000000,"")</f>
        <v>7.86971910107198</v>
      </c>
      <c r="D31" s="14">
        <f>IFERROR('États financiers'!E87/'États financiers'!E147/1000000,"")</f>
        <v>8.16700280763791</v>
      </c>
      <c r="E31" s="14" t="str">
        <f>IFERROR('États financiers'!F87/'États financiers'!F147/1000000,"")</f>
        <v/>
      </c>
      <c r="F31" s="14" t="str">
        <f>IFERROR('États financiers'!G87/'États financiers'!G147/1000000,"")</f>
        <v/>
      </c>
      <c r="G31" s="8" t="inlineStr">
        <is>
          <t>VA / effectif salarié (note 27B)</t>
        </is>
      </c>
    </row>
    <row r="32">
      <c r="B32" s="9" t="inlineStr">
        <is>
          <t>Charges de personnel par salarié (M FCFA)</t>
        </is>
      </c>
      <c r="C32" s="15">
        <f>IFERROR(-'États financiers'!D88/'États financiers'!D147/1000000,"")</f>
        <v>3.69319360796325</v>
      </c>
      <c r="D32" s="15">
        <f>IFERROR(-'États financiers'!E88/'États financiers'!E147/1000000,"")</f>
        <v>3.76094326591231</v>
      </c>
      <c r="E32" s="15" t="str">
        <f>IFERROR(-'États financiers'!F88/'États financiers'!F147/1000000,"")</f>
        <v/>
      </c>
      <c r="F32" s="15" t="str">
        <f>IFERROR(-'États financiers'!G88/'États financiers'!G147/1000000,"")</f>
        <v/>
      </c>
      <c r="G32" s="11" t="inlineStr">
        <is>
          <t>−RK / effectif salarié (note 27B)</t>
        </is>
      </c>
    </row>
    <row r="33">
      <c r="B33" s="6" t="inlineStr">
        <is>
          <t>Rentabilité des capitaux propres (ROE)</t>
        </is>
      </c>
      <c r="C33" s="12">
        <f>IFERROR('États financiers'!D107/'États financiers'!D46,"")</f>
        <v>-0.00639275227834086</v>
      </c>
      <c r="D33" s="12">
        <f>IFERROR('États financiers'!E107/'États financiers'!E46,"")</f>
        <v>0.0326177952640657</v>
      </c>
      <c r="E33" s="12">
        <f>IFERROR('États financiers'!F107/'États financiers'!F46,"")</f>
        <v>0.14410594009301</v>
      </c>
      <c r="F33" s="12">
        <f>IFERROR('États financiers'!G107*12/'États financiers'!G$3/'États financiers'!G46,"")</f>
        <v>0.0538941608101222</v>
      </c>
      <c r="G33" s="8" t="inlineStr">
        <is>
          <t>Résultat net / capitaux propres de clôture (CP) ; 2026 : résultat annualisé (× 12/8)</t>
        </is>
      </c>
    </row>
    <row r="34">
      <c r="B34" s="9" t="inlineStr">
        <is>
          <t>Rentabilité de l'actif (ROA)</t>
        </is>
      </c>
      <c r="C34" s="13">
        <f>IFERROR('États financiers'!D107/'États financiers'!D33,"")</f>
        <v>-0.00320528690802855</v>
      </c>
      <c r="D34" s="13">
        <f>IFERROR('États financiers'!E107/'États financiers'!E33,"")</f>
        <v>0.0193807023271521</v>
      </c>
      <c r="E34" s="13">
        <f>IFERROR('États financiers'!F107/'États financiers'!F33,"")</f>
        <v>0.0835160746320067</v>
      </c>
      <c r="F34" s="13">
        <f>IFERROR('États financiers'!G107*12/'États financiers'!G$3/'États financiers'!G33,"")</f>
        <v>0.0289206591302848</v>
      </c>
      <c r="G34" s="11" t="inlineStr">
        <is>
          <t>Résultat net / total du bilan ; 2026 : résultat annualisé (× 12/8)</t>
        </is>
      </c>
    </row>
    <row r="35">
      <c r="B35" s="4" t="inlineStr">
        <is>
          <t>STRUCTURE FINANCIÈRE ET ENDETTEMENT</t>
        </is>
      </c>
      <c r="C35" s="5" t="n"/>
      <c r="D35" s="5" t="n"/>
      <c r="E35" s="5" t="n"/>
      <c r="F35" s="5" t="n"/>
      <c r="G35" s="5" t="n"/>
    </row>
    <row r="36">
      <c r="B36" s="6" t="inlineStr">
        <is>
          <t>Capitaux propres (M FCFA)</t>
        </is>
      </c>
      <c r="C36" s="7">
        <f>'États financiers'!D46/1000000</f>
        <v>5769.523109</v>
      </c>
      <c r="D36" s="7">
        <f>'États financiers'!E46/1000000</f>
        <v>5964.057516</v>
      </c>
      <c r="E36" s="7">
        <f>'États financiers'!F46/1000000</f>
        <v>6418.793836</v>
      </c>
      <c r="F36" s="7">
        <f>'États financiers'!G46/1000000</f>
        <v>6125.893771</v>
      </c>
      <c r="G36" s="8" t="inlineStr">
        <is>
          <t>CP</t>
        </is>
      </c>
    </row>
    <row r="37">
      <c r="B37" s="9" t="inlineStr">
        <is>
          <t>Autonomie financière</t>
        </is>
      </c>
      <c r="C37" s="13">
        <f>IFERROR('États financiers'!D46/'États financiers'!D33,"")</f>
        <v>0.501393886149524</v>
      </c>
      <c r="D37" s="13">
        <f>IFERROR('États financiers'!E46/'États financiers'!E33,"")</f>
        <v>0.594175730464021</v>
      </c>
      <c r="E37" s="13">
        <f>IFERROR('États financiers'!F46/'États financiers'!F33,"")</f>
        <v>0.579546371080213</v>
      </c>
      <c r="F37" s="13">
        <f>IFERROR('États financiers'!G46/'États financiers'!G33,"")</f>
        <v>0.53661952789611</v>
      </c>
      <c r="G37" s="11" t="inlineStr">
        <is>
          <t>Capitaux propres / total du bilan</t>
        </is>
      </c>
    </row>
    <row r="38">
      <c r="B38" s="6" t="inlineStr">
        <is>
          <t>Dettes financières (M FCFA)</t>
        </is>
      </c>
      <c r="C38" s="7">
        <f>('États financiers'!D47+'États financiers'!D48)/1000000</f>
        <v>3666.527646</v>
      </c>
      <c r="D38" s="7">
        <f>('États financiers'!E47+'États financiers'!E48)/1000000</f>
        <v>2042.67648</v>
      </c>
      <c r="E38" s="7">
        <f>('États financiers'!F47+'États financiers'!F48)/1000000</f>
        <v>2807.075634</v>
      </c>
      <c r="F38" s="7">
        <f>('États financiers'!G47+'États financiers'!G48)/1000000</f>
        <v>3327.82993</v>
      </c>
      <c r="G38" s="8" t="inlineStr">
        <is>
          <t>DA + DB (emprunts et location-acquisition)</t>
        </is>
      </c>
    </row>
    <row r="39">
      <c r="B39" s="9" t="inlineStr">
        <is>
          <t>Endettement net (M FCFA)</t>
        </is>
      </c>
      <c r="C39" s="10">
        <f>(('États financiers'!D47+'États financiers'!D48+'États financiers'!D61)-'États financiers'!D31)/1000000</f>
        <v>3037.075177</v>
      </c>
      <c r="D39" s="10">
        <f>(('États financiers'!E47+'États financiers'!E48+'États financiers'!E61)-'États financiers'!E31)/1000000</f>
        <v>1134.177255</v>
      </c>
      <c r="E39" s="10">
        <f>(('États financiers'!F47+'États financiers'!F48+'États financiers'!F61)-'États financiers'!F31)/1000000</f>
        <v>1915.577066</v>
      </c>
      <c r="F39" s="10">
        <f>(('États financiers'!G47+'États financiers'!G48+'États financiers'!G61)-'États financiers'!G31)/1000000</f>
        <v>2991.201816</v>
      </c>
      <c r="G39" s="11" t="inlineStr">
        <is>
          <t>DA + DB + trésorerie-passif − trésorerie-actif</t>
        </is>
      </c>
    </row>
    <row r="40">
      <c r="B40" s="6" t="inlineStr">
        <is>
          <t>Gearing</t>
        </is>
      </c>
      <c r="C40" s="12">
        <f>IFERROR((('États financiers'!D47+'États financiers'!D48+'États financiers'!D61)-'États financiers'!D31)/'États financiers'!D46,"")</f>
        <v>0.526399690168916</v>
      </c>
      <c r="D40" s="12">
        <f>IFERROR((('États financiers'!E47+'États financiers'!E48+'États financiers'!E61)-'États financiers'!E31)/'États financiers'!E46,"")</f>
        <v>0.190168731934141</v>
      </c>
      <c r="E40" s="12">
        <f>IFERROR((('États financiers'!F47+'États financiers'!F48+'États financiers'!F61)-'États financiers'!F31)/'États financiers'!F46,"")</f>
        <v>0.298432558350204</v>
      </c>
      <c r="F40" s="12">
        <f>IFERROR((('États financiers'!G47+'États financiers'!G48+'États financiers'!G61)-'États financiers'!G31)/'États financiers'!G46,"")</f>
        <v>0.488288228268071</v>
      </c>
      <c r="G40" s="8" t="inlineStr">
        <is>
          <t>Endettement net / capitaux propres</t>
        </is>
      </c>
    </row>
    <row r="41">
      <c r="B41" s="9" t="inlineStr">
        <is>
          <t>Capacité de remboursement</t>
        </is>
      </c>
      <c r="C41" s="16">
        <f>IFERROR(('États financiers'!D47+'États financiers'!D48)/'États financiers'!D111,"")</f>
        <v>1.8221846641808</v>
      </c>
      <c r="D41" s="16">
        <f>IFERROR(('États financiers'!E47+'États financiers'!E48)/'États financiers'!E111,"")</f>
        <v>0.772574307050167</v>
      </c>
      <c r="E41" s="16">
        <f>IFERROR(('États financiers'!F47+'États financiers'!F48)/'États financiers'!F111,"")</f>
        <v>0.919905723300174</v>
      </c>
      <c r="F41" s="16">
        <f>IFERROR(('États financiers'!G47+'États financiers'!G48)/('États financiers'!G111*12/'États financiers'!G$3),"")</f>
        <v>1.29259963956491</v>
      </c>
      <c r="G41" s="11" t="inlineStr">
        <is>
          <t>Dettes financières / CAFG ; 2026 : CAFG annualisée (× 12/8)</t>
        </is>
      </c>
    </row>
    <row r="42">
      <c r="B42" s="6" t="inlineStr">
        <is>
          <t>Couverture des frais financiers</t>
        </is>
      </c>
      <c r="C42" s="17">
        <f>IFERROR('États financiers'!D89/-'États financiers'!D96,"")</f>
        <v>11.2883643278019</v>
      </c>
      <c r="D42" s="17">
        <f>IFERROR('États financiers'!E89/-'États financiers'!E96,"")</f>
        <v>15.0691464358638</v>
      </c>
      <c r="E42" s="17">
        <f>IFERROR('États financiers'!F89/-'États financiers'!F96,"")</f>
        <v>24.554442269354</v>
      </c>
      <c r="F42" s="17">
        <f>IFERROR('États financiers'!G89/-'États financiers'!G96,"")</f>
        <v>13.7671711320233</v>
      </c>
      <c r="G42" s="8" t="inlineStr">
        <is>
          <t>EBE / frais financiers</t>
        </is>
      </c>
    </row>
    <row r="43">
      <c r="B43" s="4" t="inlineStr">
        <is>
          <t>ÉQUILIBRE FINANCIER (M FCFA)</t>
        </is>
      </c>
      <c r="C43" s="5" t="n"/>
      <c r="D43" s="5" t="n"/>
      <c r="E43" s="5" t="n"/>
      <c r="F43" s="5" t="n"/>
      <c r="G43" s="5" t="n"/>
    </row>
    <row r="44">
      <c r="B44" s="6" t="inlineStr">
        <is>
          <t>Fonds de roulement</t>
        </is>
      </c>
      <c r="C44" s="7">
        <f>('États financiers'!D51-'États financiers'!D20)/1000000</f>
        <v>2713.699917</v>
      </c>
      <c r="D44" s="7">
        <f>('États financiers'!E51-'États financiers'!E20)/1000000</f>
        <v>2692.554841</v>
      </c>
      <c r="E44" s="7">
        <f>('États financiers'!F51-'États financiers'!F20)/1000000</f>
        <v>2970.74303</v>
      </c>
      <c r="F44" s="7">
        <f>('États financiers'!G51-'États financiers'!G20)/1000000</f>
        <v>3010.809815</v>
      </c>
      <c r="G44" s="8" t="inlineStr">
        <is>
          <t>Ressources stables − actif immobilisé</t>
        </is>
      </c>
    </row>
    <row r="45">
      <c r="B45" s="9" t="inlineStr">
        <is>
          <t>Besoin en fonds de roulement</t>
        </is>
      </c>
      <c r="C45" s="10">
        <f>('États financiers'!D27-'États financiers'!D58)/1000000</f>
        <v>2084.247448</v>
      </c>
      <c r="D45" s="10">
        <f>('États financiers'!E27-'États financiers'!E58)/1000000</f>
        <v>1784.055616</v>
      </c>
      <c r="E45" s="10">
        <f>('États financiers'!F27-'États financiers'!F58)/1000000</f>
        <v>2079.244462</v>
      </c>
      <c r="F45" s="10">
        <f>('États financiers'!G27-'États financiers'!G58)/1000000</f>
        <v>2674.181701</v>
      </c>
      <c r="G45" s="11" t="inlineStr">
        <is>
          <t>Actif circulant − passif circulant (HAO inclus)</t>
        </is>
      </c>
    </row>
    <row r="46">
      <c r="B46" s="6" t="inlineStr">
        <is>
          <t>Trésorerie nette</t>
        </is>
      </c>
      <c r="C46" s="7">
        <f>('États financiers'!D31-'États financiers'!D61)/1000000</f>
        <v>629.452469</v>
      </c>
      <c r="D46" s="7">
        <f>('États financiers'!E31-'États financiers'!E61)/1000000</f>
        <v>908.499225</v>
      </c>
      <c r="E46" s="7">
        <f>('États financiers'!F31-'États financiers'!F61)/1000000</f>
        <v>891.498568</v>
      </c>
      <c r="F46" s="7">
        <f>('États financiers'!G31-'États financiers'!G61)/1000000</f>
        <v>336.628114</v>
      </c>
      <c r="G46" s="8" t="inlineStr">
        <is>
          <t>Trésorerie-actif − trésorerie-passif (= FR − BFR hors écarts de conversion)</t>
        </is>
      </c>
    </row>
    <row r="47">
      <c r="B47" s="9" t="inlineStr">
        <is>
          <t>BFR en jours de chiffre d'affaires</t>
        </is>
      </c>
      <c r="C47" s="18">
        <f>IFERROR(('États financiers'!D27-'États financiers'!D58)/'États financiers'!D73*360,"")</f>
        <v>77.8345748016811</v>
      </c>
      <c r="D47" s="18">
        <f>IFERROR(('États financiers'!E27-'États financiers'!E58)/'États financiers'!E73*360,"")</f>
        <v>59.7276651127733</v>
      </c>
      <c r="E47" s="18">
        <f>IFERROR(('États financiers'!F27-'États financiers'!F58)/'États financiers'!F73*360,"")</f>
        <v>66.4354084160813</v>
      </c>
      <c r="F47" s="18">
        <f>IFERROR(('États financiers'!G27-'États financiers'!G58)/'États financiers'!G73*30*'États financiers'!G$3,"")</f>
        <v>90.2295701674369</v>
      </c>
      <c r="G47" s="11" t="inlineStr">
        <is>
          <t>BFR / CA × 360 ; 2026 : × 240 jours (8 mois)</t>
        </is>
      </c>
    </row>
    <row r="48">
      <c r="B48" s="4" t="inlineStr">
        <is>
          <t>LIQUIDITÉ</t>
        </is>
      </c>
      <c r="C48" s="5" t="n"/>
      <c r="D48" s="5" t="n"/>
      <c r="E48" s="5" t="n"/>
      <c r="F48" s="5" t="n"/>
      <c r="G48" s="5" t="n"/>
    </row>
    <row r="49">
      <c r="B49" s="6" t="inlineStr">
        <is>
          <t>Liquidité générale</t>
        </is>
      </c>
      <c r="C49" s="17">
        <f>IFERROR(('États financiers'!D27+'États financiers'!D31)/('États financiers'!D58+'États financiers'!D61),"")</f>
        <v>2.3385872129166</v>
      </c>
      <c r="D49" s="17">
        <f>IFERROR(('États financiers'!E27+'États financiers'!E31)/('États financiers'!E58+'États financiers'!E61),"")</f>
        <v>2.36263375526494</v>
      </c>
      <c r="E49" s="17">
        <f>IFERROR(('États financiers'!F27+'États financiers'!F31)/('États financiers'!F58+'États financiers'!F61),"")</f>
        <v>2.68342734382646</v>
      </c>
      <c r="F49" s="17">
        <f>IFERROR(('États financiers'!G27+'États financiers'!G31)/('États financiers'!G58+'États financiers'!G61),"")</f>
        <v>2.62492607873336</v>
      </c>
      <c r="G49" s="8" t="inlineStr">
        <is>
          <t>(Actif circulant + trésorerie-actif) / (passif circulant + trésorerie-passif)</t>
        </is>
      </c>
    </row>
    <row r="50">
      <c r="B50" s="9" t="inlineStr">
        <is>
          <t>Liquidité réduite</t>
        </is>
      </c>
      <c r="C50" s="19">
        <f>IFERROR(('États financiers'!D27-'États financiers'!D22+'États financiers'!D31)/('États financiers'!D58+'États financiers'!D61),"")</f>
        <v>2.04347493003059</v>
      </c>
      <c r="D50" s="19">
        <f>IFERROR(('États financiers'!E27-'États financiers'!E22+'États financiers'!E31)/('États financiers'!E58+'États financiers'!E61),"")</f>
        <v>2.1735466643527</v>
      </c>
      <c r="E50" s="19">
        <f>IFERROR(('États financiers'!F27-'États financiers'!F22+'États financiers'!F31)/('États financiers'!F58+'États financiers'!F61),"")</f>
        <v>2.53420834587123</v>
      </c>
      <c r="F50" s="19">
        <f>IFERROR(('États financiers'!G27-'États financiers'!G22+'États financiers'!G31)/('États financiers'!G58+'États financiers'!G61),"")</f>
        <v>2.47727631940016</v>
      </c>
      <c r="G50" s="11" t="inlineStr">
        <is>
          <t>Idem hors stocks</t>
        </is>
      </c>
    </row>
    <row r="51">
      <c r="B51" s="6" t="inlineStr">
        <is>
          <t>Liquidité immédiate</t>
        </is>
      </c>
      <c r="C51" s="17">
        <f>IFERROR('États financiers'!D31/('États financiers'!D58+'États financiers'!D61),"")</f>
        <v>0.310490124889584</v>
      </c>
      <c r="D51" s="17">
        <f>IFERROR('États financiers'!E31/('États financiers'!E58+'États financiers'!E61),"")</f>
        <v>0.459768429510343</v>
      </c>
      <c r="E51" s="17">
        <f>IFERROR('États financiers'!F31/('États financiers'!F58+'États financiers'!F61),"")</f>
        <v>0.505184410498585</v>
      </c>
      <c r="F51" s="17">
        <f>IFERROR('États financiers'!G31/('États financiers'!G58+'États financiers'!G61),"")</f>
        <v>0.181677301086327</v>
      </c>
      <c r="G51" s="8" t="inlineStr">
        <is>
          <t>Trésorerie-actif / dettes à court terme</t>
        </is>
      </c>
    </row>
    <row r="52">
      <c r="B52" s="4" t="inlineStr">
        <is>
          <t>DÉLAIS (360 JOURS)</t>
        </is>
      </c>
      <c r="C52" s="5" t="n"/>
      <c r="D52" s="5" t="n"/>
      <c r="E52" s="5" t="n"/>
      <c r="F52" s="5" t="n"/>
      <c r="G52" s="5" t="n"/>
    </row>
    <row r="53">
      <c r="B53" s="6" t="inlineStr">
        <is>
          <t>Délai de recouvrement clients</t>
        </is>
      </c>
      <c r="C53" s="20">
        <f>IFERROR('États financiers'!D25/'États financiers'!D73*360,"")</f>
        <v>121.896610585821</v>
      </c>
      <c r="D53" s="20">
        <f>IFERROR('États financiers'!E25/'États financiers'!E73*360,"")</f>
        <v>100.018139365491</v>
      </c>
      <c r="E53" s="20">
        <f>IFERROR('États financiers'!F25/'États financiers'!F73*360,"")</f>
        <v>88.7946123175522</v>
      </c>
      <c r="F53" s="20">
        <f>IFERROR('États financiers'!G25/'États financiers'!G73*30*'États financiers'!G$3,"")</f>
        <v>104.070791092073</v>
      </c>
      <c r="G53" s="8" t="inlineStr">
        <is>
          <t>Clients nets (TTC) / CA (HT) × 360 ; 2026 : × 240 jours (8 mois)</t>
        </is>
      </c>
    </row>
    <row r="54">
      <c r="B54" s="9" t="inlineStr">
        <is>
          <t>Délai de paiement fournisseurs</t>
        </is>
      </c>
      <c r="C54" s="18">
        <f>IFERROR('États financiers'!D54/-('États financiers'!D67+'États financiers'!D79+'États financiers'!D81+'États financiers'!D83+'États financiers'!D84)*360,"")</f>
        <v>98.1573194530647</v>
      </c>
      <c r="D54" s="18">
        <f>IFERROR('États financiers'!E54/-('États financiers'!E67+'États financiers'!E79+'États financiers'!E81+'États financiers'!E83+'États financiers'!E84)*360,"")</f>
        <v>81.2537651922832</v>
      </c>
      <c r="E54" s="18">
        <f>IFERROR('États financiers'!F54/-('États financiers'!F67+'États financiers'!F79+'États financiers'!F81+'États financiers'!F83+'États financiers'!F84)*360,"")</f>
        <v>61.3233125622002</v>
      </c>
      <c r="F54" s="18">
        <f>IFERROR('États financiers'!G54/-('États financiers'!G67+'États financiers'!G79+'États financiers'!G81+'États financiers'!G83+'États financiers'!G84)*30*'États financiers'!G$3,"")</f>
        <v>67.1493338427222</v>
      </c>
      <c r="G54" s="11" t="inlineStr">
        <is>
          <t>Fournisseurs d'exploitation (TTC) / (achats + transports + services extérieurs) (HT) × 360 ; 2026 : × 240 jours (8 mois)</t>
        </is>
      </c>
    </row>
    <row r="55">
      <c r="B55" s="6" t="inlineStr">
        <is>
          <t>Rotation des stocks</t>
        </is>
      </c>
      <c r="C55" s="20">
        <f>IFERROR('États financiers'!D22/-('États financiers'!D67+'États financiers'!D68+'États financiers'!D79+'États financiers'!D80+'États financiers'!D81+'États financiers'!D82)*360,"")</f>
        <v>75.0408734108649</v>
      </c>
      <c r="D55" s="20">
        <f>IFERROR('États financiers'!E22/-('États financiers'!E67+'États financiers'!E68+'États financiers'!E79+'États financiers'!E80+'États financiers'!E81+'États financiers'!E82)*360,"")</f>
        <v>45.729552231616</v>
      </c>
      <c r="E55" s="20">
        <f>IFERROR('États financiers'!F22/-('États financiers'!F67+'États financiers'!F68+'États financiers'!F79+'États financiers'!F80+'États financiers'!F81+'États financiers'!F82)*360,"")</f>
        <v>30.3041528068326</v>
      </c>
      <c r="F55" s="20">
        <f>IFERROR('États financiers'!G22/-('États financiers'!G67+'États financiers'!G68+'États financiers'!G79+'États financiers'!G80+'États financiers'!G81+'États financiers'!G82)*30*'États financiers'!G$3,"")</f>
        <v>31.2267776797629</v>
      </c>
      <c r="G55" s="8" t="inlineStr">
        <is>
          <t>Stocks nets / achats consommés × 360 ; 2026 : × 240 jours (8 mois)</t>
        </is>
      </c>
    </row>
    <row r="56">
      <c r="B56" s="4" t="inlineStr">
        <is>
          <t>FLUX DE TRÉSORERIE (M FCFA)</t>
        </is>
      </c>
      <c r="C56" s="5" t="n"/>
      <c r="D56" s="5" t="n"/>
      <c r="E56" s="5" t="n"/>
      <c r="F56" s="5" t="n"/>
      <c r="G56" s="5" t="n"/>
    </row>
    <row r="57">
      <c r="B57" s="6" t="inlineStr">
        <is>
          <t>Flux des activités opérationnelles</t>
        </is>
      </c>
      <c r="C57" s="7">
        <f>'États financiers'!D116/1000000</f>
        <v>1543.140101</v>
      </c>
      <c r="D57" s="7">
        <f>'États financiers'!E116/1000000</f>
        <v>2944.178904</v>
      </c>
      <c r="E57" s="7">
        <f>'États financiers'!F116/1000000</f>
        <v>2756.303021</v>
      </c>
      <c r="F57" s="7">
        <f>'États financiers'!G116/1000000</f>
        <v>1121.41268</v>
      </c>
      <c r="G57" s="8" t="inlineStr">
        <is>
          <t>ZB ; 2026 : TFT reconstitué, 8 mois</t>
        </is>
      </c>
    </row>
    <row r="58">
      <c r="B58" s="9" t="inlineStr">
        <is>
          <t>Investissements bruts</t>
        </is>
      </c>
      <c r="C58" s="10">
        <f>-('États financiers'!D117+'États financiers'!D118+'États financiers'!D119)/1000000</f>
        <v>3976.26952</v>
      </c>
      <c r="D58" s="10">
        <f>-('États financiers'!E117+'États financiers'!E118+'États financiers'!E119)/1000000</f>
        <v>1337.592071</v>
      </c>
      <c r="E58" s="10">
        <f>-('États financiers'!F117+'États financiers'!F118+'États financiers'!F119)/1000000</f>
        <v>5401.312019</v>
      </c>
      <c r="F58" s="10">
        <f>-('États financiers'!G117+'États financiers'!G118+'États financiers'!G119)/1000000</f>
        <v>1780.000234</v>
      </c>
      <c r="G58" s="11" t="inlineStr">
        <is>
          <t>−(FF + FG + FH) ; 2026 : TFT reconstitué, 8 mois</t>
        </is>
      </c>
    </row>
    <row r="59">
      <c r="B59" s="6" t="inlineStr">
        <is>
          <t>Cessions d'immobilisations</t>
        </is>
      </c>
      <c r="C59" s="7">
        <f>('États financiers'!D120+'États financiers'!D121)/1000000</f>
        <v>366.805232</v>
      </c>
      <c r="D59" s="7">
        <f>('États financiers'!E120+'États financiers'!E121)/1000000</f>
        <v>293.69458</v>
      </c>
      <c r="E59" s="7">
        <f>('États financiers'!F120+'États financiers'!F121)/1000000</f>
        <v>2330.009844</v>
      </c>
      <c r="F59" s="7">
        <f>('États financiers'!G120+'États financiers'!G121)/1000000</f>
        <v>95.962805</v>
      </c>
      <c r="G59" s="8" t="inlineStr">
        <is>
          <t>FI + FJ ; 2026 : TFT reconstitué, 8 mois</t>
        </is>
      </c>
    </row>
    <row r="60">
      <c r="B60" s="9" t="inlineStr">
        <is>
          <t>Flux de trésorerie disponible</t>
        </is>
      </c>
      <c r="C60" s="10">
        <f>('États financiers'!D116+'États financiers'!D122)/1000000</f>
        <v>-2066.324187</v>
      </c>
      <c r="D60" s="10">
        <f>('États financiers'!E116+'États financiers'!E122)/1000000</f>
        <v>1900.281413</v>
      </c>
      <c r="E60" s="10">
        <f>('États financiers'!F116+'États financiers'!F122)/1000000</f>
        <v>-314.999154</v>
      </c>
      <c r="F60" s="10">
        <f>('États financiers'!G116+'États financiers'!G122)/1000000</f>
        <v>-562.624749</v>
      </c>
      <c r="G60" s="11" t="inlineStr">
        <is>
          <t>ZB + ZC ; 2026 : TFT reconstitué, 8 mois</t>
        </is>
      </c>
    </row>
    <row r="61">
      <c r="B61" s="6" t="inlineStr">
        <is>
          <t>Dividendes versés</t>
        </is>
      </c>
      <c r="C61" s="7">
        <f>-'États financiers'!D126/1000000</f>
        <v>0</v>
      </c>
      <c r="D61" s="7">
        <f>-'États financiers'!E126/1000000</f>
        <v>0</v>
      </c>
      <c r="E61" s="7">
        <f>-'États financiers'!F126/1000000</f>
        <v>470.25</v>
      </c>
      <c r="F61" s="7">
        <f>-'États financiers'!G126/1000000</f>
        <v>513.000001</v>
      </c>
      <c r="G61" s="8" t="inlineStr">
        <is>
          <t>−FN ; 2026 : TFT reconstitué, 8 mois</t>
        </is>
      </c>
    </row>
    <row r="62">
      <c r="B62" s="9" t="inlineStr">
        <is>
          <t>Investissements bruts / chiffre d'affaires</t>
        </is>
      </c>
      <c r="C62" s="13">
        <f>IFERROR(-('États financiers'!D117+'États financiers'!D118+'États financiers'!D119)/'États financiers'!D73,"")</f>
        <v>0.412474013213133</v>
      </c>
      <c r="D62" s="13">
        <f>IFERROR(-('États financiers'!E117+'États financiers'!E118+'États financiers'!E119)/'États financiers'!E73,"")</f>
        <v>0.12439082080068</v>
      </c>
      <c r="E62" s="13">
        <f>IFERROR(-('États financiers'!F117+'États financiers'!F118+'États financiers'!F119)/'États financiers'!F73,"")</f>
        <v>0.47939204269606</v>
      </c>
      <c r="F62" s="13">
        <f>IFERROR(-('États financiers'!G117+'États financiers'!G118+'États financiers'!G119)/'États financiers'!G73,"")</f>
        <v>0.250245797857369</v>
      </c>
      <c r="G62" s="11" t="inlineStr">
        <is>
          <t>−(FF + FG + FH) / CA</t>
        </is>
      </c>
    </row>
    <row r="64">
      <c r="B64" s="1" t="inlineStr">
        <is>
          <t>Montants en millions de FCFA sauf mention contraire. Ratios de bilan sur valeurs de clôture. Délais sur 360 jours : créances et dettes TTC rapportées à des flux HT, à lire en tendance. Colonne 2026 : 8 mois au 31/08/2026 ; montants de flux non annualisés, croissances de flux, ROE, ROA et capacité de remboursement annualisés (× 12/8), délais sur 240 jours.</t>
        </is>
      </c>
    </row>
  </sheetData>
  <mergeCells count="1">
    <mergeCell ref="B1:G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B1:G149"/>
  <sheetViews>
    <sheetView showGridLines="0" zoomScale="90" zoomScaleNormal="90" workbookViewId="0">
      <pane xSplit="3" ySplit="3" topLeftCell="D4" activePane="bottomRight" state="frozen"/>
      <selection pane="bottomRight" activeCell="A1" sqref="A1"/>
      <selection pane="bottomLeft" activeCell="A4" sqref="A4"/>
      <selection pane="topRight" activeCell="D1" sqref="D1"/>
    </sheetView>
  </sheetViews>
  <sheetFormatPr baseColWidth="8" defaultColWidth="8.7109375" defaultRowHeight="15"/>
  <cols>
    <col width="2" customWidth="1" min="1" max="1"/>
    <col width="10" customWidth="1" min="2" max="2"/>
    <col width="62" customWidth="1" min="3" max="3"/>
    <col width="17" customWidth="1" min="4" max="6"/>
    <col width="13" customWidth="1" min="5" max="5"/>
    <col width="13" customWidth="1" min="6" max="6"/>
    <col width="17" customWidth="1" min="7" max="7"/>
  </cols>
  <sheetData>
    <row r="1" ht="27.75" customHeight="1">
      <c r="B1" s="32" t="inlineStr">
        <is>
          <t>ÉTATS FINANCIERS : ATR, SYSCOHADA RÉVISÉ (SYSTÈME NORMAL)</t>
        </is>
      </c>
    </row>
    <row r="2">
      <c r="B2" s="1" t="inlineStr">
        <is>
          <t>ATELIER TECHNIQUE DE REPARATIO, NCC 9908512B. Montants en FCFA. Source : liasses DGI certifiées 2023, 2024 et 2025, colonne N de chaque liasse ; états financiers intermédiaires au 31/08/2026 (8 mois) pour la colonne 2026. Saisies en bleu, sous-totaux en formules. TFT 2026 reconstitué par formules (absent des EFI intermédiaires).</t>
        </is>
      </c>
    </row>
    <row r="3">
      <c r="C3" s="9" t="inlineStr">
        <is>
          <t>Durée de la période (mois)</t>
        </is>
      </c>
      <c r="D3" s="34" t="n">
        <v>12</v>
      </c>
      <c r="E3" s="34" t="n">
        <v>12</v>
      </c>
      <c r="F3" s="34" t="n">
        <v>12</v>
      </c>
      <c r="G3" s="34" t="n">
        <v>8</v>
      </c>
    </row>
    <row r="4">
      <c r="B4" s="2" t="inlineStr">
        <is>
          <t>Code</t>
        </is>
      </c>
      <c r="C4" s="2" t="inlineStr">
        <is>
          <t>Bilan, actif (montants nets)</t>
        </is>
      </c>
      <c r="D4" s="3" t="inlineStr">
        <is>
          <t>2023</t>
        </is>
      </c>
      <c r="E4" s="3" t="inlineStr">
        <is>
          <t>2024</t>
        </is>
      </c>
      <c r="F4" s="3" t="inlineStr">
        <is>
          <t>2025</t>
        </is>
      </c>
      <c r="G4" s="3" t="inlineStr">
        <is>
          <t>2026 (8 mois)</t>
        </is>
      </c>
    </row>
    <row r="5">
      <c r="B5" s="8" t="inlineStr">
        <is>
          <t>AD</t>
        </is>
      </c>
      <c r="C5" s="21" t="inlineStr">
        <is>
          <t>Immobilisations incorporelles</t>
        </is>
      </c>
      <c r="D5" s="22">
        <f>D6+D7+D8+D9</f>
        <v>19467954</v>
      </c>
      <c r="E5" s="22">
        <f>E6+E7+E8+E9</f>
        <v>7025740</v>
      </c>
      <c r="F5" s="22">
        <f>F6+F7+F8+F9</f>
        <v>1110808</v>
      </c>
      <c r="G5" s="22">
        <f>G6+G7+G8+G9</f>
        <v>669030</v>
      </c>
    </row>
    <row r="6">
      <c r="B6" s="11" t="inlineStr">
        <is>
          <t>AE</t>
        </is>
      </c>
      <c r="C6" s="9" t="inlineStr">
        <is>
          <t>Frais de développement et de prospection</t>
        </is>
      </c>
      <c r="D6" s="23" t="n">
        <v>0</v>
      </c>
      <c r="E6" s="23" t="n">
        <v>0</v>
      </c>
      <c r="F6" s="23" t="n">
        <v>0</v>
      </c>
      <c r="G6" s="23" t="n">
        <v>0</v>
      </c>
    </row>
    <row r="7">
      <c r="B7" s="8" t="inlineStr">
        <is>
          <t>AF</t>
        </is>
      </c>
      <c r="C7" s="6" t="inlineStr">
        <is>
          <t>Brevets, licences, logiciels et droits similaires</t>
        </is>
      </c>
      <c r="D7" s="24" t="n">
        <v>19467954</v>
      </c>
      <c r="E7" s="24" t="n">
        <v>7025740</v>
      </c>
      <c r="F7" s="24" t="n">
        <v>1110808</v>
      </c>
      <c r="G7" s="24" t="n">
        <v>669030</v>
      </c>
    </row>
    <row r="8">
      <c r="B8" s="11" t="inlineStr">
        <is>
          <t>AG</t>
        </is>
      </c>
      <c r="C8" s="9" t="inlineStr">
        <is>
          <t>Fonds commercial et droit au bail</t>
        </is>
      </c>
      <c r="D8" s="23" t="n">
        <v>0</v>
      </c>
      <c r="E8" s="23" t="n">
        <v>0</v>
      </c>
      <c r="F8" s="23" t="n">
        <v>0</v>
      </c>
      <c r="G8" s="23" t="n">
        <v>0</v>
      </c>
    </row>
    <row r="9">
      <c r="B9" s="8" t="inlineStr">
        <is>
          <t>AH</t>
        </is>
      </c>
      <c r="C9" s="6" t="inlineStr">
        <is>
          <t>Autres immobilisations incorporelles</t>
        </is>
      </c>
      <c r="D9" s="24" t="n">
        <v>0</v>
      </c>
      <c r="E9" s="24" t="n">
        <v>0</v>
      </c>
      <c r="F9" s="24" t="n">
        <v>0</v>
      </c>
      <c r="G9" s="24" t="n">
        <v>0</v>
      </c>
    </row>
    <row r="10">
      <c r="B10" s="11" t="inlineStr">
        <is>
          <t>AI</t>
        </is>
      </c>
      <c r="C10" s="25" t="inlineStr">
        <is>
          <t>Immobilisations corporelles</t>
        </is>
      </c>
      <c r="D10" s="26">
        <f>D11+D12+D13+D14+D15</f>
        <v>6633533334</v>
      </c>
      <c r="E10" s="26">
        <f>E11+E12+E13+E14+E15</f>
        <v>5249498091</v>
      </c>
      <c r="F10" s="26">
        <f>F11+F12+F13+F14+F15</f>
        <v>6224455586</v>
      </c>
      <c r="G10" s="26">
        <f>G11+G12+G13+G14+G15</f>
        <v>6526748682</v>
      </c>
    </row>
    <row r="11">
      <c r="B11" s="8" t="inlineStr">
        <is>
          <t>AJ</t>
        </is>
      </c>
      <c r="C11" s="6" t="inlineStr">
        <is>
          <t>Terrains</t>
        </is>
      </c>
      <c r="D11" s="24" t="n">
        <v>0</v>
      </c>
      <c r="E11" s="24" t="n">
        <v>0</v>
      </c>
      <c r="F11" s="24" t="n">
        <v>0</v>
      </c>
      <c r="G11" s="24" t="n">
        <v>0</v>
      </c>
    </row>
    <row r="12">
      <c r="B12" s="11" t="inlineStr">
        <is>
          <t>AK</t>
        </is>
      </c>
      <c r="C12" s="9" t="inlineStr">
        <is>
          <t>Bâtiments</t>
        </is>
      </c>
      <c r="D12" s="23" t="n">
        <v>2046248</v>
      </c>
      <c r="E12" s="23" t="n">
        <v>1937155</v>
      </c>
      <c r="F12" s="23" t="n">
        <v>1828360</v>
      </c>
      <c r="G12" s="23" t="n">
        <v>1755929</v>
      </c>
    </row>
    <row r="13">
      <c r="B13" s="8" t="inlineStr">
        <is>
          <t>AL</t>
        </is>
      </c>
      <c r="C13" s="6" t="inlineStr">
        <is>
          <t>Aménagements, agencements et installations</t>
        </is>
      </c>
      <c r="D13" s="24" t="n">
        <v>80618206</v>
      </c>
      <c r="E13" s="24" t="n">
        <v>152817020</v>
      </c>
      <c r="F13" s="24" t="n">
        <v>171498799</v>
      </c>
      <c r="G13" s="24" t="n">
        <v>275115385</v>
      </c>
    </row>
    <row r="14">
      <c r="B14" s="11" t="inlineStr">
        <is>
          <t>AM</t>
        </is>
      </c>
      <c r="C14" s="9" t="inlineStr">
        <is>
          <t>Matériel, mobilier et actifs biologiques</t>
        </is>
      </c>
      <c r="D14" s="23" t="n">
        <v>65606455</v>
      </c>
      <c r="E14" s="23" t="n">
        <v>66307926</v>
      </c>
      <c r="F14" s="23" t="n">
        <v>155921190</v>
      </c>
      <c r="G14" s="23" t="n">
        <v>247474694</v>
      </c>
    </row>
    <row r="15">
      <c r="B15" s="8" t="inlineStr">
        <is>
          <t>AN</t>
        </is>
      </c>
      <c r="C15" s="6" t="inlineStr">
        <is>
          <t>Matériel de transport</t>
        </is>
      </c>
      <c r="D15" s="24" t="n">
        <v>6485262425</v>
      </c>
      <c r="E15" s="24" t="n">
        <v>5028435990</v>
      </c>
      <c r="F15" s="24" t="n">
        <v>5895207237</v>
      </c>
      <c r="G15" s="24" t="n">
        <v>6002402674</v>
      </c>
    </row>
    <row r="16">
      <c r="B16" s="11" t="inlineStr">
        <is>
          <t>AP</t>
        </is>
      </c>
      <c r="C16" s="25" t="inlineStr">
        <is>
          <t>Avances et acomptes versés sur immobilisations</t>
        </is>
      </c>
      <c r="D16" s="23" t="n">
        <v>2000000</v>
      </c>
      <c r="E16" s="23" t="n">
        <v>0</v>
      </c>
      <c r="F16" s="23" t="n">
        <v>0</v>
      </c>
      <c r="G16" s="23" t="n">
        <v>0</v>
      </c>
    </row>
    <row r="17">
      <c r="B17" s="8" t="inlineStr">
        <is>
          <t>AQ</t>
        </is>
      </c>
      <c r="C17" s="21" t="inlineStr">
        <is>
          <t>Immobilisations financières</t>
        </is>
      </c>
      <c r="D17" s="22">
        <f>D18+D19</f>
        <v>110979610</v>
      </c>
      <c r="E17" s="22">
        <f>E18+E19</f>
        <v>112459610</v>
      </c>
      <c r="F17" s="22">
        <f>F18+F19</f>
        <v>114539610</v>
      </c>
      <c r="G17" s="22">
        <f>G18+G19</f>
        <v>24593748</v>
      </c>
    </row>
    <row r="18">
      <c r="B18" s="11" t="inlineStr">
        <is>
          <t>AR</t>
        </is>
      </c>
      <c r="C18" s="9" t="inlineStr">
        <is>
          <t>Titres de participation</t>
        </is>
      </c>
      <c r="D18" s="23" t="n">
        <v>0</v>
      </c>
      <c r="E18" s="23" t="n">
        <v>0</v>
      </c>
      <c r="F18" s="23" t="n">
        <v>0</v>
      </c>
      <c r="G18" s="23" t="n">
        <v>0</v>
      </c>
    </row>
    <row r="19">
      <c r="B19" s="8" t="inlineStr">
        <is>
          <t>AS</t>
        </is>
      </c>
      <c r="C19" s="6" t="inlineStr">
        <is>
          <t>Autres immobilisations financières</t>
        </is>
      </c>
      <c r="D19" s="24" t="n">
        <v>110979610</v>
      </c>
      <c r="E19" s="24" t="n">
        <v>112459610</v>
      </c>
      <c r="F19" s="24" t="n">
        <v>114539610</v>
      </c>
      <c r="G19" s="24" t="n">
        <v>24593748</v>
      </c>
    </row>
    <row r="20">
      <c r="B20" s="27" t="inlineStr">
        <is>
          <t>AZ</t>
        </is>
      </c>
      <c r="C20" s="28" t="inlineStr">
        <is>
          <t>TOTAL ACTIF IMMOBILISÉ</t>
        </is>
      </c>
      <c r="D20" s="29">
        <f>D5+D10+D16+D17</f>
        <v>6765980898</v>
      </c>
      <c r="E20" s="29">
        <f>E5+E10+E16+E17</f>
        <v>5368983441</v>
      </c>
      <c r="F20" s="29">
        <f>F5+F10+F16+F17</f>
        <v>6340106004</v>
      </c>
      <c r="G20" s="29">
        <f>G5+G10+G16+G17</f>
        <v>6552011460</v>
      </c>
    </row>
    <row r="21">
      <c r="B21" s="8" t="inlineStr">
        <is>
          <t>BA</t>
        </is>
      </c>
      <c r="C21" s="21" t="inlineStr">
        <is>
          <t>Actif circulant HAO</t>
        </is>
      </c>
      <c r="D21" s="24" t="n">
        <v>0</v>
      </c>
      <c r="E21" s="24" t="n">
        <v>0</v>
      </c>
      <c r="F21" s="24" t="n">
        <v>0</v>
      </c>
      <c r="G21" s="24" t="n">
        <v>0</v>
      </c>
    </row>
    <row r="22">
      <c r="B22" s="11" t="inlineStr">
        <is>
          <t>BB</t>
        </is>
      </c>
      <c r="C22" s="25" t="inlineStr">
        <is>
          <t>Stocks et en-cours</t>
        </is>
      </c>
      <c r="D22" s="23" t="n">
        <v>598277176</v>
      </c>
      <c r="E22" s="23" t="n">
        <v>373634779</v>
      </c>
      <c r="F22" s="23" t="n">
        <v>263326659</v>
      </c>
      <c r="G22" s="23" t="n">
        <v>273578811</v>
      </c>
    </row>
    <row r="23">
      <c r="B23" s="8" t="inlineStr">
        <is>
          <t>BG</t>
        </is>
      </c>
      <c r="C23" s="21" t="inlineStr">
        <is>
          <t>Créances et emplois assimilés</t>
        </is>
      </c>
      <c r="D23" s="22">
        <f>D24+D25+D26</f>
        <v>3513256870</v>
      </c>
      <c r="E23" s="22">
        <f>E24+E25+E26</f>
        <v>3386413895</v>
      </c>
      <c r="F23" s="22">
        <f>F24+F25+F26</f>
        <v>3580617088</v>
      </c>
      <c r="G23" s="22">
        <f>G24+G25+G26</f>
        <v>4253493218</v>
      </c>
    </row>
    <row r="24">
      <c r="B24" s="11" t="inlineStr">
        <is>
          <t>BH</t>
        </is>
      </c>
      <c r="C24" s="9" t="inlineStr">
        <is>
          <t>Fournisseurs, avances versées</t>
        </is>
      </c>
      <c r="D24" s="23" t="n">
        <v>168485021</v>
      </c>
      <c r="E24" s="23" t="n">
        <v>92046554</v>
      </c>
      <c r="F24" s="23" t="n">
        <v>516517573</v>
      </c>
      <c r="G24" s="23" t="n">
        <v>870694255</v>
      </c>
    </row>
    <row r="25">
      <c r="B25" s="8" t="inlineStr">
        <is>
          <t>BI</t>
        </is>
      </c>
      <c r="C25" s="6" t="inlineStr">
        <is>
          <t>Clients</t>
        </is>
      </c>
      <c r="D25" s="24" t="n">
        <v>3264136795</v>
      </c>
      <c r="E25" s="24" t="n">
        <v>2987525511</v>
      </c>
      <c r="F25" s="24" t="n">
        <v>2779025678</v>
      </c>
      <c r="G25" s="24" t="n">
        <v>3084401318</v>
      </c>
    </row>
    <row r="26">
      <c r="B26" s="11" t="inlineStr">
        <is>
          <t>BJ</t>
        </is>
      </c>
      <c r="C26" s="9" t="inlineStr">
        <is>
          <t>Autres créances</t>
        </is>
      </c>
      <c r="D26" s="23" t="n">
        <v>80635054</v>
      </c>
      <c r="E26" s="23" t="n">
        <v>306841830</v>
      </c>
      <c r="F26" s="23" t="n">
        <v>285073837</v>
      </c>
      <c r="G26" s="23" t="n">
        <v>298397645</v>
      </c>
    </row>
    <row r="27">
      <c r="B27" s="27" t="inlineStr">
        <is>
          <t>BK</t>
        </is>
      </c>
      <c r="C27" s="28" t="inlineStr">
        <is>
          <t>TOTAL ACTIF CIRCULANT</t>
        </is>
      </c>
      <c r="D27" s="29">
        <f>D21+D22+D23</f>
        <v>4111534046</v>
      </c>
      <c r="E27" s="29">
        <f>E21+E22+E23</f>
        <v>3760048674</v>
      </c>
      <c r="F27" s="29">
        <f>F21+F22+F23</f>
        <v>3843943747</v>
      </c>
      <c r="G27" s="29">
        <f>G21+G22+G23</f>
        <v>4527072029</v>
      </c>
    </row>
    <row r="28">
      <c r="B28" s="11" t="inlineStr">
        <is>
          <t>BQ</t>
        </is>
      </c>
      <c r="C28" s="9" t="inlineStr">
        <is>
          <t>Titres de placement</t>
        </is>
      </c>
      <c r="D28" s="23" t="n">
        <v>0</v>
      </c>
      <c r="E28" s="23" t="n">
        <v>0</v>
      </c>
      <c r="F28" s="23" t="n">
        <v>0</v>
      </c>
      <c r="G28" s="23" t="n">
        <v>0</v>
      </c>
    </row>
    <row r="29">
      <c r="B29" s="8" t="inlineStr">
        <is>
          <t>BR</t>
        </is>
      </c>
      <c r="C29" s="6" t="inlineStr">
        <is>
          <t>Valeurs à encaisser</t>
        </is>
      </c>
      <c r="D29" s="24" t="n">
        <v>0</v>
      </c>
      <c r="E29" s="24" t="n">
        <v>0</v>
      </c>
      <c r="F29" s="24" t="n">
        <v>80907578</v>
      </c>
      <c r="G29" s="24" t="n">
        <v>0</v>
      </c>
    </row>
    <row r="30">
      <c r="B30" s="11" t="inlineStr">
        <is>
          <t>BS</t>
        </is>
      </c>
      <c r="C30" s="9" t="inlineStr">
        <is>
          <t>Banques, chèques postaux, caisse et assimilés</t>
        </is>
      </c>
      <c r="D30" s="23" t="n">
        <v>629452469</v>
      </c>
      <c r="E30" s="23" t="n">
        <v>908499225</v>
      </c>
      <c r="F30" s="23" t="n">
        <v>810590990</v>
      </c>
      <c r="G30" s="23" t="n">
        <v>336628114</v>
      </c>
    </row>
    <row r="31">
      <c r="B31" s="27" t="inlineStr">
        <is>
          <t>BT</t>
        </is>
      </c>
      <c r="C31" s="28" t="inlineStr">
        <is>
          <t>TOTAL TRÉSORERIE-ACTIF</t>
        </is>
      </c>
      <c r="D31" s="29">
        <f>D28+D29+D30</f>
        <v>629452469</v>
      </c>
      <c r="E31" s="29">
        <f>E28+E29+E30</f>
        <v>908499225</v>
      </c>
      <c r="F31" s="29">
        <f>F28+F29+F30</f>
        <v>891498568</v>
      </c>
      <c r="G31" s="29">
        <f>G28+G29+G30</f>
        <v>336628114</v>
      </c>
    </row>
    <row r="32">
      <c r="B32" s="11" t="inlineStr">
        <is>
          <t>BU</t>
        </is>
      </c>
      <c r="C32" s="9" t="inlineStr">
        <is>
          <t>Écart de conversion-actif</t>
        </is>
      </c>
      <c r="D32" s="23" t="n">
        <v>0</v>
      </c>
      <c r="E32" s="23" t="n">
        <v>0</v>
      </c>
      <c r="F32" s="23" t="n">
        <v>0</v>
      </c>
      <c r="G32" s="23" t="n">
        <v>0</v>
      </c>
    </row>
    <row r="33">
      <c r="B33" s="27" t="inlineStr">
        <is>
          <t>BZ</t>
        </is>
      </c>
      <c r="C33" s="28" t="inlineStr">
        <is>
          <t>TOTAL ACTIF</t>
        </is>
      </c>
      <c r="D33" s="29">
        <f>D20+D27+D31+D32</f>
        <v>11506967413</v>
      </c>
      <c r="E33" s="29">
        <f>E20+E27+E31+E32</f>
        <v>10037531340</v>
      </c>
      <c r="F33" s="29">
        <f>F20+F27+F31+F32</f>
        <v>11075548319</v>
      </c>
      <c r="G33" s="29">
        <f>G20+G27+G31+G32</f>
        <v>11415711603</v>
      </c>
    </row>
    <row r="35">
      <c r="B35" s="2" t="inlineStr">
        <is>
          <t>Code</t>
        </is>
      </c>
      <c r="C35" s="2" t="inlineStr">
        <is>
          <t>Bilan, passif</t>
        </is>
      </c>
      <c r="D35" s="3" t="inlineStr">
        <is>
          <t>2023</t>
        </is>
      </c>
      <c r="E35" s="3" t="inlineStr">
        <is>
          <t>2024</t>
        </is>
      </c>
      <c r="F35" s="3" t="inlineStr">
        <is>
          <t>2025</t>
        </is>
      </c>
      <c r="G35" s="3" t="inlineStr">
        <is>
          <t>2026 (8 mois)</t>
        </is>
      </c>
    </row>
    <row r="36">
      <c r="B36" s="8" t="inlineStr">
        <is>
          <t>CA</t>
        </is>
      </c>
      <c r="C36" s="6" t="inlineStr">
        <is>
          <t>Capital</t>
        </is>
      </c>
      <c r="D36" s="24" t="n">
        <v>1710000000</v>
      </c>
      <c r="E36" s="24" t="n">
        <v>1710000000</v>
      </c>
      <c r="F36" s="24" t="n">
        <v>1710000000</v>
      </c>
      <c r="G36" s="24" t="n">
        <v>1710000000</v>
      </c>
    </row>
    <row r="37">
      <c r="B37" s="11" t="inlineStr">
        <is>
          <t>CB</t>
        </is>
      </c>
      <c r="C37" s="9" t="inlineStr">
        <is>
          <t>Apporteurs, capital non appelé (−)</t>
        </is>
      </c>
      <c r="D37" s="23" t="n">
        <v>0</v>
      </c>
      <c r="E37" s="23" t="n">
        <v>0</v>
      </c>
      <c r="F37" s="23" t="n">
        <v>0</v>
      </c>
      <c r="G37" s="23" t="n">
        <v>0</v>
      </c>
    </row>
    <row r="38">
      <c r="B38" s="8" t="inlineStr">
        <is>
          <t>CD</t>
        </is>
      </c>
      <c r="C38" s="6" t="inlineStr">
        <is>
          <t>Primes liées au capital social</t>
        </is>
      </c>
      <c r="D38" s="24" t="n">
        <v>0</v>
      </c>
      <c r="E38" s="24" t="n">
        <v>0</v>
      </c>
      <c r="F38" s="24" t="n">
        <v>0</v>
      </c>
      <c r="G38" s="24" t="n">
        <v>0</v>
      </c>
    </row>
    <row r="39">
      <c r="B39" s="11" t="inlineStr">
        <is>
          <t>CE</t>
        </is>
      </c>
      <c r="C39" s="9" t="inlineStr">
        <is>
          <t>Écarts de réévaluation</t>
        </is>
      </c>
      <c r="D39" s="23" t="n">
        <v>0</v>
      </c>
      <c r="E39" s="23" t="n">
        <v>0</v>
      </c>
      <c r="F39" s="23" t="n">
        <v>0</v>
      </c>
      <c r="G39" s="23" t="n">
        <v>0</v>
      </c>
    </row>
    <row r="40">
      <c r="B40" s="8" t="inlineStr">
        <is>
          <t>CF</t>
        </is>
      </c>
      <c r="C40" s="6" t="inlineStr">
        <is>
          <t>Réserves indisponibles</t>
        </is>
      </c>
      <c r="D40" s="24" t="n">
        <v>91633230</v>
      </c>
      <c r="E40" s="24" t="n">
        <v>91633230</v>
      </c>
      <c r="F40" s="24" t="n">
        <v>111086671</v>
      </c>
      <c r="G40" s="24" t="n">
        <v>203585303</v>
      </c>
    </row>
    <row r="41">
      <c r="B41" s="11" t="inlineStr">
        <is>
          <t>CG</t>
        </is>
      </c>
      <c r="C41" s="9" t="inlineStr">
        <is>
          <t>Réserves libres</t>
        </is>
      </c>
      <c r="D41" s="23" t="n">
        <v>3800000000</v>
      </c>
      <c r="E41" s="23" t="n">
        <v>3800000000</v>
      </c>
      <c r="F41" s="23" t="n">
        <v>3671750000</v>
      </c>
      <c r="G41" s="23" t="n">
        <v>3800000000</v>
      </c>
    </row>
    <row r="42">
      <c r="B42" s="8" t="inlineStr">
        <is>
          <t>CH</t>
        </is>
      </c>
      <c r="C42" s="6" t="inlineStr">
        <is>
          <t>Report à nouveau</t>
        </is>
      </c>
      <c r="D42" s="24" t="n">
        <v>204773011</v>
      </c>
      <c r="E42" s="24" t="n">
        <v>167889879</v>
      </c>
      <c r="F42" s="24" t="n">
        <v>970845</v>
      </c>
      <c r="G42" s="24" t="n">
        <v>192208532</v>
      </c>
    </row>
    <row r="43">
      <c r="B43" s="11" t="inlineStr">
        <is>
          <t>CJ</t>
        </is>
      </c>
      <c r="C43" s="9" t="inlineStr">
        <is>
          <t>Résultat net de l'exercice</t>
        </is>
      </c>
      <c r="D43" s="23" t="n">
        <v>-36883132</v>
      </c>
      <c r="E43" s="23" t="n">
        <v>194534407</v>
      </c>
      <c r="F43" s="23" t="n">
        <v>924986320</v>
      </c>
      <c r="G43" s="23" t="n">
        <v>220099936</v>
      </c>
    </row>
    <row r="44">
      <c r="B44" s="8" t="inlineStr">
        <is>
          <t>CL</t>
        </is>
      </c>
      <c r="C44" s="6" t="inlineStr">
        <is>
          <t>Subventions d'investissement</t>
        </is>
      </c>
      <c r="D44" s="24" t="n">
        <v>0</v>
      </c>
      <c r="E44" s="24" t="n">
        <v>0</v>
      </c>
      <c r="F44" s="24" t="n">
        <v>0</v>
      </c>
      <c r="G44" s="24" t="n">
        <v>0</v>
      </c>
    </row>
    <row r="45">
      <c r="B45" s="11" t="inlineStr">
        <is>
          <t>CM</t>
        </is>
      </c>
      <c r="C45" s="9" t="inlineStr">
        <is>
          <t>Provisions réglementées</t>
        </is>
      </c>
      <c r="D45" s="23" t="n">
        <v>0</v>
      </c>
      <c r="E45" s="23" t="n">
        <v>0</v>
      </c>
      <c r="F45" s="23" t="n">
        <v>0</v>
      </c>
      <c r="G45" s="23" t="n">
        <v>0</v>
      </c>
    </row>
    <row r="46">
      <c r="B46" s="27" t="inlineStr">
        <is>
          <t>CP</t>
        </is>
      </c>
      <c r="C46" s="28" t="inlineStr">
        <is>
          <t>TOTAL CAPITAUX PROPRES ET RESSOURCES ASSIMILÉES</t>
        </is>
      </c>
      <c r="D46" s="29">
        <f>D36+D37+D38+D39+D40+D41+D42+D43+D44+D45</f>
        <v>5769523109</v>
      </c>
      <c r="E46" s="29">
        <f>E36+E37+E38+E39+E40+E41+E42+E43+E44+E45</f>
        <v>5964057516</v>
      </c>
      <c r="F46" s="29">
        <f>F36+F37+F38+F39+F40+F41+F42+F43+F44+F45</f>
        <v>6418793836</v>
      </c>
      <c r="G46" s="29">
        <f>G36+G37+G38+G39+G40+G41+G42+G43+G44+G45</f>
        <v>6125893771</v>
      </c>
    </row>
    <row r="47">
      <c r="B47" s="11" t="inlineStr">
        <is>
          <t>DA</t>
        </is>
      </c>
      <c r="C47" s="9" t="inlineStr">
        <is>
          <t>Emprunts et dettes financières diverses</t>
        </is>
      </c>
      <c r="D47" s="23" t="n">
        <v>0</v>
      </c>
      <c r="E47" s="23" t="n">
        <v>0</v>
      </c>
      <c r="F47" s="23" t="n">
        <v>0</v>
      </c>
      <c r="G47" s="23" t="n">
        <v>0</v>
      </c>
    </row>
    <row r="48">
      <c r="B48" s="8" t="inlineStr">
        <is>
          <t>DB</t>
        </is>
      </c>
      <c r="C48" s="6" t="inlineStr">
        <is>
          <t>Dettes de location-acquisition</t>
        </is>
      </c>
      <c r="D48" s="24" t="n">
        <v>3666527646</v>
      </c>
      <c r="E48" s="24" t="n">
        <v>2042676480</v>
      </c>
      <c r="F48" s="24" t="n">
        <v>2807075634</v>
      </c>
      <c r="G48" s="24" t="n">
        <v>3327829930</v>
      </c>
    </row>
    <row r="49">
      <c r="B49" s="11" t="inlineStr">
        <is>
          <t>DC</t>
        </is>
      </c>
      <c r="C49" s="9" t="inlineStr">
        <is>
          <t>Provisions pour risques et charges</t>
        </is>
      </c>
      <c r="D49" s="23" t="n">
        <v>43630060</v>
      </c>
      <c r="E49" s="23" t="n">
        <v>54804286</v>
      </c>
      <c r="F49" s="23" t="n">
        <v>84979564</v>
      </c>
      <c r="G49" s="23" t="n">
        <v>109097574</v>
      </c>
    </row>
    <row r="50">
      <c r="B50" s="27" t="inlineStr">
        <is>
          <t>DD</t>
        </is>
      </c>
      <c r="C50" s="28" t="inlineStr">
        <is>
          <t>TOTAL DETTES FINANCIÈRES ET RESSOURCES ASSIMILÉES</t>
        </is>
      </c>
      <c r="D50" s="29">
        <f>D47+D48+D49</f>
        <v>3710157706</v>
      </c>
      <c r="E50" s="29">
        <f>E47+E48+E49</f>
        <v>2097480766</v>
      </c>
      <c r="F50" s="29">
        <f>F47+F48+F49</f>
        <v>2892055198</v>
      </c>
      <c r="G50" s="29">
        <f>G47+G48+G49</f>
        <v>3436927504</v>
      </c>
    </row>
    <row r="51">
      <c r="B51" s="27" t="inlineStr">
        <is>
          <t>DF</t>
        </is>
      </c>
      <c r="C51" s="28" t="inlineStr">
        <is>
          <t>TOTAL RESSOURCES STABLES</t>
        </is>
      </c>
      <c r="D51" s="29">
        <f>D46+D50</f>
        <v>9479680815</v>
      </c>
      <c r="E51" s="29">
        <f>E46+E50</f>
        <v>8061538282</v>
      </c>
      <c r="F51" s="29">
        <f>F46+F50</f>
        <v>9310849034</v>
      </c>
      <c r="G51" s="29">
        <f>G46+G50</f>
        <v>9562821275</v>
      </c>
    </row>
    <row r="52">
      <c r="B52" s="8" t="inlineStr">
        <is>
          <t>DH</t>
        </is>
      </c>
      <c r="C52" s="6" t="inlineStr">
        <is>
          <t>Dettes circulantes HAO</t>
        </is>
      </c>
      <c r="D52" s="24" t="n">
        <v>0</v>
      </c>
      <c r="E52" s="24" t="n">
        <v>0</v>
      </c>
      <c r="F52" s="24" t="n">
        <v>0</v>
      </c>
      <c r="G52" s="24" t="n">
        <v>0</v>
      </c>
    </row>
    <row r="53">
      <c r="B53" s="11" t="inlineStr">
        <is>
          <t>DI</t>
        </is>
      </c>
      <c r="C53" s="9" t="inlineStr">
        <is>
          <t>Clients, avances reçues</t>
        </is>
      </c>
      <c r="D53" s="23" t="n">
        <v>2982557</v>
      </c>
      <c r="E53" s="23" t="n">
        <v>37327097</v>
      </c>
      <c r="F53" s="23" t="n">
        <v>20718003</v>
      </c>
      <c r="G53" s="23" t="n">
        <v>13914100</v>
      </c>
    </row>
    <row r="54">
      <c r="B54" s="8" t="inlineStr">
        <is>
          <t>DJ</t>
        </is>
      </c>
      <c r="C54" s="6" t="inlineStr">
        <is>
          <t>Fournisseurs d'exploitation</t>
        </is>
      </c>
      <c r="D54" s="24" t="n">
        <v>1339059517</v>
      </c>
      <c r="E54" s="24" t="n">
        <v>1037238804</v>
      </c>
      <c r="F54" s="24" t="n">
        <v>835944459</v>
      </c>
      <c r="G54" s="24" t="n">
        <v>896426484</v>
      </c>
    </row>
    <row r="55">
      <c r="B55" s="11" t="inlineStr">
        <is>
          <t>DK</t>
        </is>
      </c>
      <c r="C55" s="9" t="inlineStr">
        <is>
          <t>Dettes fiscales et sociales</t>
        </is>
      </c>
      <c r="D55" s="23" t="n">
        <v>676337983</v>
      </c>
      <c r="E55" s="23" t="n">
        <v>834955485</v>
      </c>
      <c r="F55" s="23" t="n">
        <v>848167291</v>
      </c>
      <c r="G55" s="23" t="n">
        <v>870165344</v>
      </c>
    </row>
    <row r="56">
      <c r="B56" s="8" t="inlineStr">
        <is>
          <t>DM</t>
        </is>
      </c>
      <c r="C56" s="6" t="inlineStr">
        <is>
          <t>Autres dettes</t>
        </is>
      </c>
      <c r="D56" s="24" t="n">
        <v>8906541</v>
      </c>
      <c r="E56" s="24" t="n">
        <v>62329600</v>
      </c>
      <c r="F56" s="24" t="n">
        <v>55727460</v>
      </c>
      <c r="G56" s="24" t="n">
        <v>72384400</v>
      </c>
    </row>
    <row r="57">
      <c r="B57" s="11" t="inlineStr">
        <is>
          <t>DN</t>
        </is>
      </c>
      <c r="C57" s="9" t="inlineStr">
        <is>
          <t>Provisions pour risques et charges à court terme</t>
        </is>
      </c>
      <c r="D57" s="23" t="n">
        <v>0</v>
      </c>
      <c r="E57" s="23" t="n">
        <v>4142072</v>
      </c>
      <c r="F57" s="23" t="n">
        <v>4142072</v>
      </c>
      <c r="G57" s="23" t="n">
        <v>0</v>
      </c>
    </row>
    <row r="58">
      <c r="B58" s="27" t="inlineStr">
        <is>
          <t>DP</t>
        </is>
      </c>
      <c r="C58" s="28" t="inlineStr">
        <is>
          <t>TOTAL PASSIF CIRCULANT</t>
        </is>
      </c>
      <c r="D58" s="29">
        <f>D52+D53+D54+D55+D56+D57</f>
        <v>2027286598</v>
      </c>
      <c r="E58" s="29">
        <f>E52+E53+E54+E55+E56+E57</f>
        <v>1975993058</v>
      </c>
      <c r="F58" s="29">
        <f>F52+F53+F54+F55+F56+F57</f>
        <v>1764699285</v>
      </c>
      <c r="G58" s="29">
        <f>G52+G53+G54+G55+G56+G57</f>
        <v>1852890328</v>
      </c>
    </row>
    <row r="59">
      <c r="B59" s="11" t="inlineStr">
        <is>
          <t>DQ</t>
        </is>
      </c>
      <c r="C59" s="9" t="inlineStr">
        <is>
          <t>Banques, crédits d'escompte</t>
        </is>
      </c>
      <c r="D59" s="23" t="n">
        <v>0</v>
      </c>
      <c r="E59" s="23" t="n">
        <v>0</v>
      </c>
      <c r="F59" s="23" t="n">
        <v>0</v>
      </c>
      <c r="G59" s="23" t="n">
        <v>0</v>
      </c>
    </row>
    <row r="60">
      <c r="B60" s="8" t="inlineStr">
        <is>
          <t>DR</t>
        </is>
      </c>
      <c r="C60" s="6" t="inlineStr">
        <is>
          <t>Banques, établissements financiers et crédits de trésorerie</t>
        </is>
      </c>
      <c r="D60" s="24" t="n">
        <v>0</v>
      </c>
      <c r="E60" s="24" t="n">
        <v>0</v>
      </c>
      <c r="F60" s="24" t="n">
        <v>0</v>
      </c>
      <c r="G60" s="24" t="n">
        <v>0</v>
      </c>
    </row>
    <row r="61">
      <c r="B61" s="27" t="inlineStr">
        <is>
          <t>DT</t>
        </is>
      </c>
      <c r="C61" s="28" t="inlineStr">
        <is>
          <t>TOTAL TRÉSORERIE-PASSIF</t>
        </is>
      </c>
      <c r="D61" s="29">
        <f>D59+D60</f>
        <v>0</v>
      </c>
      <c r="E61" s="29">
        <f>E59+E60</f>
        <v>0</v>
      </c>
      <c r="F61" s="29">
        <f>F59+F60</f>
        <v>0</v>
      </c>
      <c r="G61" s="29">
        <f>G59+G60</f>
        <v>0</v>
      </c>
    </row>
    <row r="62">
      <c r="B62" s="8" t="inlineStr">
        <is>
          <t>DV</t>
        </is>
      </c>
      <c r="C62" s="6" t="inlineStr">
        <is>
          <t>Écart de conversion-passif</t>
        </is>
      </c>
      <c r="D62" s="24" t="n">
        <v>0</v>
      </c>
      <c r="E62" s="24" t="n">
        <v>0</v>
      </c>
      <c r="F62" s="24" t="n">
        <v>0</v>
      </c>
      <c r="G62" s="24" t="n">
        <v>0</v>
      </c>
    </row>
    <row r="63">
      <c r="B63" s="27" t="inlineStr">
        <is>
          <t>DZ</t>
        </is>
      </c>
      <c r="C63" s="28" t="inlineStr">
        <is>
          <t>TOTAL PASSIF</t>
        </is>
      </c>
      <c r="D63" s="29">
        <f>D51+D58+D61+D62</f>
        <v>11506967413</v>
      </c>
      <c r="E63" s="29">
        <f>E51+E58+E61+E62</f>
        <v>10037531340</v>
      </c>
      <c r="F63" s="29">
        <f>F51+F58+F61+F62</f>
        <v>11075548319</v>
      </c>
      <c r="G63" s="29">
        <f>G51+G58+G61+G62</f>
        <v>11415711603</v>
      </c>
    </row>
    <row r="65">
      <c r="B65" s="2" t="inlineStr">
        <is>
          <t>Code</t>
        </is>
      </c>
      <c r="C65" s="2" t="inlineStr">
        <is>
          <t>Compte de résultat</t>
        </is>
      </c>
      <c r="D65" s="3" t="inlineStr">
        <is>
          <t>2023</t>
        </is>
      </c>
      <c r="E65" s="3" t="inlineStr">
        <is>
          <t>2024</t>
        </is>
      </c>
      <c r="F65" s="3" t="inlineStr">
        <is>
          <t>2025</t>
        </is>
      </c>
      <c r="G65" s="3" t="inlineStr">
        <is>
          <t>2026 (8 mois)</t>
        </is>
      </c>
    </row>
    <row r="66">
      <c r="B66" s="8" t="inlineStr">
        <is>
          <t>TA</t>
        </is>
      </c>
      <c r="C66" s="6" t="inlineStr">
        <is>
          <t>Ventes de marchandises</t>
        </is>
      </c>
      <c r="D66" s="24" t="n">
        <v>254636352</v>
      </c>
      <c r="E66" s="24" t="n">
        <v>163757801</v>
      </c>
      <c r="F66" s="24" t="n">
        <v>133403201</v>
      </c>
      <c r="G66" s="24" t="n">
        <v>33145605</v>
      </c>
    </row>
    <row r="67">
      <c r="B67" s="11" t="inlineStr">
        <is>
          <t>RA</t>
        </is>
      </c>
      <c r="C67" s="9" t="inlineStr">
        <is>
          <t>Achats de marchandises</t>
        </is>
      </c>
      <c r="D67" s="23" t="n">
        <v>0</v>
      </c>
      <c r="E67" s="23" t="n">
        <v>0</v>
      </c>
      <c r="F67" s="23" t="n">
        <v>-24240885</v>
      </c>
      <c r="G67" s="23" t="n">
        <v>0</v>
      </c>
    </row>
    <row r="68">
      <c r="B68" s="8" t="inlineStr">
        <is>
          <t>RB</t>
        </is>
      </c>
      <c r="C68" s="6" t="inlineStr">
        <is>
          <t>Variation de stocks de marchandises</t>
        </is>
      </c>
      <c r="D68" s="24" t="n">
        <v>-127318176</v>
      </c>
      <c r="E68" s="24" t="n">
        <v>-73394636</v>
      </c>
      <c r="F68" s="24" t="n">
        <v>-55503738</v>
      </c>
      <c r="G68" s="24" t="n">
        <v>-23239273</v>
      </c>
    </row>
    <row r="69">
      <c r="B69" s="11" t="inlineStr">
        <is>
          <t>XA</t>
        </is>
      </c>
      <c r="C69" s="25" t="inlineStr">
        <is>
          <t>MARGE COMMERCIALE</t>
        </is>
      </c>
      <c r="D69" s="26">
        <f>D66+D67+D68</f>
        <v>127318176</v>
      </c>
      <c r="E69" s="26">
        <f>E66+E67+E68</f>
        <v>90363165</v>
      </c>
      <c r="F69" s="26">
        <f>F66+F67+F68</f>
        <v>53658578</v>
      </c>
      <c r="G69" s="26">
        <f>G66+G67+G68</f>
        <v>9906332</v>
      </c>
    </row>
    <row r="70">
      <c r="B70" s="8" t="inlineStr">
        <is>
          <t>TB</t>
        </is>
      </c>
      <c r="C70" s="6" t="inlineStr">
        <is>
          <t>Ventes de produits fabriqués</t>
        </is>
      </c>
      <c r="D70" s="24" t="n">
        <v>0</v>
      </c>
      <c r="E70" s="24" t="n">
        <v>0</v>
      </c>
      <c r="F70" s="24" t="n">
        <v>0</v>
      </c>
      <c r="G70" s="24" t="n">
        <v>0</v>
      </c>
    </row>
    <row r="71">
      <c r="B71" s="11" t="inlineStr">
        <is>
          <t>TC</t>
        </is>
      </c>
      <c r="C71" s="9" t="inlineStr">
        <is>
          <t>Travaux, services vendus</t>
        </is>
      </c>
      <c r="D71" s="23" t="n">
        <v>9354524361</v>
      </c>
      <c r="E71" s="23" t="n">
        <v>10588635191</v>
      </c>
      <c r="F71" s="23" t="n">
        <v>11108024097</v>
      </c>
      <c r="G71" s="23" t="n">
        <v>7044267397</v>
      </c>
    </row>
    <row r="72">
      <c r="B72" s="8" t="inlineStr">
        <is>
          <t>TD</t>
        </is>
      </c>
      <c r="C72" s="6" t="inlineStr">
        <is>
          <t>Produits accessoires</t>
        </is>
      </c>
      <c r="D72" s="24" t="n">
        <v>30887854</v>
      </c>
      <c r="E72" s="24" t="n">
        <v>748296</v>
      </c>
      <c r="F72" s="24" t="n">
        <v>25576611</v>
      </c>
      <c r="G72" s="24" t="n">
        <v>35594486</v>
      </c>
    </row>
    <row r="73">
      <c r="B73" s="11" t="inlineStr">
        <is>
          <t>XB</t>
        </is>
      </c>
      <c r="C73" s="25" t="inlineStr">
        <is>
          <t>CHIFFRE D'AFFAIRES</t>
        </is>
      </c>
      <c r="D73" s="26">
        <f>D66+D70+D71+D72</f>
        <v>9640048567</v>
      </c>
      <c r="E73" s="26">
        <f>E66+E70+E71+E72</f>
        <v>10753141288</v>
      </c>
      <c r="F73" s="26">
        <f>F66+F70+F71+F72</f>
        <v>11267003909</v>
      </c>
      <c r="G73" s="26">
        <f>G66+G70+G71+G72</f>
        <v>7113007488</v>
      </c>
    </row>
    <row r="74">
      <c r="B74" s="8" t="inlineStr">
        <is>
          <t>TE</t>
        </is>
      </c>
      <c r="C74" s="6" t="inlineStr">
        <is>
          <t>Production stockée (ou déstockage)</t>
        </is>
      </c>
      <c r="D74" s="24" t="n">
        <v>0</v>
      </c>
      <c r="E74" s="24" t="n">
        <v>0</v>
      </c>
      <c r="F74" s="24" t="n">
        <v>0</v>
      </c>
      <c r="G74" s="24" t="n">
        <v>0</v>
      </c>
    </row>
    <row r="75">
      <c r="B75" s="11" t="inlineStr">
        <is>
          <t>TF</t>
        </is>
      </c>
      <c r="C75" s="9" t="inlineStr">
        <is>
          <t>Production immobilisée</t>
        </is>
      </c>
      <c r="D75" s="23" t="n">
        <v>0</v>
      </c>
      <c r="E75" s="23" t="n">
        <v>0</v>
      </c>
      <c r="F75" s="23" t="n">
        <v>0</v>
      </c>
      <c r="G75" s="23" t="n">
        <v>0</v>
      </c>
    </row>
    <row r="76">
      <c r="B76" s="8" t="inlineStr">
        <is>
          <t>TG</t>
        </is>
      </c>
      <c r="C76" s="6" t="inlineStr">
        <is>
          <t>Subventions d'exploitation</t>
        </is>
      </c>
      <c r="D76" s="24" t="n">
        <v>0</v>
      </c>
      <c r="E76" s="24" t="n">
        <v>0</v>
      </c>
      <c r="F76" s="24" t="n">
        <v>0</v>
      </c>
      <c r="G76" s="24" t="n">
        <v>0</v>
      </c>
    </row>
    <row r="77">
      <c r="B77" s="11" t="inlineStr">
        <is>
          <t>TH</t>
        </is>
      </c>
      <c r="C77" s="9" t="inlineStr">
        <is>
          <t>Autres produits</t>
        </is>
      </c>
      <c r="D77" s="23" t="n">
        <v>3400557465</v>
      </c>
      <c r="E77" s="23" t="n">
        <v>342530907</v>
      </c>
      <c r="F77" s="23" t="n">
        <v>3174645435</v>
      </c>
      <c r="G77" s="23" t="n">
        <v>1277802461</v>
      </c>
    </row>
    <row r="78">
      <c r="B78" s="8" t="inlineStr">
        <is>
          <t>TI</t>
        </is>
      </c>
      <c r="C78" s="6" t="inlineStr">
        <is>
          <t>Transferts de charges d'exploitation</t>
        </is>
      </c>
      <c r="D78" s="24" t="n">
        <v>0</v>
      </c>
      <c r="E78" s="24" t="n">
        <v>0</v>
      </c>
      <c r="F78" s="24" t="n">
        <v>0</v>
      </c>
      <c r="G78" s="24" t="n">
        <v>0</v>
      </c>
    </row>
    <row r="79">
      <c r="B79" s="11" t="inlineStr">
        <is>
          <t>RC</t>
        </is>
      </c>
      <c r="C79" s="9" t="inlineStr">
        <is>
          <t>Achats de matières premières et fournitures liées</t>
        </is>
      </c>
      <c r="D79" s="23" t="n">
        <v>0</v>
      </c>
      <c r="E79" s="23" t="n">
        <v>0</v>
      </c>
      <c r="F79" s="23" t="n">
        <v>0</v>
      </c>
      <c r="G79" s="23" t="n">
        <v>0</v>
      </c>
    </row>
    <row r="80">
      <c r="B80" s="8" t="inlineStr">
        <is>
          <t>RD</t>
        </is>
      </c>
      <c r="C80" s="6" t="inlineStr">
        <is>
          <t>Variation de stocks de matières premières et fournitures liées</t>
        </is>
      </c>
      <c r="D80" s="24" t="n">
        <v>0</v>
      </c>
      <c r="E80" s="24" t="n">
        <v>0</v>
      </c>
      <c r="F80" s="24" t="n">
        <v>0</v>
      </c>
      <c r="G80" s="24" t="n">
        <v>0</v>
      </c>
    </row>
    <row r="81">
      <c r="B81" s="11" t="inlineStr">
        <is>
          <t>RE</t>
        </is>
      </c>
      <c r="C81" s="9" t="inlineStr">
        <is>
          <t>Autres achats</t>
        </is>
      </c>
      <c r="D81" s="23" t="n">
        <v>-3113526984</v>
      </c>
      <c r="E81" s="23" t="n">
        <v>-2767121740</v>
      </c>
      <c r="F81" s="23" t="n">
        <v>-3048460209</v>
      </c>
      <c r="G81" s="23" t="n">
        <v>-2079408503</v>
      </c>
    </row>
    <row r="82">
      <c r="B82" s="8" t="inlineStr">
        <is>
          <t>RF</t>
        </is>
      </c>
      <c r="C82" s="6" t="inlineStr">
        <is>
          <t>Variation de stocks d'autres approvisionnements</t>
        </is>
      </c>
      <c r="D82" s="24" t="n">
        <v>370678895</v>
      </c>
      <c r="E82" s="24" t="n">
        <v>-100875216</v>
      </c>
      <c r="F82" s="24" t="n">
        <v>0</v>
      </c>
      <c r="G82" s="24" t="n">
        <v>0</v>
      </c>
    </row>
    <row r="83">
      <c r="B83" s="11" t="inlineStr">
        <is>
          <t>RG</t>
        </is>
      </c>
      <c r="C83" s="9" t="inlineStr">
        <is>
          <t>Transports</t>
        </is>
      </c>
      <c r="D83" s="23" t="n">
        <v>-198773906</v>
      </c>
      <c r="E83" s="23" t="n">
        <v>-204083358</v>
      </c>
      <c r="F83" s="23" t="n">
        <v>-294128973</v>
      </c>
      <c r="G83" s="23" t="n">
        <v>-164595040</v>
      </c>
    </row>
    <row r="84">
      <c r="B84" s="8" t="inlineStr">
        <is>
          <t>RH</t>
        </is>
      </c>
      <c r="C84" s="6" t="inlineStr">
        <is>
          <t>Services extérieurs</t>
        </is>
      </c>
      <c r="D84" s="24" t="n">
        <v>-1598809446</v>
      </c>
      <c r="E84" s="24" t="n">
        <v>-1624347718</v>
      </c>
      <c r="F84" s="24" t="n">
        <v>-1540602240</v>
      </c>
      <c r="G84" s="24" t="n">
        <v>-959935258</v>
      </c>
    </row>
    <row r="85">
      <c r="B85" s="11" t="inlineStr">
        <is>
          <t>RI</t>
        </is>
      </c>
      <c r="C85" s="9" t="inlineStr">
        <is>
          <t>Impôts et taxes</t>
        </is>
      </c>
      <c r="D85" s="23" t="n">
        <v>-249431451</v>
      </c>
      <c r="E85" s="23" t="n">
        <v>-296363208</v>
      </c>
      <c r="F85" s="23" t="n">
        <v>-265636380</v>
      </c>
      <c r="G85" s="23" t="n">
        <v>-152634455</v>
      </c>
    </row>
    <row r="86">
      <c r="B86" s="8" t="inlineStr">
        <is>
          <t>RJ</t>
        </is>
      </c>
      <c r="C86" s="6" t="inlineStr">
        <is>
          <t>Autres charges</t>
        </is>
      </c>
      <c r="D86" s="24" t="n">
        <v>-2984498391</v>
      </c>
      <c r="E86" s="24" t="n">
        <v>-255415334</v>
      </c>
      <c r="F86" s="24" t="n">
        <v>-2652823081</v>
      </c>
      <c r="G86" s="24" t="n">
        <v>-1188291217</v>
      </c>
    </row>
    <row r="87">
      <c r="B87" s="27" t="inlineStr">
        <is>
          <t>XC</t>
        </is>
      </c>
      <c r="C87" s="28" t="inlineStr">
        <is>
          <t>VALEUR AJOUTÉE</t>
        </is>
      </c>
      <c r="D87" s="29">
        <f>D73+D67+D68+D74+D75+D76+D77+D78+D79+D80+D81+D82+D83+D84+D85+D86</f>
        <v>5138926573</v>
      </c>
      <c r="E87" s="29">
        <f>E73+E67+E68+E74+E75+E76+E77+E78+E79+E80+E81+E82+E83+E84+E85+E86</f>
        <v>5774070985</v>
      </c>
      <c r="F87" s="29">
        <f>F73+F67+F68+F74+F75+F76+F77+F78+F79+F80+F81+F82+F83+F84+F85+F86</f>
        <v>6560253838</v>
      </c>
      <c r="G87" s="29">
        <f>G73+G67+G68+G74+G75+G76+G77+G78+G79+G80+G81+G82+G83+G84+G85+G86</f>
        <v>3822706203</v>
      </c>
    </row>
    <row r="88">
      <c r="B88" s="8" t="inlineStr">
        <is>
          <t>RK</t>
        </is>
      </c>
      <c r="C88" s="6" t="inlineStr">
        <is>
          <t>Charges de personnel</t>
        </is>
      </c>
      <c r="D88" s="24" t="n">
        <v>-2411655426</v>
      </c>
      <c r="E88" s="24" t="n">
        <v>-2658986889</v>
      </c>
      <c r="F88" s="24" t="n">
        <v>-2755445650</v>
      </c>
      <c r="G88" s="24" t="n">
        <v>-1873119064</v>
      </c>
    </row>
    <row r="89">
      <c r="B89" s="27" t="inlineStr">
        <is>
          <t>XD</t>
        </is>
      </c>
      <c r="C89" s="28" t="inlineStr">
        <is>
          <t>EXCÉDENT BRUT D'EXPLOITATION</t>
        </is>
      </c>
      <c r="D89" s="29">
        <f>D87+D88</f>
        <v>2727271147</v>
      </c>
      <c r="E89" s="29">
        <f>E87+E88</f>
        <v>3115084096</v>
      </c>
      <c r="F89" s="29">
        <f>F87+F88</f>
        <v>3804808188</v>
      </c>
      <c r="G89" s="29">
        <f>G87+G88</f>
        <v>1949587139</v>
      </c>
    </row>
    <row r="90">
      <c r="B90" s="8" t="inlineStr">
        <is>
          <t>TJ</t>
        </is>
      </c>
      <c r="C90" s="6" t="inlineStr">
        <is>
          <t>Reprises d'amortissements, provisions et dépréciations</t>
        </is>
      </c>
      <c r="D90" s="24" t="n">
        <v>0</v>
      </c>
      <c r="E90" s="24" t="n">
        <v>0</v>
      </c>
      <c r="F90" s="24" t="n">
        <v>0</v>
      </c>
      <c r="G90" s="24" t="n">
        <v>0</v>
      </c>
    </row>
    <row r="91">
      <c r="B91" s="11" t="inlineStr">
        <is>
          <t>RL</t>
        </is>
      </c>
      <c r="C91" s="9" t="inlineStr">
        <is>
          <t>Dotations aux amortissements, provisions et dépréciations</t>
        </is>
      </c>
      <c r="D91" s="23" t="n">
        <v>-2497888857</v>
      </c>
      <c r="E91" s="23" t="n">
        <v>-2640039216</v>
      </c>
      <c r="F91" s="23" t="n">
        <v>-2459181315</v>
      </c>
      <c r="G91" s="23" t="n">
        <v>-1502084965</v>
      </c>
    </row>
    <row r="92">
      <c r="B92" s="27" t="inlineStr">
        <is>
          <t>XE</t>
        </is>
      </c>
      <c r="C92" s="28" t="inlineStr">
        <is>
          <t>RÉSULTAT D'EXPLOITATION</t>
        </is>
      </c>
      <c r="D92" s="29">
        <f>D89+D90+D91</f>
        <v>229382290</v>
      </c>
      <c r="E92" s="29">
        <f>E89+E90+E91</f>
        <v>475044880</v>
      </c>
      <c r="F92" s="29">
        <f>F89+F90+F91</f>
        <v>1345626873</v>
      </c>
      <c r="G92" s="29">
        <f>G89+G90+G91</f>
        <v>447502174</v>
      </c>
    </row>
    <row r="93">
      <c r="B93" s="11" t="inlineStr">
        <is>
          <t>TK</t>
        </is>
      </c>
      <c r="C93" s="9" t="inlineStr">
        <is>
          <t>Revenus financiers et assimilés</t>
        </is>
      </c>
      <c r="D93" s="23" t="n">
        <v>0</v>
      </c>
      <c r="E93" s="23" t="n">
        <v>0</v>
      </c>
      <c r="F93" s="23" t="n">
        <v>0</v>
      </c>
      <c r="G93" s="23" t="n">
        <v>0</v>
      </c>
    </row>
    <row r="94">
      <c r="B94" s="8" t="inlineStr">
        <is>
          <t>TL</t>
        </is>
      </c>
      <c r="C94" s="6" t="inlineStr">
        <is>
          <t>Reprises de provisions et dépréciations financières</t>
        </is>
      </c>
      <c r="D94" s="24" t="n">
        <v>0</v>
      </c>
      <c r="E94" s="24" t="n">
        <v>0</v>
      </c>
      <c r="F94" s="24" t="n">
        <v>0</v>
      </c>
      <c r="G94" s="24" t="n">
        <v>0</v>
      </c>
    </row>
    <row r="95">
      <c r="B95" s="11" t="inlineStr">
        <is>
          <t>TM</t>
        </is>
      </c>
      <c r="C95" s="9" t="inlineStr">
        <is>
          <t>Transferts de charges financières</t>
        </is>
      </c>
      <c r="D95" s="23" t="n">
        <v>0</v>
      </c>
      <c r="E95" s="23" t="n">
        <v>0</v>
      </c>
      <c r="F95" s="23" t="n">
        <v>0</v>
      </c>
      <c r="G95" s="23" t="n">
        <v>0</v>
      </c>
    </row>
    <row r="96">
      <c r="B96" s="8" t="inlineStr">
        <is>
          <t>RM</t>
        </is>
      </c>
      <c r="C96" s="6" t="inlineStr">
        <is>
          <t>Frais financiers et charges assimilées</t>
        </is>
      </c>
      <c r="D96" s="24" t="n">
        <v>-241600206</v>
      </c>
      <c r="E96" s="24" t="n">
        <v>-206719346</v>
      </c>
      <c r="F96" s="24" t="n">
        <v>-154953965</v>
      </c>
      <c r="G96" s="24" t="n">
        <v>-141611310</v>
      </c>
    </row>
    <row r="97">
      <c r="B97" s="11" t="inlineStr">
        <is>
          <t>RN</t>
        </is>
      </c>
      <c r="C97" s="9" t="inlineStr">
        <is>
          <t>Dotations aux provisions et dépréciations financières</t>
        </is>
      </c>
      <c r="D97" s="23" t="n">
        <v>0</v>
      </c>
      <c r="E97" s="23" t="n">
        <v>0</v>
      </c>
      <c r="F97" s="23" t="n">
        <v>0</v>
      </c>
      <c r="G97" s="23" t="n">
        <v>0</v>
      </c>
    </row>
    <row r="98">
      <c r="B98" s="27" t="inlineStr">
        <is>
          <t>XF</t>
        </is>
      </c>
      <c r="C98" s="28" t="inlineStr">
        <is>
          <t>RÉSULTAT FINANCIER</t>
        </is>
      </c>
      <c r="D98" s="29">
        <f>D93+D94+D95+D96+D97</f>
        <v>-241600206</v>
      </c>
      <c r="E98" s="29">
        <f>E93+E94+E95+E96+E97</f>
        <v>-206719346</v>
      </c>
      <c r="F98" s="29">
        <f>F93+F94+F95+F96+F97</f>
        <v>-154953965</v>
      </c>
      <c r="G98" s="29">
        <f>G93+G94+G95+G96+G97</f>
        <v>-141611310</v>
      </c>
    </row>
    <row r="99">
      <c r="B99" s="27" t="inlineStr">
        <is>
          <t>XG</t>
        </is>
      </c>
      <c r="C99" s="28" t="inlineStr">
        <is>
          <t>RÉSULTAT DES ACTIVITÉS ORDINAIRES</t>
        </is>
      </c>
      <c r="D99" s="29">
        <f>D92+D98</f>
        <v>-12217916</v>
      </c>
      <c r="E99" s="29">
        <f>E92+E98</f>
        <v>268325534</v>
      </c>
      <c r="F99" s="29">
        <f>F92+F98</f>
        <v>1190672908</v>
      </c>
      <c r="G99" s="29">
        <f>G92+G98</f>
        <v>305890864</v>
      </c>
    </row>
    <row r="100">
      <c r="B100" s="8" t="inlineStr">
        <is>
          <t>TN</t>
        </is>
      </c>
      <c r="C100" s="6" t="inlineStr">
        <is>
          <t>Produits des cessions d'immobilisations</t>
        </is>
      </c>
      <c r="D100" s="24" t="n">
        <v>0</v>
      </c>
      <c r="E100" s="24" t="n">
        <v>42373</v>
      </c>
      <c r="F100" s="24" t="n">
        <v>72741791</v>
      </c>
      <c r="G100" s="24" t="n">
        <v>6016943</v>
      </c>
    </row>
    <row r="101">
      <c r="B101" s="11" t="inlineStr">
        <is>
          <t>TO</t>
        </is>
      </c>
      <c r="C101" s="9" t="inlineStr">
        <is>
          <t>Autres produits HAO</t>
        </is>
      </c>
      <c r="D101" s="23" t="n">
        <v>0</v>
      </c>
      <c r="E101" s="23" t="n">
        <v>0</v>
      </c>
      <c r="F101" s="23" t="n">
        <v>0</v>
      </c>
      <c r="G101" s="23" t="n">
        <v>0</v>
      </c>
    </row>
    <row r="102">
      <c r="B102" s="8" t="inlineStr">
        <is>
          <t>RO</t>
        </is>
      </c>
      <c r="C102" s="6" t="inlineStr">
        <is>
          <t>Valeurs comptables des cessions d'immobilisations</t>
        </is>
      </c>
      <c r="D102" s="24" t="n">
        <v>0</v>
      </c>
      <c r="E102" s="24" t="n">
        <v>-419749</v>
      </c>
      <c r="F102" s="24" t="n">
        <v>-50546303</v>
      </c>
      <c r="G102" s="24" t="n">
        <v>-181961</v>
      </c>
    </row>
    <row r="103">
      <c r="B103" s="11" t="inlineStr">
        <is>
          <t>RP</t>
        </is>
      </c>
      <c r="C103" s="9" t="inlineStr">
        <is>
          <t>Autres charges HAO</t>
        </is>
      </c>
      <c r="D103" s="23" t="n">
        <v>0</v>
      </c>
      <c r="E103" s="23" t="n">
        <v>0</v>
      </c>
      <c r="F103" s="23" t="n">
        <v>-48787920</v>
      </c>
      <c r="G103" s="23" t="n">
        <v>0</v>
      </c>
    </row>
    <row r="104">
      <c r="B104" s="27" t="inlineStr">
        <is>
          <t>XH</t>
        </is>
      </c>
      <c r="C104" s="28" t="inlineStr">
        <is>
          <t>RÉSULTAT HORS ACTIVITÉS ORDINAIRES</t>
        </is>
      </c>
      <c r="D104" s="29">
        <f>D100+D101+D102+D103</f>
        <v>0</v>
      </c>
      <c r="E104" s="29">
        <f>E100+E101+E102+E103</f>
        <v>-377376</v>
      </c>
      <c r="F104" s="29">
        <f>F100+F101+F102+F103</f>
        <v>-26592432</v>
      </c>
      <c r="G104" s="29">
        <f>G100+G101+G102+G103</f>
        <v>5834982</v>
      </c>
    </row>
    <row r="105">
      <c r="B105" s="11" t="inlineStr">
        <is>
          <t>RQ</t>
        </is>
      </c>
      <c r="C105" s="9" t="inlineStr">
        <is>
          <t>Participation des travailleurs</t>
        </is>
      </c>
      <c r="D105" s="23" t="n">
        <v>0</v>
      </c>
      <c r="E105" s="23" t="n">
        <v>0</v>
      </c>
      <c r="F105" s="23" t="n">
        <v>0</v>
      </c>
      <c r="G105" s="23" t="n">
        <v>0</v>
      </c>
    </row>
    <row r="106">
      <c r="B106" s="8" t="inlineStr">
        <is>
          <t>RS</t>
        </is>
      </c>
      <c r="C106" s="6" t="inlineStr">
        <is>
          <t>Impôts sur le résultat</t>
        </is>
      </c>
      <c r="D106" s="24" t="n">
        <v>-24665216</v>
      </c>
      <c r="E106" s="24" t="n">
        <v>-73413751</v>
      </c>
      <c r="F106" s="24" t="n">
        <v>-239094156</v>
      </c>
      <c r="G106" s="24" t="n">
        <v>-91625910</v>
      </c>
    </row>
    <row r="107">
      <c r="B107" s="27" t="inlineStr">
        <is>
          <t>XI</t>
        </is>
      </c>
      <c r="C107" s="28" t="inlineStr">
        <is>
          <t>RÉSULTAT NET</t>
        </is>
      </c>
      <c r="D107" s="29">
        <f>D99+D104+D105+D106</f>
        <v>-36883132</v>
      </c>
      <c r="E107" s="29">
        <f>E99+E104+E105+E106</f>
        <v>194534407</v>
      </c>
      <c r="F107" s="29">
        <f>F99+F104+F105+F106</f>
        <v>924986320</v>
      </c>
      <c r="G107" s="29">
        <f>G99+G104+G105+G106</f>
        <v>220099936</v>
      </c>
    </row>
    <row r="109">
      <c r="B109" s="2" t="inlineStr">
        <is>
          <t>Code</t>
        </is>
      </c>
      <c r="C109" s="2" t="inlineStr">
        <is>
          <t>Tableau des flux de trésorerie</t>
        </is>
      </c>
      <c r="D109" s="3" t="inlineStr">
        <is>
          <t>2023</t>
        </is>
      </c>
      <c r="E109" s="3" t="inlineStr">
        <is>
          <t>2024</t>
        </is>
      </c>
      <c r="F109" s="3" t="inlineStr">
        <is>
          <t>2025</t>
        </is>
      </c>
      <c r="G109" s="3" t="inlineStr">
        <is>
          <t>2026 (8 mois)*</t>
        </is>
      </c>
    </row>
    <row r="110">
      <c r="B110" s="8" t="inlineStr">
        <is>
          <t>ZA</t>
        </is>
      </c>
      <c r="C110" s="6" t="inlineStr">
        <is>
          <t>Trésorerie nette au 1er janvier</t>
        </is>
      </c>
      <c r="D110" s="24" t="n">
        <v>1693224087</v>
      </c>
      <c r="E110" s="24" t="n">
        <v>629452469</v>
      </c>
      <c r="F110" s="24" t="n">
        <v>908499225</v>
      </c>
      <c r="G110" s="30">
        <f>F31-F61</f>
        <v>891498568</v>
      </c>
    </row>
    <row r="111">
      <c r="B111" s="11" t="inlineStr">
        <is>
          <t>FA</t>
        </is>
      </c>
      <c r="C111" s="9" t="inlineStr">
        <is>
          <t>Capacité d'autofinancement globale (CAFG)</t>
        </is>
      </c>
      <c r="D111" s="23" t="n">
        <v>2012160303</v>
      </c>
      <c r="E111" s="23" t="n">
        <v>2643987072</v>
      </c>
      <c r="F111" s="23" t="n">
        <v>3051481867</v>
      </c>
      <c r="G111" s="31">
        <f>G89-G145+G146+G93+G95+G96+G101+G103+G105+G106</f>
        <v>1716349919</v>
      </c>
    </row>
    <row r="112">
      <c r="B112" s="8" t="inlineStr">
        <is>
          <t>FB</t>
        </is>
      </c>
      <c r="C112" s="6" t="inlineStr">
        <is>
          <t>Variation de l'actif circulant HAO</t>
        </is>
      </c>
      <c r="D112" s="24" t="n">
        <v>0</v>
      </c>
      <c r="E112" s="24" t="n">
        <v>0</v>
      </c>
      <c r="F112" s="24" t="n">
        <v>0</v>
      </c>
      <c r="G112" s="30">
        <f>F21-G21</f>
        <v>0</v>
      </c>
    </row>
    <row r="113">
      <c r="B113" s="11" t="inlineStr">
        <is>
          <t>FC</t>
        </is>
      </c>
      <c r="C113" s="9" t="inlineStr">
        <is>
          <t>Variation des stocks</t>
        </is>
      </c>
      <c r="D113" s="23" t="n">
        <v>-243360719</v>
      </c>
      <c r="E113" s="23" t="n">
        <v>224642397</v>
      </c>
      <c r="F113" s="23" t="n">
        <v>110308120</v>
      </c>
      <c r="G113" s="31">
        <f>F22-G22</f>
        <v>-10252152</v>
      </c>
    </row>
    <row r="114">
      <c r="B114" s="8" t="inlineStr">
        <is>
          <t>FD</t>
        </is>
      </c>
      <c r="C114" s="6" t="inlineStr">
        <is>
          <t>Variation des créances</t>
        </is>
      </c>
      <c r="D114" s="24" t="n">
        <v>1868578047</v>
      </c>
      <c r="E114" s="24" t="n">
        <v>126842975</v>
      </c>
      <c r="F114" s="24" t="n">
        <v>-194203193</v>
      </c>
      <c r="G114" s="30">
        <f>F23-G23</f>
        <v>-672876130</v>
      </c>
    </row>
    <row r="115">
      <c r="B115" s="11" t="inlineStr">
        <is>
          <t>FE</t>
        </is>
      </c>
      <c r="C115" s="9" t="inlineStr">
        <is>
          <t>Variation du passif circulant</t>
        </is>
      </c>
      <c r="D115" s="23" t="n">
        <v>-2094237530</v>
      </c>
      <c r="E115" s="23" t="n">
        <v>-51293540</v>
      </c>
      <c r="F115" s="23" t="n">
        <v>-211283773</v>
      </c>
      <c r="G115" s="31">
        <f>G58-F58</f>
        <v>88191043</v>
      </c>
    </row>
    <row r="116">
      <c r="B116" s="27" t="inlineStr">
        <is>
          <t>ZB</t>
        </is>
      </c>
      <c r="C116" s="28" t="inlineStr">
        <is>
          <t>FLUX DES ACTIVITÉS OPÉRATIONNELLES</t>
        </is>
      </c>
      <c r="D116" s="29">
        <f>D111+D112+D113+D114+D115</f>
        <v>1543140101</v>
      </c>
      <c r="E116" s="29">
        <f>E111+E112+E113+E114+E115</f>
        <v>2944178904</v>
      </c>
      <c r="F116" s="29">
        <f>F111+F112+F113+F114+F115</f>
        <v>2756303021</v>
      </c>
      <c r="G116" s="29">
        <f>G111+G112+G113+G114+G115</f>
        <v>1121412680</v>
      </c>
    </row>
    <row r="117">
      <c r="B117" s="11" t="inlineStr">
        <is>
          <t>FF</t>
        </is>
      </c>
      <c r="C117" s="9" t="inlineStr">
        <is>
          <t>Acquisitions d'immobilisations incorporelles</t>
        </is>
      </c>
      <c r="D117" s="23" t="n">
        <v>-28355510</v>
      </c>
      <c r="E117" s="23" t="n">
        <v>-1988910</v>
      </c>
      <c r="F117" s="23" t="n">
        <v>0</v>
      </c>
      <c r="G117" s="23" t="n">
        <v>0</v>
      </c>
    </row>
    <row r="118">
      <c r="B118" s="8" t="inlineStr">
        <is>
          <t>FG</t>
        </is>
      </c>
      <c r="C118" s="6" t="inlineStr">
        <is>
          <t>Acquisitions d'immobilisations corporelles</t>
        </is>
      </c>
      <c r="D118" s="24" t="n">
        <v>-3857968148</v>
      </c>
      <c r="E118" s="24" t="n">
        <v>-1334123161</v>
      </c>
      <c r="F118" s="24" t="n">
        <v>-5394712019</v>
      </c>
      <c r="G118" s="30">
        <f>(G31-G61)-G110-G116-G117-G119-G120-G121-G132</f>
        <v>-1780000234</v>
      </c>
    </row>
    <row r="119">
      <c r="B119" s="11" t="inlineStr">
        <is>
          <t>FH</t>
        </is>
      </c>
      <c r="C119" s="9" t="inlineStr">
        <is>
          <t>Acquisitions d'immobilisations financières</t>
        </is>
      </c>
      <c r="D119" s="23" t="n">
        <v>-89945862</v>
      </c>
      <c r="E119" s="23" t="n">
        <v>-1480000</v>
      </c>
      <c r="F119" s="23" t="n">
        <v>-6600000</v>
      </c>
      <c r="G119" s="31">
        <f>-MAX(0,G19-F19)</f>
        <v>0</v>
      </c>
    </row>
    <row r="120">
      <c r="B120" s="8" t="inlineStr">
        <is>
          <t>FI</t>
        </is>
      </c>
      <c r="C120" s="6" t="inlineStr">
        <is>
          <t>Cessions d'immobilisations incorporelles et corporelles</t>
        </is>
      </c>
      <c r="D120" s="24" t="n">
        <v>366805232</v>
      </c>
      <c r="E120" s="24" t="n">
        <v>293694580</v>
      </c>
      <c r="F120" s="24" t="n">
        <v>2325489844</v>
      </c>
      <c r="G120" s="30">
        <f>G100+G145</f>
        <v>6016943</v>
      </c>
    </row>
    <row r="121">
      <c r="B121" s="11" t="inlineStr">
        <is>
          <t>FJ</t>
        </is>
      </c>
      <c r="C121" s="9" t="inlineStr">
        <is>
          <t>Cessions d'immobilisations financières</t>
        </is>
      </c>
      <c r="D121" s="23" t="n">
        <v>0</v>
      </c>
      <c r="E121" s="23" t="n">
        <v>0</v>
      </c>
      <c r="F121" s="23" t="n">
        <v>4520000</v>
      </c>
      <c r="G121" s="31">
        <f>MAX(0,F19-G19)</f>
        <v>89945862</v>
      </c>
    </row>
    <row r="122">
      <c r="B122" s="27" t="inlineStr">
        <is>
          <t>ZC</t>
        </is>
      </c>
      <c r="C122" s="28" t="inlineStr">
        <is>
          <t>FLUX DES ACTIVITÉS D'INVESTISSEMENT</t>
        </is>
      </c>
      <c r="D122" s="29">
        <f>D117+D118+D119+D120+D121</f>
        <v>-3609464288</v>
      </c>
      <c r="E122" s="29">
        <f>E117+E118+E119+E120+E121</f>
        <v>-1043897491</v>
      </c>
      <c r="F122" s="29">
        <f>F117+F118+F119+F120+F121</f>
        <v>-3071302175</v>
      </c>
      <c r="G122" s="29">
        <f>G117+G118+G119+G120+G121</f>
        <v>-1684037429</v>
      </c>
    </row>
    <row r="123">
      <c r="B123" s="11" t="inlineStr">
        <is>
          <t>FK</t>
        </is>
      </c>
      <c r="C123" s="9" t="inlineStr">
        <is>
          <t>Augmentations de capital par apports nouveaux</t>
        </is>
      </c>
      <c r="D123" s="23" t="n">
        <v>0</v>
      </c>
      <c r="E123" s="23" t="n">
        <v>0</v>
      </c>
      <c r="F123" s="23" t="n">
        <v>0</v>
      </c>
      <c r="G123" s="31">
        <f>G36-F36</f>
        <v>0</v>
      </c>
    </row>
    <row r="124">
      <c r="B124" s="8" t="inlineStr">
        <is>
          <t>FL</t>
        </is>
      </c>
      <c r="C124" s="6" t="inlineStr">
        <is>
          <t>Subventions d'investissement reçues</t>
        </is>
      </c>
      <c r="D124" s="24" t="n">
        <v>0</v>
      </c>
      <c r="E124" s="24" t="n">
        <v>0</v>
      </c>
      <c r="F124" s="24" t="n">
        <v>0</v>
      </c>
      <c r="G124" s="30">
        <f>MAX(0,G44-F44)</f>
        <v>0</v>
      </c>
    </row>
    <row r="125">
      <c r="B125" s="11" t="inlineStr">
        <is>
          <t>FM</t>
        </is>
      </c>
      <c r="C125" s="9" t="inlineStr">
        <is>
          <t>Prélèvements sur le capital</t>
        </is>
      </c>
      <c r="D125" s="23" t="n">
        <v>0</v>
      </c>
      <c r="E125" s="23" t="n">
        <v>0</v>
      </c>
      <c r="F125" s="23" t="n">
        <v>0</v>
      </c>
      <c r="G125" s="23" t="n">
        <v>0</v>
      </c>
    </row>
    <row r="126">
      <c r="B126" s="8" t="inlineStr">
        <is>
          <t>FN</t>
        </is>
      </c>
      <c r="C126" s="6" t="inlineStr">
        <is>
          <t>Dividendes versés</t>
        </is>
      </c>
      <c r="D126" s="24" t="n">
        <v>0</v>
      </c>
      <c r="E126" s="24" t="n">
        <v>0</v>
      </c>
      <c r="F126" s="24" t="n">
        <v>-470250000</v>
      </c>
      <c r="G126" s="30">
        <f>G46-F46-G107-G123-G124</f>
        <v>-513000001</v>
      </c>
    </row>
    <row r="127">
      <c r="B127" s="11" t="inlineStr">
        <is>
          <t>ZD</t>
        </is>
      </c>
      <c r="C127" s="25" t="inlineStr">
        <is>
          <t>Flux provenant des capitaux propres</t>
        </is>
      </c>
      <c r="D127" s="26">
        <f>D123+D124+D125+D126</f>
        <v>0</v>
      </c>
      <c r="E127" s="26">
        <f>E123+E124+E125+E126</f>
        <v>0</v>
      </c>
      <c r="F127" s="26">
        <f>F123+F124+F125+F126</f>
        <v>-470250000</v>
      </c>
      <c r="G127" s="26">
        <f>G123+G124+G125+G126</f>
        <v>-513000001</v>
      </c>
    </row>
    <row r="128">
      <c r="B128" s="8" t="inlineStr">
        <is>
          <t>FO</t>
        </is>
      </c>
      <c r="C128" s="6" t="inlineStr">
        <is>
          <t>Emprunts</t>
        </is>
      </c>
      <c r="D128" s="24" t="n">
        <v>2925165161</v>
      </c>
      <c r="E128" s="24" t="n">
        <v>0</v>
      </c>
      <c r="F128" s="24" t="n">
        <v>2169443832</v>
      </c>
      <c r="G128" s="30">
        <f>MAX(0,(G47+G48)-(F47+F48))</f>
        <v>520754296</v>
      </c>
    </row>
    <row r="129">
      <c r="B129" s="11" t="inlineStr">
        <is>
          <t>FP</t>
        </is>
      </c>
      <c r="C129" s="9" t="inlineStr">
        <is>
          <t>Autres dettes financières diverses</t>
        </is>
      </c>
      <c r="D129" s="23" t="n">
        <v>0</v>
      </c>
      <c r="E129" s="23" t="n">
        <v>0</v>
      </c>
      <c r="F129" s="23" t="n">
        <v>0</v>
      </c>
      <c r="G129" s="23" t="n">
        <v>0</v>
      </c>
    </row>
    <row r="130">
      <c r="B130" s="8" t="inlineStr">
        <is>
          <t>FQ</t>
        </is>
      </c>
      <c r="C130" s="6" t="inlineStr">
        <is>
          <t>Remboursements des emprunts et autres dettes financières</t>
        </is>
      </c>
      <c r="D130" s="24" t="n">
        <v>-1922612592</v>
      </c>
      <c r="E130" s="24" t="n">
        <v>-1621234657</v>
      </c>
      <c r="F130" s="24" t="n">
        <v>-1401195335</v>
      </c>
      <c r="G130" s="30">
        <f>MIN(0,(G47+G48)-(F47+F48))</f>
        <v>0</v>
      </c>
    </row>
    <row r="131">
      <c r="B131" s="11" t="inlineStr">
        <is>
          <t>ZE</t>
        </is>
      </c>
      <c r="C131" s="25" t="inlineStr">
        <is>
          <t>Flux provenant des capitaux étrangers</t>
        </is>
      </c>
      <c r="D131" s="26">
        <f>D128+D129+D130</f>
        <v>1002552569</v>
      </c>
      <c r="E131" s="26">
        <f>E128+E129+E130</f>
        <v>-1621234657</v>
      </c>
      <c r="F131" s="26">
        <f>F128+F129+F130</f>
        <v>768248497</v>
      </c>
      <c r="G131" s="26">
        <f>G128+G129+G130</f>
        <v>520754296</v>
      </c>
    </row>
    <row r="132">
      <c r="B132" s="27" t="inlineStr">
        <is>
          <t>ZF</t>
        </is>
      </c>
      <c r="C132" s="28" t="inlineStr">
        <is>
          <t>FLUX DES ACTIVITÉS DE FINANCEMENT</t>
        </is>
      </c>
      <c r="D132" s="29">
        <f>D127+D131</f>
        <v>1002552569</v>
      </c>
      <c r="E132" s="29">
        <f>E127+E131</f>
        <v>-1621234657</v>
      </c>
      <c r="F132" s="29">
        <f>F127+F131</f>
        <v>297998497</v>
      </c>
      <c r="G132" s="29">
        <f>G127+G131</f>
        <v>7754295</v>
      </c>
    </row>
    <row r="133">
      <c r="B133" s="27" t="inlineStr">
        <is>
          <t>ZG</t>
        </is>
      </c>
      <c r="C133" s="28" t="inlineStr">
        <is>
          <t>VARIATION DE LA TRÉSORERIE NETTE</t>
        </is>
      </c>
      <c r="D133" s="29">
        <f>D116+D122+D132</f>
        <v>-1063771618</v>
      </c>
      <c r="E133" s="29">
        <f>E116+E122+E132</f>
        <v>279046756</v>
      </c>
      <c r="F133" s="29">
        <f>F116+F122+F132</f>
        <v>-17000657</v>
      </c>
      <c r="G133" s="29">
        <f>G116+G122+G132</f>
        <v>-554870454</v>
      </c>
    </row>
    <row r="134">
      <c r="B134" s="27" t="inlineStr">
        <is>
          <t>ZH</t>
        </is>
      </c>
      <c r="C134" s="28" t="inlineStr">
        <is>
          <t>TRÉSORERIE NETTE AU 31 DÉCEMBRE</t>
        </is>
      </c>
      <c r="D134" s="29">
        <f>D133+D110</f>
        <v>629452469</v>
      </c>
      <c r="E134" s="29">
        <f>E133+E110</f>
        <v>908499225</v>
      </c>
      <c r="F134" s="29">
        <f>F133+F110</f>
        <v>891498568</v>
      </c>
      <c r="G134" s="29">
        <f>G133+G110</f>
        <v>336628114</v>
      </c>
    </row>
    <row r="136">
      <c r="B136" s="2" t="inlineStr">
        <is>
          <t>Code</t>
        </is>
      </c>
      <c r="C136" s="2" t="inlineStr">
        <is>
          <t>Compléments (bilan, colonnes brut et amortissements)</t>
        </is>
      </c>
      <c r="D136" s="3" t="inlineStr">
        <is>
          <t>2023</t>
        </is>
      </c>
      <c r="E136" s="3" t="inlineStr">
        <is>
          <t>2024</t>
        </is>
      </c>
      <c r="F136" s="3" t="inlineStr">
        <is>
          <t>2025</t>
        </is>
      </c>
      <c r="G136" s="3" t="inlineStr">
        <is>
          <t>2026 (8 mois)</t>
        </is>
      </c>
    </row>
    <row r="137">
      <c r="B137" s="8" t="inlineStr">
        <is>
          <t>BI</t>
        </is>
      </c>
      <c r="C137" s="6" t="inlineStr">
        <is>
          <t>Clients, valeur brute</t>
        </is>
      </c>
      <c r="D137" s="24" t="n">
        <v>3959598882</v>
      </c>
      <c r="E137" s="24" t="n">
        <v>3707744530</v>
      </c>
      <c r="F137" s="24" t="n">
        <v>3318507967</v>
      </c>
      <c r="G137" s="24" t="n">
        <v>3625311698</v>
      </c>
    </row>
    <row r="138">
      <c r="B138" s="11" t="inlineStr">
        <is>
          <t>BI</t>
        </is>
      </c>
      <c r="C138" s="9" t="inlineStr">
        <is>
          <t>Clients, dépréciations</t>
        </is>
      </c>
      <c r="D138" s="23" t="n">
        <v>695462087</v>
      </c>
      <c r="E138" s="23" t="n">
        <v>720219019</v>
      </c>
      <c r="F138" s="23" t="n">
        <v>539482289</v>
      </c>
      <c r="G138" s="23" t="n">
        <v>540910380</v>
      </c>
    </row>
    <row r="139">
      <c r="B139" s="8" t="inlineStr">
        <is>
          <t>BB</t>
        </is>
      </c>
      <c r="C139" s="6" t="inlineStr">
        <is>
          <t>Stocks, valeur brute</t>
        </is>
      </c>
      <c r="D139" s="24" t="n">
        <v>598277176</v>
      </c>
      <c r="E139" s="24" t="n">
        <v>424007324</v>
      </c>
      <c r="F139" s="24" t="n">
        <v>368503586</v>
      </c>
      <c r="G139" s="24" t="n">
        <v>411926905</v>
      </c>
    </row>
    <row r="140">
      <c r="B140" s="11" t="inlineStr">
        <is>
          <t>BB</t>
        </is>
      </c>
      <c r="C140" s="9" t="inlineStr">
        <is>
          <t>Stocks, dépréciations</t>
        </is>
      </c>
      <c r="D140" s="23" t="n">
        <v>0</v>
      </c>
      <c r="E140" s="23" t="n">
        <v>50372545</v>
      </c>
      <c r="F140" s="23" t="n">
        <v>105176927</v>
      </c>
      <c r="G140" s="23" t="n">
        <v>138348094</v>
      </c>
    </row>
    <row r="141">
      <c r="B141" s="8" t="inlineStr">
        <is>
          <t>AI</t>
        </is>
      </c>
      <c r="C141" s="6" t="inlineStr">
        <is>
          <t>Immobilisations corporelles, valeur brute</t>
        </is>
      </c>
      <c r="D141" s="24" t="n">
        <v>19230775583</v>
      </c>
      <c r="E141" s="24" t="n">
        <v>18450845903</v>
      </c>
      <c r="F141" s="24" t="n">
        <v>19710441852</v>
      </c>
      <c r="G141" s="24" t="n">
        <v>20346726104</v>
      </c>
    </row>
    <row r="142">
      <c r="B142" s="11" t="inlineStr">
        <is>
          <t>AI</t>
        </is>
      </c>
      <c r="C142" s="9" t="inlineStr">
        <is>
          <t>Immobilisations corporelles, amortissements et dépréciations</t>
        </is>
      </c>
      <c r="D142" s="23" t="n">
        <v>12597242249</v>
      </c>
      <c r="E142" s="23" t="n">
        <v>13201347812</v>
      </c>
      <c r="F142" s="23" t="n">
        <v>13485986266</v>
      </c>
      <c r="G142" s="23" t="n">
        <v>13819977422</v>
      </c>
    </row>
    <row r="143">
      <c r="B143" s="8" t="inlineStr">
        <is>
          <t>AZ</t>
        </is>
      </c>
      <c r="C143" s="6" t="inlineStr">
        <is>
          <t>Actif immobilisé, valeur brute</t>
        </is>
      </c>
      <c r="D143" s="24" t="n">
        <v>19876725537</v>
      </c>
      <c r="E143" s="24" t="n">
        <v>18610967201</v>
      </c>
      <c r="F143" s="24" t="n">
        <v>19872643150</v>
      </c>
      <c r="G143" s="24" t="n">
        <v>20418981540</v>
      </c>
    </row>
    <row r="144">
      <c r="B144" s="11" t="inlineStr">
        <is>
          <t>AZ</t>
        </is>
      </c>
      <c r="C144" s="9" t="inlineStr">
        <is>
          <t>Actif immobilisé, amortissements et dépréciations</t>
        </is>
      </c>
      <c r="D144" s="23" t="n">
        <v>12623447073</v>
      </c>
      <c r="E144" s="23" t="n">
        <v>13241983760</v>
      </c>
      <c r="F144" s="23" t="n">
        <v>13532537146</v>
      </c>
      <c r="G144" s="23" t="n">
        <v>13866970080</v>
      </c>
    </row>
    <row r="145">
      <c r="B145" s="8" t="inlineStr">
        <is>
          <t>754</t>
        </is>
      </c>
      <c r="C145" s="6" t="inlineStr">
        <is>
          <t>Produits des cessions courantes d'immobilisations (compte 754, inclus dans TH)</t>
        </is>
      </c>
      <c r="D145" s="24" t="n">
        <v>3291970000</v>
      </c>
      <c r="E145" s="24" t="n">
        <v>293652000</v>
      </c>
      <c r="F145" s="24" t="n">
        <v>2307552000</v>
      </c>
      <c r="G145" s="24" t="n"/>
    </row>
    <row r="146">
      <c r="B146" s="11" t="inlineStr">
        <is>
          <t>654</t>
        </is>
      </c>
      <c r="C146" s="9" t="inlineStr">
        <is>
          <t>Valeur comptable des cessions courantes d'immobilisations (compte 654, inclus dans RJ)</t>
        </is>
      </c>
      <c r="D146" s="23" t="n">
        <v>2843124971</v>
      </c>
      <c r="E146" s="23" t="n">
        <v>105304789</v>
      </c>
      <c r="F146" s="23" t="n">
        <v>2000921402</v>
      </c>
      <c r="G146" s="23" t="n"/>
    </row>
    <row r="147">
      <c r="B147" s="8" t="inlineStr">
        <is>
          <t>YE</t>
        </is>
      </c>
      <c r="C147" s="6" t="inlineStr">
        <is>
          <t>Effectif salarié, personnel propre (note 27B, ligne YE)</t>
        </is>
      </c>
      <c r="D147" s="24" t="n">
        <v>653</v>
      </c>
      <c r="E147" s="24" t="n">
        <v>707</v>
      </c>
      <c r="F147" s="24" t="n"/>
      <c r="G147" s="24" t="n"/>
    </row>
    <row r="149">
      <c r="B149" s="1" t="inlineStr">
        <is>
          <t>Conventions de signe : charges et emplois en négatif, comme dans la liasse DGI. Les sous-totaux recalculent les totaux publiés ; les écarts sont suivis dans « Points d'attention ». Colonne 2026 : EFI intermédiaires au 31/08/2026 (8 mois), montants arrondis au franc (CH, CJ et RJ comportent des centimes dans les EFI) ; TFT reconstitué par formules.</t>
        </is>
      </c>
    </row>
  </sheetData>
  <mergeCells count="1">
    <mergeCell ref="B1:G1"/>
  </mergeCell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1:G54"/>
  <sheetViews>
    <sheetView showGridLines="0" zoomScale="90" zoomScaleNormal="90" workbookViewId="0">
      <selection activeCell="A1" sqref="A1"/>
    </sheetView>
  </sheetViews>
  <sheetFormatPr baseColWidth="8" defaultColWidth="8.7109375" defaultRowHeight="15"/>
  <cols>
    <col width="2" customWidth="1" min="1" max="1"/>
    <col width="58" customWidth="1" min="2" max="2"/>
    <col width="17" customWidth="1" min="3" max="5"/>
    <col width="17" customWidth="1" min="6" max="6"/>
    <col width="60" customWidth="1" min="7" max="7"/>
  </cols>
  <sheetData>
    <row r="1" ht="27.75" customHeight="1">
      <c r="B1" s="32" t="inlineStr">
        <is>
          <t>POINTS D'ATTENTION</t>
        </is>
      </c>
    </row>
    <row r="2">
      <c r="B2" s="1" t="inlineStr">
        <is>
          <t>Contrôles automatiques : écart nul attendu. Les totaux publiés sont saisis tels qu'ils figurent dans chaque liasse. La colonne 2026 reprend les EFI intermédiaires au 31/08/2026.</t>
        </is>
      </c>
    </row>
    <row r="4">
      <c r="B4" s="2" t="inlineStr">
        <is>
          <t>Totaux publiés dans les liasses (FCFA)</t>
        </is>
      </c>
      <c r="C4" s="2" t="inlineStr">
        <is>
          <t>2023</t>
        </is>
      </c>
      <c r="D4" s="3" t="inlineStr">
        <is>
          <t>2024</t>
        </is>
      </c>
      <c r="E4" s="3" t="inlineStr">
        <is>
          <t>2025</t>
        </is>
      </c>
      <c r="F4" s="3" t="inlineStr">
        <is>
          <t>2026 (8 mois)</t>
        </is>
      </c>
    </row>
    <row r="5">
      <c r="B5" s="6" t="inlineStr">
        <is>
          <t>Total actif publié (BZ)</t>
        </is>
      </c>
      <c r="C5" s="24" t="n">
        <v>11506967413</v>
      </c>
      <c r="D5" s="24" t="n">
        <v>10037531340</v>
      </c>
      <c r="E5" s="24" t="n">
        <v>11075548319</v>
      </c>
      <c r="F5" s="24" t="n">
        <v>11415711603</v>
      </c>
    </row>
    <row r="6">
      <c r="B6" s="9" t="inlineStr">
        <is>
          <t>Total passif publié (DZ)</t>
        </is>
      </c>
      <c r="C6" s="23" t="n">
        <v>11506967413</v>
      </c>
      <c r="D6" s="23" t="n">
        <v>10037531340</v>
      </c>
      <c r="E6" s="23" t="n">
        <v>11075548319</v>
      </c>
      <c r="F6" s="23" t="n">
        <v>11415711603</v>
      </c>
    </row>
    <row r="7">
      <c r="B7" s="6" t="inlineStr">
        <is>
          <t>Capitaux propres publiés (CP)</t>
        </is>
      </c>
      <c r="C7" s="24" t="n">
        <v>5769523109</v>
      </c>
      <c r="D7" s="24" t="n">
        <v>5964057516</v>
      </c>
      <c r="E7" s="24" t="n">
        <v>6418793836</v>
      </c>
      <c r="F7" s="24" t="n">
        <v>6125893771</v>
      </c>
    </row>
    <row r="8">
      <c r="B8" s="9" t="inlineStr">
        <is>
          <t>Résultat net publié (XI)</t>
        </is>
      </c>
      <c r="C8" s="23" t="n">
        <v>-36883132</v>
      </c>
      <c r="D8" s="23" t="n">
        <v>194534407</v>
      </c>
      <c r="E8" s="23" t="n">
        <v>924986320</v>
      </c>
      <c r="F8" s="23" t="n">
        <v>220099936</v>
      </c>
    </row>
    <row r="9">
      <c r="B9" s="6" t="inlineStr">
        <is>
          <t>Flux opérationnels publiés (ZB)</t>
        </is>
      </c>
      <c r="C9" s="24" t="n">
        <v>1543140101</v>
      </c>
      <c r="D9" s="24" t="n">
        <v>2944178904</v>
      </c>
      <c r="E9" s="24" t="n">
        <v>2756303021</v>
      </c>
      <c r="F9" s="35" t="inlineStr">
        <is>
          <t>n.a.</t>
        </is>
      </c>
    </row>
    <row r="10">
      <c r="B10" s="9" t="inlineStr">
        <is>
          <t>Trésorerie nette publiée au 31/12 (ZH)</t>
        </is>
      </c>
      <c r="C10" s="23" t="n">
        <v>629452469</v>
      </c>
      <c r="D10" s="23" t="n">
        <v>908499225</v>
      </c>
      <c r="E10" s="23" t="n">
        <v>891498568</v>
      </c>
      <c r="F10" s="36" t="inlineStr">
        <is>
          <t>n.a.</t>
        </is>
      </c>
    </row>
    <row r="12">
      <c r="B12" s="2" t="inlineStr">
        <is>
          <t>Contrôle de cohérence (écart en FCFA)</t>
        </is>
      </c>
      <c r="C12" s="2" t="inlineStr">
        <is>
          <t>2023</t>
        </is>
      </c>
      <c r="D12" s="3" t="inlineStr">
        <is>
          <t>2024</t>
        </is>
      </c>
      <c r="E12" s="3" t="inlineStr">
        <is>
          <t>2025</t>
        </is>
      </c>
      <c r="F12" s="3" t="inlineStr">
        <is>
          <t>2026 (8 mois)</t>
        </is>
      </c>
    </row>
    <row r="13">
      <c r="B13" s="6" t="inlineStr">
        <is>
          <t>Total actif recalculé − total actif publié</t>
        </is>
      </c>
      <c r="C13" s="30">
        <f>'États financiers'!D33-C5</f>
        <v>0</v>
      </c>
      <c r="D13" s="30">
        <f>'États financiers'!E33-D5</f>
        <v>0</v>
      </c>
      <c r="E13" s="30">
        <f>'États financiers'!F33-E5</f>
        <v>0</v>
      </c>
      <c r="F13" s="30">
        <f>'États financiers'!G33-F5</f>
        <v>0</v>
      </c>
    </row>
    <row r="14">
      <c r="B14" s="9" t="inlineStr">
        <is>
          <t>Total passif recalculé − total passif publié</t>
        </is>
      </c>
      <c r="C14" s="31">
        <f>'États financiers'!D63-C6</f>
        <v>0</v>
      </c>
      <c r="D14" s="31">
        <f>'États financiers'!E63-D6</f>
        <v>0</v>
      </c>
      <c r="E14" s="31">
        <f>'États financiers'!F63-E6</f>
        <v>0</v>
      </c>
      <c r="F14" s="31">
        <f>'États financiers'!G63-F6</f>
        <v>0</v>
      </c>
    </row>
    <row r="15">
      <c r="B15" s="6" t="inlineStr">
        <is>
          <t>Total actif − total passif (recalculés)</t>
        </is>
      </c>
      <c r="C15" s="30">
        <f>'États financiers'!D33-'États financiers'!D63</f>
        <v>0</v>
      </c>
      <c r="D15" s="30">
        <f>'États financiers'!E33-'États financiers'!E63</f>
        <v>0</v>
      </c>
      <c r="E15" s="30">
        <f>'États financiers'!F33-'États financiers'!F63</f>
        <v>0</v>
      </c>
      <c r="F15" s="30">
        <f>'États financiers'!G33-'États financiers'!G63</f>
        <v>0</v>
      </c>
    </row>
    <row r="16">
      <c r="B16" s="9" t="inlineStr">
        <is>
          <t>Capitaux propres recalculés − publiés</t>
        </is>
      </c>
      <c r="C16" s="31">
        <f>'États financiers'!D46-C7</f>
        <v>0</v>
      </c>
      <c r="D16" s="31">
        <f>'États financiers'!E46-D7</f>
        <v>0</v>
      </c>
      <c r="E16" s="31">
        <f>'États financiers'!F46-E7</f>
        <v>0</v>
      </c>
      <c r="F16" s="31">
        <f>'États financiers'!G46-F7</f>
        <v>0</v>
      </c>
    </row>
    <row r="17">
      <c r="B17" s="6" t="inlineStr">
        <is>
          <t>Résultat net recalculé − publié</t>
        </is>
      </c>
      <c r="C17" s="30">
        <f>'États financiers'!D107-C8</f>
        <v>0</v>
      </c>
      <c r="D17" s="30">
        <f>'États financiers'!E107-D8</f>
        <v>0</v>
      </c>
      <c r="E17" s="30">
        <f>'États financiers'!F107-E8</f>
        <v>0</v>
      </c>
      <c r="F17" s="30">
        <f>'États financiers'!G107-F8</f>
        <v>0</v>
      </c>
    </row>
    <row r="18">
      <c r="B18" s="9" t="inlineStr">
        <is>
          <t>Résultat au bilan (CJ) − résultat du compte de résultat (XI)</t>
        </is>
      </c>
      <c r="C18" s="31">
        <f>'États financiers'!D43-'États financiers'!D107</f>
        <v>0</v>
      </c>
      <c r="D18" s="31">
        <f>'États financiers'!E43-'États financiers'!E107</f>
        <v>0</v>
      </c>
      <c r="E18" s="31">
        <f>'États financiers'!F43-'États financiers'!F107</f>
        <v>0</v>
      </c>
      <c r="F18" s="31">
        <f>'États financiers'!G43-'États financiers'!G107</f>
        <v>0</v>
      </c>
    </row>
    <row r="19">
      <c r="B19" s="6" t="inlineStr">
        <is>
          <t>Flux opérationnels recalculés − publiés</t>
        </is>
      </c>
      <c r="C19" s="30">
        <f>'États financiers'!D116-C9</f>
        <v>0</v>
      </c>
      <c r="D19" s="30">
        <f>'États financiers'!E116-D9</f>
        <v>0</v>
      </c>
      <c r="E19" s="30">
        <f>'États financiers'!F116-E9</f>
        <v>0</v>
      </c>
      <c r="F19" s="37" t="inlineStr">
        <is>
          <t>n.a.</t>
        </is>
      </c>
    </row>
    <row r="20">
      <c r="B20" s="9" t="inlineStr">
        <is>
          <t>Trésorerie TFT (ZH) − trésorerie bilan (BT − DT)</t>
        </is>
      </c>
      <c r="C20" s="31">
        <f>'États financiers'!D134-('États financiers'!D31-'États financiers'!D61)</f>
        <v>0</v>
      </c>
      <c r="D20" s="31">
        <f>'États financiers'!E134-('États financiers'!E31-'États financiers'!E61)</f>
        <v>0</v>
      </c>
      <c r="E20" s="31">
        <f>'États financiers'!F134-('États financiers'!F31-'États financiers'!F61)</f>
        <v>0</v>
      </c>
      <c r="F20" s="31">
        <f>'États financiers'!G134-('États financiers'!G31-'États financiers'!G61)</f>
        <v>0</v>
      </c>
    </row>
    <row r="21">
      <c r="B21" s="6" t="inlineStr">
        <is>
          <t>Trésorerie au 1er janvier (ZA) − trésorerie nette N-1 au bilan</t>
        </is>
      </c>
      <c r="C21" s="30" t="n"/>
      <c r="D21" s="30">
        <f>'États financiers'!E110-('États financiers'!D31-'États financiers'!D61)</f>
        <v>0</v>
      </c>
      <c r="E21" s="30">
        <f>'États financiers'!F110-('États financiers'!E31-'États financiers'!E61)</f>
        <v>0</v>
      </c>
      <c r="F21" s="30">
        <f>'États financiers'!G110-('États financiers'!F31-'États financiers'!F61)</f>
        <v>0</v>
      </c>
    </row>
    <row r="23">
      <c r="B23" s="4" t="inlineStr">
        <is>
          <t>ANOMALIES RELEVÉES DANS LES LIASSES ET TRAITEMENT RETENU</t>
        </is>
      </c>
      <c r="C23" s="5" t="n"/>
      <c r="D23" s="5" t="n"/>
      <c r="E23" s="5" t="n"/>
    </row>
    <row r="24" ht="60" customHeight="1">
      <c r="B24" s="33" t="inlineStr">
        <is>
          <t>Liasse 2023 : le bilan intervertit les stocks (BB, publiés à 110 979 610 FCFA) et les autres immobilisations financières (AS, publiées à 598 277 176 FCFA). Les notes 4 et 6 de la même liasse et la colonne N-1 de la liasse 2024 donnent l'inverse. Le classeur retient les montants corrigés : stocks 598 277 176 FCFA, immobilisations financières 110 979 610 FCFA. Le total du bilan ne change pas. L'actif immobilisé passe de 7 253 M à 6 766 M FCFA et l'actif circulant de 3 624 M à 4 112 M FCFA.</t>
        </is>
      </c>
    </row>
    <row r="25" ht="30" customHeight="1">
      <c r="B25" s="33" t="inlineStr">
        <is>
          <t>Liasse 2025, colonne N-1 : les fournisseurs d'exploitation 2024 figurent pour 1 037 228 804 FCFA contre 1 037 238 804 FCFA dans la liasse 2024. Le passif N-1 de la liasse 2025 ne s'équilibre donc pas avec l'actif (écart de 10 000 FCFA). Le classeur retient la liasse 2024.</t>
        </is>
      </c>
    </row>
    <row r="26" ht="30" customHeight="1">
      <c r="B26" s="33" t="inlineStr">
        <is>
          <t>Liasse 2024, tableau de calcul de la CAF : les produits de cessions courantes (compte 754) sont ajoutés au lieu d'être déduits. La CAF d'exploitation publiée (3 514 M FCFA) ressort à 2 927 M FCFA après correction du signe. Les liasses 2023 et 2025 appliquent le bon signe.</t>
        </is>
      </c>
    </row>
    <row r="27" ht="45" customHeight="1">
      <c r="B27" s="33" t="inlineStr">
        <is>
          <t>Liasse 2025, note 21 : les autres produits s'élèvent à 2 404 M FCFA contre 3 175 M FCFA en ligne TH du compte de résultat. L'écart de 770 591 564 FCFA égale exactement les dépréciations de l'actif circulant au 31/12/2024. Il s'agit vraisemblablement de leur reprise, à confirmer avec la société. La note 26 totalise 2 652 823 095 FCFA contre 2 652 823 081 FCFA en ligne RJ (écart de 14 FCFA).</t>
        </is>
      </c>
    </row>
    <row r="28" ht="15" customHeight="1">
      <c r="B28" s="33" t="inlineStr">
        <is>
          <t>Note 27B non renseignée dans la liasse 2025 : l'effectif 2025 et les ratios par salarié restent vides.</t>
        </is>
      </c>
    </row>
    <row r="29" ht="30" customHeight="1">
      <c r="B29" s="33" t="inlineStr">
        <is>
          <t>Les produits de cessions courantes (754) ne figurent qu'en milliers de FCFA, dans le tableau de calcul de la CAF. L'EBE hors cessions courantes porte donc une imprécision inférieure à 1 000 FCFA. En 2025, il égale la CAF d'exploitation publiée (3 498 M FCFA).</t>
        </is>
      </c>
    </row>
    <row r="31">
      <c r="B31" s="4" t="inlineStr">
        <is>
          <t>POINTS D'ATTENTION ANALYTIQUES</t>
        </is>
      </c>
      <c r="C31" s="5" t="n"/>
      <c r="D31" s="5" t="n"/>
      <c r="E31" s="5" t="n"/>
    </row>
    <row r="32" ht="30" customHeight="1">
      <c r="B32" s="33" t="inlineStr">
        <is>
          <t>L'activité progresse avec régularité. Le chiffre d'affaires passe de 9 640 M FCFA en 2023 à 11 267 M FCFA en 2025 (+11,5 % puis +4,8 %). Les travaux et services représentent 98,6 % du chiffre d'affaires 2025.</t>
        </is>
      </c>
    </row>
    <row r="33" ht="30" customHeight="1">
      <c r="B33" s="33" t="inlineStr">
        <is>
          <t>L'EBE publié inclut le résultat des cessions courantes de véhicules : 449 M FCFA en 2023, 188 M FCFA en 2024 et 307 M FCFA en 2025. Hors cet effet, l'EBE passe de 2 278 M à 3 498 M FCFA et la marge de 23,6 % à 31,0 % du chiffre d'affaires.</t>
        </is>
      </c>
    </row>
    <row r="34" ht="30" customHeight="1">
      <c r="B34" s="33" t="inlineStr">
        <is>
          <t>L'EBE 2025 intègre aussi un effet net de +126 M FCFA sur les dépréciations à court terme : 771 M FCFA de reprise probable (voir anomalies) et 645 M FCFA de nouvelles dotations en autres charges.</t>
        </is>
      </c>
    </row>
    <row r="35" ht="30" customHeight="1">
      <c r="B35" s="33" t="inlineStr">
        <is>
          <t>Le résultat net se redresse : −37 M FCFA en 2023, 195 M FCFA en 2024 et 925 M FCFA en 2025. Le ROE atteint 14,4 % en 2025. Les dotations aux amortissements et provisions (2 459 M FCFA) absorbent 65 % de l'EBE. Elles reflètent une flotte de matériel de transport de 18 982 M FCFA en valeur brute.</t>
        </is>
      </c>
    </row>
    <row r="36" ht="45" customHeight="1">
      <c r="B36" s="33" t="inlineStr">
        <is>
          <t>L'investissement 2025 pèse sur la trésorerie. Les acquisitions atteignent 5 401 M FCFA, soit 48 % du chiffre d'affaires. Les cessions (2 325 M FCFA) et les nouveaux emprunts (2 169 M FCFA) en financent une partie. Le flux de trésorerie disponible ressort à −315 M FCFA. La société verse par ailleurs 470 M FCFA de dividendes.</t>
        </is>
      </c>
    </row>
    <row r="37" ht="30" customHeight="1">
      <c r="B37" s="33" t="inlineStr">
        <is>
          <t>La structure financière reste solide. L'endettement se limite au crédit-bail mobilier (2 807 M FCFA). Le gearing atteint 30 % et la dette représente 0,9 année de CAFG. La liquidité générale ressort à 2,7.</t>
        </is>
      </c>
    </row>
    <row r="38" ht="30" customHeight="1">
      <c r="B38" s="33" t="inlineStr">
        <is>
          <t>Le recouvrement client progresse. Le délai passe de 122 jours en 2023 à 89 jours en 2025. Les dépréciations représentent encore 16 % des créances clients brutes (539 M FCFA sur 3 319 M FCFA).</t>
        </is>
      </c>
    </row>
    <row r="40">
      <c r="B40" s="4" t="inlineStr">
        <is>
          <t>MISE À JOUR AU 31/08/2026 : EFI INTERMÉDIAIRES (8 MOIS) ET RECONSTITUTION DU TFT</t>
        </is>
      </c>
    </row>
    <row r="41" ht="60" customHeight="1">
      <c r="B41" s="33" t="inlineStr">
        <is>
          <t>Concordance : la colonne N-1 des EFI au 31/08/2026 reprend la liasse 2025 au franc près. Les seuls écarts sont des centimes (au plus 0,82 FCFA sur les achats de marchandises, les fournisseurs, les autres dettes, les produits de cessions et le résultat). Aucune valeur 2023-2025 du classeur n'est modifiée par la mise à jour. Les montants 2026 sont arrondis au franc (report à nouveau, résultat et autres charges comportent des centimes).</t>
        </is>
      </c>
    </row>
    <row r="42" ht="45" customHeight="1">
      <c r="B42" s="33" t="inlineStr">
        <is>
          <t>Les EFI intermédiaires ne comportent ni TFT, ni notes annexes, ni tableau de calcul de la CAF. Le TFT 2026 est reconstitué par formules à partir des bilans au 31/12/2025 et au 31/08/2026 et du compte de résultat de 8 mois. Les variations de stocks, créances et passif circulant sont calculées en valeurs nettes, comme dans les TFT publiés 2024 et 2025.</t>
        </is>
      </c>
    </row>
    <row r="43" ht="75" customHeight="1">
      <c r="B43" s="33" t="inlineStr">
        <is>
          <t>Hypothèses de reconstitution : (1) produits (754) et VNC (653/654) des cessions courantes non communiqués, pris à zéro : cela modifie seulement le partage entre CAFG et encaissements de cessions (FI), pas la somme des flux opérationnels et d'investissement ; (2) dividendes de 513 M FCFA déduits de la variation des capitaux propres et supposés payés au 31/08/2026 ; (3) dettes de location-acquisition présentées en net (+521 M FCFA) ; (4) acquisitions d'immobilisations corporelles obtenues par solde (1 780 M FCFA).</t>
        </is>
      </c>
    </row>
    <row r="44" ht="60" customHeight="1">
      <c r="B44" s="33" t="inlineStr">
        <is>
          <t>Contrôle de vraisemblance du solde : 1 780 M FCFA d'acquisitions − 302 M FCFA de hausse de la VNC corporelle − 0,4 M FCFA d'amortissement incorporel − 1 478 M FCFA de dotations aux amortissements implicites (RL 1 502 M FCFA − 24 M FCFA de dotation aux provisions pour risques) laisse 0,18 M FCFA, soit la VNC des cessions HAO (RO). Les EFI intermédiaires sont cohérents entre bilan et compte de résultat.</t>
        </is>
      </c>
    </row>
    <row r="45" ht="45" customHeight="1">
      <c r="B45" s="33" t="inlineStr">
        <is>
          <t>Comparabilité : les flux 2026 couvrent 8 mois. Les croissances de flux, le ROE, le ROA et la capacité de remboursement sont annualisés (× 12/8). Les délais sont calculés sur 240 jours. L'EBE hors cessions courantes, la marge correspondante et les ratios par salarié restent « n.d. » faute de données.</t>
        </is>
      </c>
    </row>
    <row r="47">
      <c r="B47" s="4" t="inlineStr">
        <is>
          <t>POINTS D'ATTENTION ANALYTIQUES AU 31/08/2026</t>
        </is>
      </c>
    </row>
    <row r="48" ht="45" customHeight="1">
      <c r="B48" s="33" t="inlineStr">
        <is>
          <t>L'activité ralentit sur les 8 premiers mois. Le chiffre d'affaires atteint 7 113 M FCFA, soit 10 670 M FCFA en rythme annuel (−5,3 % par rapport à 2025), sous réserve de la saisonnalité. Les ventes de marchandises reculent nettement : 33 M FCFA contre 133 M FCFA sur l'année 2025.</t>
        </is>
      </c>
    </row>
    <row r="49" ht="60" customHeight="1">
      <c r="B49" s="33" t="inlineStr">
        <is>
          <t>La rentabilité se contracte. La marge d'EBE recule à 27,4 % contre 33,8 % en 2025, sous l'effet des charges de personnel (49,0 % de la valeur ajoutée contre 42,0 %). Les autres produits (1 278 M FCFA) incluent vraisemblablement des cessions courantes de véhicules, non isolables sans le détail du compte 754. Le résultat net s'établit à 220 M FCFA (3,1 % du CA ; ROE annualisé de 5,4 %).</t>
        </is>
      </c>
    </row>
    <row r="50" ht="45" customHeight="1">
      <c r="B50" s="33" t="inlineStr">
        <is>
          <t>La trésorerie se tend. Elle passe de 891 M à 337 M FCFA. Le flux opérationnel (1 121 M FCFA) ne couvre pas la hausse du BFR (+595 M FCFA), les acquisitions (1 780 M FCFA) et les dividendes (513 M FCFA). La hausse nette de la location-acquisition (+521 M FCFA) en finance une partie. La liquidité immédiate tombe à 0,18.</t>
        </is>
      </c>
    </row>
    <row r="51" ht="45" customHeight="1">
      <c r="B51" s="33" t="inlineStr">
        <is>
          <t>Les créances progressent. Les clients nets passent de 2 779 M à 3 084 M FCFA (délai de 104 jours sur une base de 240 jours, contre 89 jours fin 2025). Les avances versées aux fournisseurs bondissent de 517 M à 871 M FCFA. Ces deux postes expliquent l'essentiel de la hausse du BFR.</t>
        </is>
      </c>
    </row>
    <row r="52" ht="45" customHeight="1">
      <c r="B52" s="33" t="inlineStr">
        <is>
          <t>L'endettement remonte mais reste maîtrisé. Les dettes de location-acquisition atteignent 3 328 M FCFA. Le gearing passe de 30 % à 49 % et la dette représente 1,3 année de CAFG annualisée. Les capitaux propres baissent à 6 126 M FCFA après la distribution de 513 M FCFA.</t>
        </is>
      </c>
    </row>
    <row r="53" ht="30" customHeight="1">
      <c r="B53" s="33" t="inlineStr">
        <is>
          <t>Les dépréciations de stocks augmentent : 138 M FCFA au 31/08/2026, soit 34 % de la valeur brute, contre 105 M FCFA et 29 % fin 2025.</t>
        </is>
      </c>
    </row>
    <row r="54" ht="45" customHeight="1">
      <c r="B54" s="33" t="inlineStr">
        <is>
          <t>Informations à obtenir de la société : détail des comptes 754 et 654 et des autres produits (TH), tableau des immobilisations (acquisitions, nouveaux contrats de location-acquisition, cessions), date de paiement des dividendes, effectif au 31/08/2026.</t>
        </is>
      </c>
    </row>
  </sheetData>
  <mergeCells count="28">
    <mergeCell ref="B42:G42"/>
    <mergeCell ref="B1:G1"/>
    <mergeCell ref="B44:G44"/>
    <mergeCell ref="B53:G53"/>
    <mergeCell ref="B29:G29"/>
    <mergeCell ref="B38:G38"/>
    <mergeCell ref="B34:G34"/>
    <mergeCell ref="B28:G28"/>
    <mergeCell ref="B37:G37"/>
    <mergeCell ref="B49:G49"/>
    <mergeCell ref="B40:G40"/>
    <mergeCell ref="B33:G33"/>
    <mergeCell ref="B24:G24"/>
    <mergeCell ref="B51:G51"/>
    <mergeCell ref="B36:G36"/>
    <mergeCell ref="B45:G45"/>
    <mergeCell ref="B41:G41"/>
    <mergeCell ref="B35:G35"/>
    <mergeCell ref="B32:G32"/>
    <mergeCell ref="B50:G50"/>
    <mergeCell ref="B26:G26"/>
    <mergeCell ref="B25:G25"/>
    <mergeCell ref="B47:G47"/>
    <mergeCell ref="B54:G54"/>
    <mergeCell ref="B27:G27"/>
    <mergeCell ref="B43:G43"/>
    <mergeCell ref="B52:G52"/>
    <mergeCell ref="B48:G48"/>
  </mergeCells>
  <pageMargins left="0.75" right="0.75" top="1" bottom="1" header="0.511811023622047" footer="0.511811023622047"/>
  <pageSetup orientation="portrait" paperSize="9" horizontalDpi="300" verticalDpi="30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2026-10-12T09:49:49Z</dcterms:created>
  <dcterms:modified xmlns:dcterms="http://purl.org/dc/terms/" xmlns:xsi="http://www.w3.org/2001/XMLSchema-instance" xsi:type="dcterms:W3CDTF">2026-10-15T10:29:18Z</dcterms:modified>
  <cp:lastModifiedBy>Paul Alexandre DAGRY</cp:lastModifiedBy>
  <cp:revision>1</cp:revision>
</cp:coreProperties>
</file>