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comments/comment1.xml" ContentType="application/vnd.openxmlformats-officedocument.spreadsheetml.comments+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comments/comment2.xml" ContentType="application/vnd.openxmlformats-officedocument.spreadsheetml.comments+xml"/>
  <Override PartName="/xl/worksheets/sheet61.xml" ContentType="application/vnd.openxmlformats-officedocument.spreadsheetml.worksheet+xml"/>
  <Override PartName="/xl/worksheets/sheet62.xml" ContentType="application/vnd.openxmlformats-officedocument.spreadsheetml.worksheet+xml"/>
  <Override PartName="/xl/comments/comment3.xml" ContentType="application/vnd.openxmlformats-officedocument.spreadsheetml.comments+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comments/comment4.xml" ContentType="application/vnd.openxmlformats-officedocument.spreadsheetml.comments+xml"/>
  <Override PartName="/xl/worksheets/sheet76.xml" ContentType="application/vnd.openxmlformats-officedocument.spreadsheetml.worksheet+xml"/>
  <Override PartName="/xl/worksheets/sheet77.xml" ContentType="application/vnd.openxmlformats-officedocument.spreadsheetml.worksheet+xml"/>
  <Override PartName="/xl/comments/comment5.xml" ContentType="application/vnd.openxmlformats-officedocument.spreadsheetml.comments+xml"/>
  <Override PartName="/xl/worksheets/sheet78.xml" ContentType="application/vnd.openxmlformats-officedocument.spreadsheetml.worksheet+xml"/>
  <Override PartName="/xl/worksheets/sheet79.xml" ContentType="application/vnd.openxmlformats-officedocument.spreadsheetml.worksheet+xml"/>
  <Override PartName="/xl/comments/comment6.xml" ContentType="application/vnd.openxmlformats-officedocument.spreadsheetml.comments+xml"/>
  <Override PartName="/xl/worksheets/sheet80.xml" ContentType="application/vnd.openxmlformats-officedocument.spreadsheetml.worksheet+xml"/>
  <Override PartName="/xl/comments/comment7.xml" ContentType="application/vnd.openxmlformats-officedocument.spreadsheetml.comments+xml"/>
  <Override PartName="/xl/worksheets/sheet81.xml" ContentType="application/vnd.openxmlformats-officedocument.spreadsheetml.worksheet+xml"/>
  <Override PartName="/xl/comments/comment8.xml" ContentType="application/vnd.openxmlformats-officedocument.spreadsheetml.comments+xml"/>
  <Override PartName="/xl/worksheets/sheet82.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guide" sheetId="1" state="visible" r:id="rId1"/>
    <sheet xmlns:r="http://schemas.openxmlformats.org/officeDocument/2006/relationships" name="0_lisez_moi" sheetId="2" state="visible" r:id="rId2"/>
    <sheet xmlns:r="http://schemas.openxmlformats.org/officeDocument/2006/relationships" name="11_formules" sheetId="3" state="visible" r:id="rId3"/>
    <sheet xmlns:r="http://schemas.openxmlformats.org/officeDocument/2006/relationships" name="10_tableau_de_bord" sheetId="4" state="visible" r:id="rId4"/>
    <sheet xmlns:r="http://schemas.openxmlformats.org/officeDocument/2006/relationships" name="00_validite" sheetId="5" state="visible" r:id="rId5"/>
    <sheet xmlns:r="http://schemas.openxmlformats.org/officeDocument/2006/relationships" name="1_couverture" sheetId="6" state="visible" r:id="rId6"/>
    <sheet xmlns:r="http://schemas.openxmlformats.org/officeDocument/2006/relationships" name="1_aller_retour" sheetId="7" state="visible" r:id="rId7"/>
    <sheet xmlns:r="http://schemas.openxmlformats.org/officeDocument/2006/relationships" name="1_rejets" sheetId="8" state="visible" r:id="rId8"/>
    <sheet xmlns:r="http://schemas.openxmlformats.org/officeDocument/2006/relationships" name="2_effectifs_mensuels" sheetId="9" state="visible" r:id="rId9"/>
    <sheet xmlns:r="http://schemas.openxmlformats.org/officeDocument/2006/relationships" name="2_entrees_sorties" sheetId="10" state="visible" r:id="rId10"/>
    <sheet xmlns:r="http://schemas.openxmlformats.org/officeDocument/2006/relationships" name="2_taux_936" sheetId="11" state="visible" r:id="rId11"/>
    <sheet xmlns:r="http://schemas.openxmlformats.org/officeDocument/2006/relationships" name="2_rapport_8Z6_936" sheetId="12" state="visible" r:id="rId12"/>
    <sheet xmlns:r="http://schemas.openxmlformats.org/officeDocument/2006/relationships" name="2_anciennete" sheetId="13" state="visible" r:id="rId13"/>
    <sheet xmlns:r="http://schemas.openxmlformats.org/officeDocument/2006/relationships" name="2_cotisations" sheetId="14" state="visible" r:id="rId14"/>
    <sheet xmlns:r="http://schemas.openxmlformats.org/officeDocument/2006/relationships" name="3_sinistralite_resultat" sheetId="15" state="visible" r:id="rId15"/>
    <sheet xmlns:r="http://schemas.openxmlformats.org/officeDocument/2006/relationships" name="3_prestations_maladie_nature" sheetId="16" state="visible" r:id="rId16"/>
    <sheet xmlns:r="http://schemas.openxmlformats.org/officeDocument/2006/relationships" name="4_bilan" sheetId="17" state="visible" r:id="rId17"/>
    <sheet xmlns:r="http://schemas.openxmlformats.org/officeDocument/2006/relationships" name="4_pep_versements" sheetId="18" state="visible" r:id="rId18"/>
    <sheet xmlns:r="http://schemas.openxmlformats.org/officeDocument/2006/relationships" name="4_efc_versements" sheetId="19" state="visible" r:id="rId19"/>
    <sheet xmlns:r="http://schemas.openxmlformats.org/officeDocument/2006/relationships" name="4_poste_998_references" sheetId="20" state="visible" r:id="rId20"/>
    <sheet xmlns:r="http://schemas.openxmlformats.org/officeDocument/2006/relationships" name="5_grenier_encours" sheetId="21" state="visible" r:id="rId21"/>
    <sheet xmlns:r="http://schemas.openxmlformats.org/officeDocument/2006/relationships" name="5_grenier_retards" sheetId="22" state="visible" r:id="rId22"/>
    <sheet xmlns:r="http://schemas.openxmlformats.org/officeDocument/2006/relationships" name="5_grenier_par_historique" sheetId="23" state="visible" r:id="rId23"/>
    <sheet xmlns:r="http://schemas.openxmlformats.org/officeDocument/2006/relationships" name="5_grenier_production" sheetId="24" state="visible" r:id="rId24"/>
    <sheet xmlns:r="http://schemas.openxmlformats.org/officeDocument/2006/relationships" name="5_grenier_echeances_precomptes" sheetId="25" state="visible" r:id="rId25"/>
    <sheet xmlns:r="http://schemas.openxmlformats.org/officeDocument/2006/relationships" name="6_cgrae" sheetId="26" state="visible" r:id="rId26"/>
    <sheet xmlns:r="http://schemas.openxmlformats.org/officeDocument/2006/relationships" name="6_produits_annexes" sheetId="27" state="visible" r:id="rId27"/>
    <sheet xmlns:r="http://schemas.openxmlformats.org/officeDocument/2006/relationships" name="7_rendement_placements" sheetId="28" state="visible" r:id="rId28"/>
    <sheet xmlns:r="http://schemas.openxmlformats.org/officeDocument/2006/relationships" name="8_inflation_reel" sheetId="29" state="visible" r:id="rId29"/>
    <sheet xmlns:r="http://schemas.openxmlformats.org/officeDocument/2006/relationships" name="8_tcam" sheetId="30" state="visible" r:id="rId30"/>
    <sheet xmlns:r="http://schemas.openxmlformats.org/officeDocument/2006/relationships" name="8_tendances" sheetId="31" state="visible" r:id="rId31"/>
    <sheet xmlns:r="http://schemas.openxmlformats.org/officeDocument/2006/relationships" name="8_sensibilite_retraits" sheetId="32" state="visible" r:id="rId32"/>
    <sheet xmlns:r="http://schemas.openxmlformats.org/officeDocument/2006/relationships" name="8_sensibilite_pertes_grenier" sheetId="33" state="visible" r:id="rId33"/>
    <sheet xmlns:r="http://schemas.openxmlformats.org/officeDocument/2006/relationships" name="8_provisions_mois" sheetId="34" state="visible" r:id="rId34"/>
    <sheet xmlns:r="http://schemas.openxmlformats.org/officeDocument/2006/relationships" name="8_tables_mortalite" sheetId="35" state="visible" r:id="rId35"/>
    <sheet xmlns:r="http://schemas.openxmlformats.org/officeDocument/2006/relationships" name="10_ratios" sheetId="36" state="visible" r:id="rId36"/>
    <sheet xmlns:r="http://schemas.openxmlformats.org/officeDocument/2006/relationships" name="10_ratios_detail" sheetId="37" state="visible" r:id="rId37"/>
    <sheet xmlns:r="http://schemas.openxmlformats.org/officeDocument/2006/relationships" name="10_classement_comptes" sheetId="38" state="visible" r:id="rId38"/>
    <sheet xmlns:r="http://schemas.openxmlformats.org/officeDocument/2006/relationships" name="10_marge_solvabilite" sheetId="39" state="visible" r:id="rId39"/>
    <sheet xmlns:r="http://schemas.openxmlformats.org/officeDocument/2006/relationships" name="10_affectation_excedents" sheetId="40" state="visible" r:id="rId40"/>
    <sheet xmlns:r="http://schemas.openxmlformats.org/officeDocument/2006/relationships" name="10_excedent_par_risque" sheetId="41" state="visible" r:id="rId41"/>
    <sheet xmlns:r="http://schemas.openxmlformats.org/officeDocument/2006/relationships" name="10_controle_pcms" sheetId="42" state="visible" r:id="rId42"/>
    <sheet xmlns:r="http://schemas.openxmlformats.org/officeDocument/2006/relationships" name="10_actif_mobilisation" sheetId="43" state="visible" r:id="rId43"/>
    <sheet xmlns:r="http://schemas.openxmlformats.org/officeDocument/2006/relationships" name="10_agregats" sheetId="44" state="visible" r:id="rId44"/>
    <sheet xmlns:r="http://schemas.openxmlformats.org/officeDocument/2006/relationships" name="12_provisions_inventaire" sheetId="45" state="visible" r:id="rId45"/>
    <sheet xmlns:r="http://schemas.openxmlformats.org/officeDocument/2006/relationships" name="12_psap_rapprochement" sheetId="46" state="visible" r:id="rId46"/>
    <sheet xmlns:r="http://schemas.openxmlformats.org/officeDocument/2006/relationships" name="12_grenier_tranches" sheetId="47" state="visible" r:id="rId47"/>
    <sheet xmlns:r="http://schemas.openxmlformats.org/officeDocument/2006/relationships" name="12_gna_47111106" sheetId="48" state="visible" r:id="rId48"/>
    <sheet xmlns:r="http://schemas.openxmlformats.org/officeDocument/2006/relationships" name="12_pidr_196" sheetId="49" state="visible" r:id="rId49"/>
    <sheet xmlns:r="http://schemas.openxmlformats.org/officeDocument/2006/relationships" name="12_sinistralite_variantes" sheetId="50" state="visible" r:id="rId50"/>
    <sheet xmlns:r="http://schemas.openxmlformats.org/officeDocument/2006/relationships" name="9_tracabilite" sheetId="51" state="visible" r:id="rId51"/>
    <sheet xmlns:r="http://schemas.openxmlformats.org/officeDocument/2006/relationships" name="9_figures_tableaux" sheetId="52" state="visible" r:id="rId52"/>
    <sheet xmlns:r="http://schemas.openxmlformats.org/officeDocument/2006/relationships" name="14a_pidr_parametres" sheetId="53" state="visible" r:id="rId53"/>
    <sheet xmlns:r="http://schemas.openxmlformats.org/officeDocument/2006/relationships" name="14t_table_cima_f" sheetId="54" state="visible" r:id="rId54"/>
    <sheet xmlns:r="http://schemas.openxmlformats.org/officeDocument/2006/relationships" name="14b_pidr_individuel" sheetId="55" state="visible" r:id="rId55"/>
    <sheet xmlns:r="http://schemas.openxmlformats.org/officeDocument/2006/relationships" name="14c_pidr_synthese" sheetId="56" state="visible" r:id="rId56"/>
    <sheet xmlns:r="http://schemas.openxmlformats.org/officeDocument/2006/relationships" name="15_mortalite_sinistralite" sheetId="57" state="visible" r:id="rId57"/>
    <sheet xmlns:r="http://schemas.openxmlformats.org/officeDocument/2006/relationships" name="16_efc_taux_servi" sheetId="58" state="visible" r:id="rId58"/>
    <sheet xmlns:r="http://schemas.openxmlformats.org/officeDocument/2006/relationships" name="17_controles_croises" sheetId="59" state="visible" r:id="rId59"/>
    <sheet xmlns:r="http://schemas.openxmlformats.org/officeDocument/2006/relationships" name="18a_psap_maladie_delais" sheetId="60" state="visible" r:id="rId60"/>
    <sheet xmlns:r="http://schemas.openxmlformats.org/officeDocument/2006/relationships" name="18b_psap_maladie_tardives" sheetId="61" state="visible" r:id="rId61"/>
    <sheet xmlns:r="http://schemas.openxmlformats.org/officeDocument/2006/relationships" name="18c_psap_maladie_estimation" sheetId="62" state="visible" r:id="rId62"/>
    <sheet xmlns:r="http://schemas.openxmlformats.org/officeDocument/2006/relationships" name="19a_deces_etats_fin_annee" sheetId="63" state="visible" r:id="rId63"/>
    <sheet xmlns:r="http://schemas.openxmlformats.org/officeDocument/2006/relationships" name="19b_deces_dette_et_provision" sheetId="64" state="visible" r:id="rId64"/>
    <sheet xmlns:r="http://schemas.openxmlformats.org/officeDocument/2006/relationships" name="19c_deces_declares_tard" sheetId="65" state="visible" r:id="rId65"/>
    <sheet xmlns:r="http://schemas.openxmlformats.org/officeDocument/2006/relationships" name="20_risques_courts" sheetId="66" state="visible" r:id="rId66"/>
    <sheet xmlns:r="http://schemas.openxmlformats.org/officeDocument/2006/relationships" name="21_epargne_interets" sheetId="67" state="visible" r:id="rId67"/>
    <sheet xmlns:r="http://schemas.openxmlformats.org/officeDocument/2006/relationships" name="22_sante_retraites" sheetId="68" state="visible" r:id="rId68"/>
    <sheet xmlns:r="http://schemas.openxmlformats.org/officeDocument/2006/relationships" name="23_grenier_depreciation" sheetId="69" state="visible" r:id="rId69"/>
    <sheet xmlns:r="http://schemas.openxmlformats.org/officeDocument/2006/relationships" name="24a_ecoulement_epargne" sheetId="70" state="visible" r:id="rId70"/>
    <sheet xmlns:r="http://schemas.openxmlformats.org/officeDocument/2006/relationships" name="24b_ecarts_liquidite" sheetId="71" state="visible" r:id="rId71"/>
    <sheet xmlns:r="http://schemas.openxmlformats.org/officeDocument/2006/relationships" name="24c_ecarts_par_annee" sheetId="72" state="visible" r:id="rId72"/>
    <sheet xmlns:r="http://schemas.openxmlformats.org/officeDocument/2006/relationships" name="25_projection_equilibre" sheetId="73" state="visible" r:id="rId73"/>
    <sheet xmlns:r="http://schemas.openxmlformats.org/officeDocument/2006/relationships" name="13a_methode" sheetId="74" state="visible" r:id="rId74"/>
    <sheet xmlns:r="http://schemas.openxmlformats.org/officeDocument/2006/relationships" name="13b_parametres" sheetId="75" state="visible" r:id="rId75"/>
    <sheet xmlns:r="http://schemas.openxmlformats.org/officeDocument/2006/relationships" name="13c_donnees" sheetId="76" state="visible" r:id="rId76"/>
    <sheet xmlns:r="http://schemas.openxmlformats.org/officeDocument/2006/relationships" name="13d_ecarts" sheetId="77" state="visible" r:id="rId77"/>
    <sheet xmlns:r="http://schemas.openxmlformats.org/officeDocument/2006/relationships" name="13e_facteurs" sheetId="78" state="visible" r:id="rId78"/>
    <sheet xmlns:r="http://schemas.openxmlformats.org/officeDocument/2006/relationships" name="13f_leviers" sheetId="79" state="visible" r:id="rId79"/>
    <sheet xmlns:r="http://schemas.openxmlformats.org/officeDocument/2006/relationships" name="13g_inflation" sheetId="80" state="visible" r:id="rId80"/>
    <sheet xmlns:r="http://schemas.openxmlformats.org/officeDocument/2006/relationships" name="13i_rendement" sheetId="81" state="visible" r:id="rId81"/>
    <sheet xmlns:r="http://schemas.openxmlformats.org/officeDocument/2006/relationships" name="13h_synthese" sheetId="82" state="visible" r:id="rId82"/>
  </sheets>
  <definedNames>
    <definedName name="_xlnm._FilterDatabase" localSheetId="2" hidden="1">'11_formules'!$A$3:$O$90</definedName>
  </definedNames>
  <calcPr calcId="124519" fullCalcOnLoad="1"/>
</workbook>
</file>

<file path=xl/styles.xml><?xml version="1.0" encoding="utf-8"?>
<styleSheet xmlns="http://schemas.openxmlformats.org/spreadsheetml/2006/main">
  <numFmts count="10">
    <numFmt numFmtId="164" formatCode="yyyy-mm-dd h:mm:ss"/>
    <numFmt numFmtId="165" formatCode="YYYY-MM-DD HH:MM:SS"/>
    <numFmt numFmtId="166" formatCode="# ##0.00"/>
    <numFmt numFmtId="167" formatCode="dd/mm/yyyy"/>
    <numFmt numFmtId="168" formatCode="0.0000"/>
    <numFmt numFmtId="169" formatCode="0.0"/>
    <numFmt numFmtId="170" formatCode="DD/MM/YYYY"/>
    <numFmt numFmtId="171" formatCode="[&gt;=100000000000000]&quot;pas de borne&quot;;[&lt;=-100000000000000]&quot;pas de borne&quot;;0.00%"/>
    <numFmt numFmtId="172" formatCode="[&gt;=100000000000000]&quot;pas de borne&quot;;[&lt;=-100000000000000]&quot;pas de borne&quot;;0.00"/>
    <numFmt numFmtId="173" formatCode="0.000%"/>
  </numFmts>
  <fonts count="30">
    <font>
      <name val="Calibri"/>
      <family val="2"/>
      <color theme="1"/>
      <sz val="11"/>
      <scheme val="minor"/>
    </font>
    <font>
      <b val="1"/>
      <sz val="12"/>
    </font>
    <font>
      <b val="1"/>
      <color rgb="00FFFFFF"/>
    </font>
    <font>
      <b val="1"/>
      <color rgb="00112A40"/>
      <sz val="14"/>
    </font>
    <font>
      <i val="1"/>
      <color rgb="0053565A"/>
      <sz val="9"/>
    </font>
    <font>
      <b val="1"/>
      <color rgb="00C00000"/>
    </font>
    <font>
      <name val="Helvetica"/>
      <b val="1"/>
      <color rgb="00112A40"/>
      <sz val="13"/>
    </font>
    <font>
      <name val="Helvetica"/>
      <color theme="1"/>
      <sz val="11"/>
    </font>
    <font>
      <name val="Helvetica"/>
      <i val="1"/>
      <color rgb="0053565A"/>
      <sz val="9"/>
    </font>
    <font>
      <name val="Helvetica"/>
      <b val="1"/>
      <color rgb="00FFFFFF"/>
    </font>
    <font>
      <b val="1"/>
    </font>
    <font>
      <name val="Helvetica"/>
      <b val="1"/>
      <color rgb="00060606"/>
      <sz val="14"/>
    </font>
    <font>
      <name val="Helvetica"/>
      <b val="1"/>
      <color rgb="00FFFFFF"/>
      <sz val="9"/>
    </font>
    <font>
      <name val="Helvetica"/>
      <color rgb="00060606"/>
      <sz val="9"/>
    </font>
    <font>
      <name val="Helvetica"/>
      <b val="1"/>
      <color rgb="00060606"/>
      <sz val="9"/>
    </font>
    <font>
      <name val="Helvetica"/>
      <b val="1"/>
      <color rgb="00112A40"/>
      <sz val="11"/>
    </font>
    <font>
      <b val="1"/>
      <color rgb="00112A40"/>
      <sz val="13"/>
    </font>
    <font>
      <b val="1"/>
      <color rgb="00112A40"/>
    </font>
    <font>
      <name val="Helvetica"/>
      <b val="1"/>
      <sz val="12"/>
    </font>
    <font>
      <name val="Helvetica"/>
      <b val="1"/>
      <color rgb="00060606"/>
      <sz val="12"/>
    </font>
    <font>
      <name val="Helvetica"/>
      <i val="1"/>
      <color rgb="0053565A"/>
      <sz val="8"/>
    </font>
    <font>
      <name val="Helvetica"/>
      <b val="1"/>
      <color rgb="00FFFFFF"/>
      <sz val="10"/>
    </font>
    <font>
      <name val="Helvetica"/>
      <b val="1"/>
      <color rgb="00060606"/>
      <sz val="10"/>
    </font>
    <font>
      <name val="Helvetica"/>
      <color rgb="00060606"/>
      <sz val="10"/>
    </font>
    <font>
      <name val="Helvetica"/>
      <b val="1"/>
      <color rgb="00C00000"/>
      <sz val="10"/>
    </font>
    <font>
      <name val="Helvetica"/>
      <b val="1"/>
      <color rgb="00112A40"/>
      <sz val="14"/>
    </font>
    <font>
      <name val="Helvetica"/>
      <b val="1"/>
      <sz val="10"/>
    </font>
    <font>
      <name val="Helvetica"/>
      <b val="1"/>
      <color rgb="00112A40"/>
      <sz val="10"/>
    </font>
    <font>
      <name val="Helvetica"/>
      <b val="1"/>
      <sz val="14"/>
    </font>
    <font>
      <name val="Helvetica"/>
      <b val="1"/>
      <color rgb="00112A40"/>
      <u val="single"/>
    </font>
  </fonts>
  <fills count="12">
    <fill>
      <patternFill/>
    </fill>
    <fill>
      <patternFill patternType="gray125"/>
    </fill>
    <fill>
      <patternFill patternType="solid">
        <fgColor rgb="00112A40"/>
      </patternFill>
    </fill>
    <fill>
      <patternFill patternType="solid">
        <fgColor rgb="00060606"/>
      </patternFill>
    </fill>
    <fill>
      <patternFill patternType="solid">
        <fgColor rgb="00EFAC62"/>
      </patternFill>
    </fill>
    <fill>
      <patternFill patternType="solid">
        <fgColor rgb="0053565A"/>
      </patternFill>
    </fill>
    <fill>
      <patternFill patternType="solid">
        <fgColor rgb="00CCCCCC"/>
      </patternFill>
    </fill>
    <fill>
      <patternFill patternType="solid">
        <fgColor rgb="00FFFFFF"/>
      </patternFill>
    </fill>
    <fill>
      <patternFill patternType="solid">
        <fgColor rgb="00E8E8E8"/>
      </patternFill>
    </fill>
    <fill>
      <patternFill patternType="solid">
        <fgColor rgb="00FFF2CC"/>
      </patternFill>
    </fill>
    <fill>
      <patternFill patternType="solid">
        <fgColor rgb="00F2F2F2"/>
      </patternFill>
    </fill>
    <fill>
      <patternFill patternType="solid"/>
    </fill>
  </fills>
  <borders count="5">
    <border>
      <left/>
      <right/>
      <top/>
      <bottom/>
      <diagonal/>
    </border>
    <border>
      <bottom style="thin">
        <color rgb="00BBBCBC"/>
      </bottom>
    </border>
    <border>
      <right/>
      <bottom style="thin">
        <color rgb="00BBBCBC"/>
      </bottom>
    </border>
    <border>
      <left/>
      <right/>
      <top/>
      <bottom style="thin">
        <color rgb="00BBBCBC"/>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0">
    <xf numFmtId="0" fontId="0" fillId="0" borderId="0" pivotButton="0" quotePrefix="0" xfId="0"/>
    <xf numFmtId="0" fontId="28" fillId="0" borderId="0" pivotButton="0" quotePrefix="0" xfId="0"/>
    <xf numFmtId="0" fontId="0" fillId="0" borderId="0" applyAlignment="1" pivotButton="0" quotePrefix="0" xfId="0">
      <alignment vertical="top" wrapText="1"/>
    </xf>
    <xf numFmtId="0" fontId="9" fillId="11" borderId="0" applyAlignment="1" pivotButton="0" quotePrefix="0" xfId="0">
      <alignment horizontal="center" vertical="center" wrapText="1"/>
    </xf>
    <xf numFmtId="0" fontId="29" fillId="0" borderId="0" pivotButton="0" quotePrefix="0" xfId="0"/>
    <xf numFmtId="0" fontId="11" fillId="0" borderId="0" pivotButton="0" quotePrefix="0" xfId="0"/>
    <xf numFmtId="0" fontId="23" fillId="0" borderId="0" applyAlignment="1" pivotButton="0" quotePrefix="0" xfId="0">
      <alignment vertical="top" wrapText="1"/>
    </xf>
    <xf numFmtId="0" fontId="19" fillId="0" borderId="0" pivotButton="0" quotePrefix="0" xfId="0"/>
    <xf numFmtId="0" fontId="21" fillId="11" borderId="4" applyAlignment="1" pivotButton="0" quotePrefix="0" xfId="0">
      <alignment horizontal="center" vertical="center" wrapText="1"/>
    </xf>
    <xf numFmtId="0" fontId="22" fillId="6" borderId="4" applyAlignment="1" pivotButton="0" quotePrefix="0" xfId="0">
      <alignment horizontal="left" vertical="top" wrapText="1"/>
    </xf>
    <xf numFmtId="0" fontId="23" fillId="0" borderId="4" applyAlignment="1" pivotButton="0" quotePrefix="0" xfId="0">
      <alignment horizontal="left" vertical="top" wrapText="1"/>
    </xf>
    <xf numFmtId="0" fontId="24" fillId="0" borderId="4" applyAlignment="1" pivotButton="0" quotePrefix="0" xfId="0">
      <alignment horizontal="left" vertical="top" wrapText="1"/>
    </xf>
    <xf numFmtId="0" fontId="23" fillId="8" borderId="4" applyAlignment="1" pivotButton="0" quotePrefix="0" xfId="0">
      <alignment horizontal="left" vertical="top" wrapText="1"/>
    </xf>
    <xf numFmtId="0" fontId="24" fillId="8" borderId="4" applyAlignment="1" pivotButton="0" quotePrefix="0" xfId="0">
      <alignment horizontal="left" vertical="top" wrapText="1"/>
    </xf>
    <xf numFmtId="0" fontId="20" fillId="0" borderId="0" pivotButton="0" quotePrefix="0" xfId="0"/>
    <xf numFmtId="0" fontId="8" fillId="0" borderId="0" pivotButton="0" quotePrefix="0" xfId="0"/>
    <xf numFmtId="0" fontId="22" fillId="6" borderId="4" applyAlignment="1" pivotButton="0" quotePrefix="0" xfId="0">
      <alignment horizontal="right" vertical="top"/>
    </xf>
    <xf numFmtId="0" fontId="23" fillId="0" borderId="4" applyAlignment="1" pivotButton="0" quotePrefix="0" xfId="0">
      <alignment horizontal="left" vertical="top"/>
    </xf>
    <xf numFmtId="10" fontId="23" fillId="0" borderId="4" applyAlignment="1" pivotButton="0" quotePrefix="0" xfId="0">
      <alignment horizontal="right" vertical="top"/>
    </xf>
    <xf numFmtId="0" fontId="23" fillId="8" borderId="4" applyAlignment="1" pivotButton="0" quotePrefix="0" xfId="0">
      <alignment horizontal="left" vertical="top"/>
    </xf>
    <xf numFmtId="166" fontId="23" fillId="8" borderId="4" applyAlignment="1" pivotButton="0" quotePrefix="0" xfId="0">
      <alignment horizontal="right" vertical="top"/>
    </xf>
    <xf numFmtId="166" fontId="23" fillId="0" borderId="4" applyAlignment="1" pivotButton="0" quotePrefix="0" xfId="0">
      <alignment horizontal="right" vertical="top"/>
    </xf>
    <xf numFmtId="10" fontId="23" fillId="8" borderId="4" applyAlignment="1" pivotButton="0" quotePrefix="0" xfId="0">
      <alignment horizontal="right" vertical="top"/>
    </xf>
    <xf numFmtId="0" fontId="11" fillId="11" borderId="4" applyAlignment="1" pivotButton="0" quotePrefix="0" xfId="0">
      <alignment horizontal="center" vertical="center" wrapText="1"/>
    </xf>
    <xf numFmtId="0" fontId="8" fillId="6" borderId="4" applyAlignment="1" pivotButton="0" quotePrefix="0" xfId="0">
      <alignment horizontal="left" vertical="top" wrapText="1"/>
    </xf>
    <xf numFmtId="0" fontId="12" fillId="5" borderId="0" applyAlignment="1" pivotButton="0" quotePrefix="0" xfId="0">
      <alignment vertical="top" wrapText="1"/>
    </xf>
    <xf numFmtId="0" fontId="13" fillId="0" borderId="0" applyAlignment="1" pivotButton="0" quotePrefix="0" xfId="0">
      <alignment vertical="top" wrapText="1"/>
    </xf>
    <xf numFmtId="0" fontId="22" fillId="6" borderId="4" applyAlignment="1" pivotButton="0" quotePrefix="0" xfId="0">
      <alignment horizontal="left" vertical="top"/>
    </xf>
    <xf numFmtId="0" fontId="23" fillId="0" borderId="4" applyAlignment="1" pivotButton="0" quotePrefix="0" xfId="0">
      <alignment horizontal="left" vertical="top"/>
    </xf>
    <xf numFmtId="3" fontId="23" fillId="0" borderId="4" applyAlignment="1" pivotButton="0" quotePrefix="0" xfId="0">
      <alignment horizontal="right" vertical="top"/>
    </xf>
    <xf numFmtId="0" fontId="23" fillId="8" borderId="4" applyAlignment="1" pivotButton="0" quotePrefix="0" xfId="0">
      <alignment horizontal="left" vertical="top"/>
    </xf>
    <xf numFmtId="3" fontId="23" fillId="8" borderId="4" applyAlignment="1" pivotButton="0" quotePrefix="0" xfId="0">
      <alignment horizontal="right" vertical="top"/>
    </xf>
    <xf numFmtId="10" fontId="23" fillId="0" borderId="4" applyAlignment="1" pivotButton="0" quotePrefix="0" xfId="0">
      <alignment horizontal="right" vertical="top"/>
    </xf>
    <xf numFmtId="10" fontId="23" fillId="8" borderId="4" applyAlignment="1" pivotButton="0" quotePrefix="0" xfId="0">
      <alignment horizontal="right" vertical="top"/>
    </xf>
    <xf numFmtId="1" fontId="22" fillId="6" borderId="4" applyAlignment="1" pivotButton="0" quotePrefix="0" xfId="0">
      <alignment horizontal="right" vertical="top"/>
    </xf>
    <xf numFmtId="1" fontId="23" fillId="0" borderId="4" applyAlignment="1" pivotButton="0" quotePrefix="0" xfId="0">
      <alignment horizontal="right" vertical="top"/>
    </xf>
    <xf numFmtId="1" fontId="23" fillId="8" borderId="4" applyAlignment="1" pivotButton="0" quotePrefix="0" xfId="0">
      <alignment horizontal="right" vertical="top"/>
    </xf>
    <xf numFmtId="2" fontId="23" fillId="0" borderId="4" applyAlignment="1" pivotButton="0" quotePrefix="0" xfId="0">
      <alignment horizontal="right" vertical="top"/>
    </xf>
    <xf numFmtId="2" fontId="23" fillId="8" borderId="4" applyAlignment="1" pivotButton="0" quotePrefix="0" xfId="0">
      <alignment horizontal="right" vertical="top"/>
    </xf>
    <xf numFmtId="165" fontId="22" fillId="6" borderId="4" applyAlignment="1" pivotButton="0" quotePrefix="0" xfId="0">
      <alignment horizontal="left" vertical="top"/>
    </xf>
    <xf numFmtId="10" fontId="22" fillId="6" borderId="4" applyAlignment="1" pivotButton="0" quotePrefix="0" xfId="0">
      <alignment horizontal="right" vertical="top"/>
    </xf>
    <xf numFmtId="2" fontId="22" fillId="6" borderId="4" applyAlignment="1" pivotButton="0" quotePrefix="0" xfId="0">
      <alignment horizontal="right" vertical="top"/>
    </xf>
    <xf numFmtId="0" fontId="22" fillId="6" borderId="4" applyAlignment="1" pivotButton="0" quotePrefix="0" xfId="0">
      <alignment horizontal="right" vertical="top"/>
    </xf>
    <xf numFmtId="0" fontId="23" fillId="0" borderId="4" applyAlignment="1" pivotButton="0" quotePrefix="0" xfId="0">
      <alignment horizontal="right" vertical="top"/>
    </xf>
    <xf numFmtId="0" fontId="23" fillId="0" borderId="4" applyAlignment="1" pivotButton="0" quotePrefix="0" xfId="0">
      <alignment horizontal="center" vertical="top"/>
    </xf>
    <xf numFmtId="0" fontId="23" fillId="8" borderId="4" applyAlignment="1" pivotButton="0" quotePrefix="0" xfId="0">
      <alignment horizontal="right" vertical="top"/>
    </xf>
    <xf numFmtId="0" fontId="23" fillId="8" borderId="4" applyAlignment="1" pivotButton="0" quotePrefix="0" xfId="0">
      <alignment horizontal="center" vertical="top"/>
    </xf>
    <xf numFmtId="0" fontId="22" fillId="6" borderId="4" applyAlignment="1" pivotButton="0" quotePrefix="0" xfId="0">
      <alignment horizontal="left" vertical="top"/>
    </xf>
    <xf numFmtId="0" fontId="23" fillId="0" borderId="4" applyAlignment="1" pivotButton="0" quotePrefix="0" xfId="0">
      <alignment horizontal="right" vertical="top"/>
    </xf>
    <xf numFmtId="0" fontId="23" fillId="8" borderId="4" applyAlignment="1" pivotButton="0" quotePrefix="0" xfId="0">
      <alignment horizontal="right" vertical="top"/>
    </xf>
    <xf numFmtId="0" fontId="7" fillId="0" borderId="0" pivotButton="0" quotePrefix="0" xfId="0"/>
    <xf numFmtId="167" fontId="22" fillId="4" borderId="4" applyAlignment="1" pivotButton="0" quotePrefix="0" xfId="0">
      <alignment horizontal="left" vertical="top"/>
    </xf>
    <xf numFmtId="1" fontId="22" fillId="4" borderId="4" applyAlignment="1" pivotButton="0" quotePrefix="0" xfId="0">
      <alignment horizontal="right" vertical="top"/>
    </xf>
    <xf numFmtId="10" fontId="22" fillId="4" borderId="4" applyAlignment="1" pivotButton="0" quotePrefix="0" xfId="0">
      <alignment horizontal="right" vertical="top"/>
    </xf>
    <xf numFmtId="167" fontId="23" fillId="0" borderId="4" applyAlignment="1" pivotButton="0" quotePrefix="0" xfId="0">
      <alignment horizontal="left" vertical="top"/>
    </xf>
    <xf numFmtId="168" fontId="23" fillId="0" borderId="4" applyAlignment="1" pivotButton="0" quotePrefix="0" xfId="0">
      <alignment horizontal="right" vertical="top"/>
    </xf>
    <xf numFmtId="167" fontId="23" fillId="8" borderId="4" applyAlignment="1" pivotButton="0" quotePrefix="0" xfId="0">
      <alignment horizontal="left" vertical="top"/>
    </xf>
    <xf numFmtId="168" fontId="23" fillId="8" borderId="4" applyAlignment="1" pivotButton="0" quotePrefix="0" xfId="0">
      <alignment horizontal="right" vertical="top"/>
    </xf>
    <xf numFmtId="3" fontId="22" fillId="6" borderId="4" applyAlignment="1" pivotButton="0" quotePrefix="0" xfId="0">
      <alignment horizontal="right" vertical="top"/>
    </xf>
    <xf numFmtId="3" fontId="23" fillId="0" borderId="4" applyAlignment="1" pivotButton="0" quotePrefix="0" xfId="0">
      <alignment horizontal="left" vertical="top"/>
    </xf>
    <xf numFmtId="3" fontId="23" fillId="8" borderId="4" applyAlignment="1" pivotButton="0" quotePrefix="0" xfId="0">
      <alignment horizontal="left" vertical="top"/>
    </xf>
    <xf numFmtId="169" fontId="22" fillId="6" borderId="4" applyAlignment="1" pivotButton="0" quotePrefix="0" xfId="0">
      <alignment horizontal="right" vertical="top"/>
    </xf>
    <xf numFmtId="0" fontId="8" fillId="0" borderId="0" applyAlignment="1" pivotButton="0" quotePrefix="0" xfId="0">
      <alignment vertical="top" wrapText="1"/>
    </xf>
    <xf numFmtId="0" fontId="15" fillId="0" borderId="0" pivotButton="0" quotePrefix="0" xfId="0"/>
    <xf numFmtId="1" fontId="22" fillId="6" borderId="4" applyAlignment="1" pivotButton="0" quotePrefix="0" xfId="0">
      <alignment horizontal="left" vertical="top"/>
    </xf>
    <xf numFmtId="10" fontId="7" fillId="4" borderId="0" pivotButton="0" quotePrefix="0" xfId="0"/>
    <xf numFmtId="170" fontId="22" fillId="6" borderId="4" applyAlignment="1" pivotButton="0" quotePrefix="0" xfId="0">
      <alignment horizontal="left" vertical="top"/>
    </xf>
    <xf numFmtId="169" fontId="23" fillId="8" borderId="4" applyAlignment="1" pivotButton="0" quotePrefix="0" xfId="0">
      <alignment horizontal="right" vertical="top"/>
    </xf>
    <xf numFmtId="3" fontId="22" fillId="6" borderId="4" applyAlignment="1" pivotButton="0" quotePrefix="0" xfId="0">
      <alignment horizontal="left" vertical="top"/>
    </xf>
    <xf numFmtId="10" fontId="7" fillId="0" borderId="0" pivotButton="0" quotePrefix="0" xfId="0"/>
    <xf numFmtId="3" fontId="7" fillId="0" borderId="0" pivotButton="0" quotePrefix="0" xfId="0"/>
    <xf numFmtId="171" fontId="23" fillId="0" borderId="4" applyAlignment="1" pivotButton="0" quotePrefix="0" xfId="0">
      <alignment horizontal="right" vertical="top"/>
    </xf>
    <xf numFmtId="172" fontId="23" fillId="8" borderId="4" applyAlignment="1" pivotButton="0" quotePrefix="0" xfId="0">
      <alignment horizontal="right" vertical="top"/>
    </xf>
    <xf numFmtId="172" fontId="23" fillId="0" borderId="4" applyAlignment="1" pivotButton="0" quotePrefix="0" xfId="0">
      <alignment horizontal="right" vertical="top"/>
    </xf>
    <xf numFmtId="171" fontId="23" fillId="8" borderId="4" applyAlignment="1" pivotButton="0" quotePrefix="0" xfId="0">
      <alignment horizontal="right" vertical="top"/>
    </xf>
    <xf numFmtId="3" fontId="22" fillId="4" borderId="4" applyAlignment="1" pivotButton="0" quotePrefix="0" xfId="0">
      <alignment horizontal="right" vertical="top"/>
    </xf>
    <xf numFmtId="0" fontId="22" fillId="0" borderId="4" applyAlignment="1" pivotButton="0" quotePrefix="0" xfId="0">
      <alignment horizontal="left" vertical="top"/>
    </xf>
    <xf numFmtId="1" fontId="22" fillId="0" borderId="4" applyAlignment="1" pivotButton="0" quotePrefix="0" xfId="0">
      <alignment horizontal="right" vertical="top"/>
    </xf>
    <xf numFmtId="0" fontId="26" fillId="0" borderId="1" applyAlignment="1" pivotButton="0" quotePrefix="0" xfId="0">
      <alignment vertical="top"/>
    </xf>
    <xf numFmtId="2" fontId="7" fillId="0" borderId="1" applyAlignment="1" pivotButton="0" quotePrefix="0" xfId="0">
      <alignment vertical="top"/>
    </xf>
    <xf numFmtId="1" fontId="26" fillId="0" borderId="1" applyAlignment="1" pivotButton="0" quotePrefix="0" xfId="0">
      <alignment vertical="top"/>
    </xf>
    <xf numFmtId="1" fontId="7" fillId="0" borderId="1" applyAlignment="1" pivotButton="0" quotePrefix="0" xfId="0">
      <alignment vertical="top"/>
    </xf>
    <xf numFmtId="3" fontId="7" fillId="0" borderId="1" applyAlignment="1" pivotButton="0" quotePrefix="0" xfId="0">
      <alignment vertical="top"/>
    </xf>
    <xf numFmtId="0" fontId="7" fillId="0" borderId="1" applyAlignment="1" pivotButton="0" quotePrefix="0" xfId="0">
      <alignment vertical="top"/>
    </xf>
    <xf numFmtId="0" fontId="7" fillId="0" borderId="1" applyAlignment="1" pivotButton="0" quotePrefix="0" xfId="0">
      <alignment vertical="top" wrapText="1"/>
    </xf>
    <xf numFmtId="10" fontId="7" fillId="0" borderId="1" applyAlignment="1" pivotButton="0" quotePrefix="0" xfId="0">
      <alignment vertical="top"/>
    </xf>
    <xf numFmtId="0" fontId="22" fillId="8" borderId="4" applyAlignment="1" pivotButton="0" quotePrefix="0" xfId="0">
      <alignment horizontal="left" vertical="top"/>
    </xf>
    <xf numFmtId="0" fontId="27" fillId="0" borderId="0" pivotButton="0" quotePrefix="0" xfId="0"/>
    <xf numFmtId="0" fontId="26" fillId="10" borderId="1" applyAlignment="1" pivotButton="0" quotePrefix="0" xfId="0">
      <alignment vertical="top"/>
    </xf>
    <xf numFmtId="0" fontId="26" fillId="10" borderId="1" applyAlignment="1" pivotButton="0" quotePrefix="0" xfId="0">
      <alignment vertical="top" wrapText="1"/>
    </xf>
    <xf numFmtId="0" fontId="7" fillId="10" borderId="2" applyAlignment="1" pivotButton="0" quotePrefix="0" xfId="0">
      <alignment vertical="top" wrapText="1"/>
    </xf>
    <xf numFmtId="0" fontId="0" fillId="0" borderId="3" pivotButton="0" quotePrefix="0" xfId="0"/>
    <xf numFmtId="10" fontId="26" fillId="0" borderId="1" applyAlignment="1" pivotButton="0" quotePrefix="0" xfId="0">
      <alignment vertical="top"/>
    </xf>
    <xf numFmtId="10" fontId="22" fillId="8" borderId="4" applyAlignment="1" pivotButton="0" quotePrefix="0" xfId="0">
      <alignment horizontal="right" vertical="top"/>
    </xf>
    <xf numFmtId="10" fontId="22" fillId="0" borderId="4" applyAlignment="1" pivotButton="0" quotePrefix="0" xfId="0">
      <alignment horizontal="right" vertical="top"/>
    </xf>
    <xf numFmtId="170" fontId="23" fillId="0" borderId="4" applyAlignment="1" pivotButton="0" quotePrefix="0" xfId="0">
      <alignment horizontal="left" vertical="top"/>
    </xf>
    <xf numFmtId="173" fontId="23" fillId="0" borderId="4" applyAlignment="1" pivotButton="0" quotePrefix="0" xfId="0">
      <alignment horizontal="right" vertical="top"/>
    </xf>
    <xf numFmtId="170" fontId="23" fillId="8" borderId="4" applyAlignment="1" pivotButton="0" quotePrefix="0" xfId="0">
      <alignment horizontal="left" vertical="top"/>
    </xf>
    <xf numFmtId="173" fontId="23" fillId="8" borderId="4" applyAlignment="1" pivotButton="0" quotePrefix="0" xfId="0">
      <alignment horizontal="right" vertical="top"/>
    </xf>
    <xf numFmtId="3" fontId="22" fillId="8" borderId="4" applyAlignment="1" pivotButton="0" quotePrefix="0" xfId="0">
      <alignment horizontal="right" vertical="top"/>
    </xf>
  </cellXfs>
  <cellStyles count="1">
    <cellStyle name="Normal" xfId="0" builtinId="0" hidden="0"/>
  </cellStyles>
  <dxfs count="5">
    <dxf>
      <font>
        <b val="1"/>
        <color rgb="00FFFFFF"/>
      </font>
      <fill>
        <patternFill patternType="solid">
          <fgColor rgb="00112A40"/>
        </patternFill>
      </fill>
    </dxf>
    <dxf>
      <font>
        <b val="1"/>
        <color rgb="00FFFFFF"/>
      </font>
      <fill>
        <patternFill patternType="solid">
          <fgColor rgb="00C00000"/>
        </patternFill>
      </fill>
    </dxf>
    <dxf>
      <font>
        <color rgb="0053565A"/>
      </font>
      <fill>
        <patternFill patternType="solid">
          <fgColor rgb="00F2F2F2"/>
        </patternFill>
      </fill>
    </dxf>
    <dxf>
      <font>
        <name val="Helvetica"/>
        <b val="1"/>
        <color rgb="00FFFFFF"/>
      </font>
      <fill>
        <patternFill patternType="solid">
          <fgColor rgb="00112A40"/>
        </patternFill>
      </fill>
    </dxf>
    <dxf>
      <font>
        <name val="Helvetica"/>
        <b val="1"/>
        <color rgb="00FFFFFF"/>
      </font>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styles" Target="styles.xml" Id="rId83"/><Relationship Type="http://schemas.openxmlformats.org/officeDocument/2006/relationships/theme" Target="theme/theme1.xml" Id="rId84"/></Relationships>
</file>

<file path=xl/comments/comment1.xml><?xml version="1.0" encoding="utf-8"?>
<comments xmlns="http://schemas.openxmlformats.org/spreadsheetml/2006/main">
  <authors>
    <author>Adenka</author>
  </authors>
  <commentList>
    <comment ref="T4" authorId="0" shapeId="0">
      <text>
        <t>PIDR = indemnité projetée × prorata ancienneté actuelle / ancienneté au départ × survie (CIMA F) × (1 - rotation)^n × (1 + taux)^-n. Indemnité = salaire mensuel moyen × barème du décret n° 2017-210 (art. 4) appliqué à l'ancienneté.</t>
      </text>
    </comment>
  </commentList>
</comments>
</file>

<file path=xl/comments/comment2.xml><?xml version="1.0" encoding="utf-8"?>
<comments xmlns="http://schemas.openxmlformats.org/spreadsheetml/2006/main">
  <authors>
    <author>Adenka</author>
  </authors>
  <commentList>
    <comment ref="G11" authorId="0" shapeId="0">
      <text>
        <t>Exemple de lecture : si la valeur vaut 3, les factures non payées représentent en moyenne trois mois de factures.</t>
      </text>
    </comment>
  </commentList>
</comments>
</file>

<file path=xl/comments/comment3.xml><?xml version="1.0" encoding="utf-8"?>
<comments xmlns="http://schemas.openxmlformats.org/spreadsheetml/2006/main">
  <authors>
    <author>Adenka</author>
  </authors>
  <commentList>
    <comment ref="F11" authorId="0" shapeId="0">
      <text>
        <t>Estimation élargie : les factures en retard mesurées sont rapportées à la part des factures dont l'année est lisible, puis à l'ensemble des prestations maladie (y compris celles payées hors du compte 40110000). C'est une estimation haute.</t>
      </text>
    </comment>
  </commentList>
</comments>
</file>

<file path=xl/comments/comment4.xml><?xml version="1.0" encoding="utf-8"?>
<comments xmlns="http://schemas.openxmlformats.org/spreadsheetml/2006/main">
  <authors>
    <author>Adenka</author>
  </authors>
  <commentList>
    <comment ref="C9" authorId="0" shapeId="0">
      <text>
        <t>Borne basse 0 : un ratio négatif traduit des ressources longues négatives (fonds propres négatifs en 2020) ; il est jugé non conforme, comme dans les versions 3 à 7 du rapport.</t>
      </text>
    </comment>
    <comment ref="C10" authorId="0" shapeId="0">
      <text>
        <t>Borne basse 0 : un excédent négatif (déficit de 2026) est jugé non conforme, comme dans les versions 3 à 7 du rapport.</t>
      </text>
    </comment>
  </commentList>
</comments>
</file>

<file path=xl/comments/comment5.xml><?xml version="1.0" encoding="utf-8"?>
<comments xmlns="http://schemas.openxmlformats.org/spreadsheetml/2006/main">
  <authors>
    <author>Adenka</author>
  </authors>
  <commentList>
    <comment ref="J4" authorId="0" shapeId="0">
      <text>
        <t>Nombre d'années non conformes de 2020 au 31/08/2026 (formule NB.SI sur la ligne Statut).</t>
      </text>
    </comment>
    <comment ref="M4" authorId="0" shapeId="0">
      <text>
        <t>Minimum, maximum et moyenne du montant à combler sur 2020 à 2026 (2026 : huit mois, indicatif).</t>
      </text>
    </comment>
    <comment ref="P4" authorId="0" shapeId="0">
      <text>
        <t>Structurel : non conforme toutes les années mesurées (colonnes J = L). Récurrent : au moins deux exercices non conformes de 2022 à 2025 (Règlement 07/2009, art. 84 : non-respect sur deux exercices). Sinon ponctuel.</t>
      </text>
    </comment>
    <comment ref="B5" authorId="0" shapeId="0">
      <text>
        <t>Sinistralité = charges de prestations (60 + 6901 - 7901) / cotisations acquises (70 + 7906 - 6906). Norme : entre 70 % et 80 %. Source : Décision 05/2022, tableau 1, ligne 5.</t>
      </text>
    </comment>
    <comment ref="B6" authorId="0" shapeId="0">
      <text>
        <t>Statut = « Conforme » si la valeur est comprise entre la borne basse et la borne haute de l'onglet 13b (borne basse stricte pour RL2), « Non conforme » sinon, « En attente » si la valeur manque.</t>
      </text>
    </comment>
    <comment ref="B7" authorId="0" shapeId="0">
      <text>
        <t>Si la sinistralité est sous 70 % : 70 % × cotisations - prestations (prestations à ajouter). Si elle dépasse 80 % : 80 % × cotisations - prestations (montant négatif). Sinon 0. Les autres termes du ratio restent inchangés.</t>
      </text>
    </comment>
    <comment ref="B8" authorId="0" shapeId="0">
      <text>
        <t>Montant à combler rapporté à la variable PRE de l'onglet 13c (valeur absolue), pour lire l'effort en pourcentage.</t>
      </text>
    </comment>
    <comment ref="B10" authorId="0" shapeId="0">
      <text>
        <t>Réserve obligatoire en mois = réserve (111) × 12 / charges de prestations. Norme : entre 6 et 9 mois. Source : Décision 05/2022, tableau 1, ligne 10.</t>
      </text>
    </comment>
    <comment ref="B11" authorId="0" shapeId="0">
      <text>
        <t>Statut = « Conforme » si la valeur est comprise entre la borne basse et la borne haute de l'onglet 13b (borne basse stricte pour RL2), « Non conforme » sinon, « En attente » si la valeur manque.</t>
      </text>
    </comment>
    <comment ref="B12" authorId="0" shapeId="0">
      <text>
        <t>Montant = max(0 ; 6 / 12 × prestations - réserve) : dotation qui porte la réserve à six mois de prestations. Les autres termes du ratio restent inchangés.</t>
      </text>
    </comment>
    <comment ref="B13" authorId="0" shapeId="0">
      <text>
        <t>Montant à combler rapporté à la variable RES de l'onglet 13c (valeur absolue), pour lire l'effort en pourcentage.</t>
      </text>
    </comment>
    <comment ref="B15" authorId="0" shapeId="0">
      <text>
        <t>Fonds propres et assimilés (10 à 15, 190) / dettes y compris provisions techniques. Norme : au moins 1. Source : Décision 05/2022, tableau 2, ligne 9.</t>
      </text>
    </comment>
    <comment ref="B16" authorId="0" shapeId="0">
      <text>
        <t>Statut = « Conforme » si la valeur est comprise entre la borne basse et la borne haute de l'onglet 13b (borne basse stricte pour RL2), « Non conforme » sinon, « En attente » si la valeur manque.</t>
      </text>
    </comment>
    <comment ref="B17" authorId="0" shapeId="0">
      <text>
        <t>Montant = max(0 ; 1 × dettes - fonds propres), à dettes inchangées. Les autres termes du ratio restent inchangés.</t>
      </text>
    </comment>
    <comment ref="B18" authorId="0" shapeId="0">
      <text>
        <t>Montant à combler rapporté à la variable FP de l'onglet 13c (valeur absolue), pour lire l'effort en pourcentage.</t>
      </text>
    </comment>
    <comment ref="B20" authorId="0" shapeId="0">
      <text>
        <t>Liquidité = trésorerie actif (classe 5 débitrice) / (dettes à court terme + variation des provisions techniques). Norme : au moins 1. Source : Décision 05/2022, tableau 2, ligne 8.</t>
      </text>
    </comment>
    <comment ref="B21" authorId="0" shapeId="0">
      <text>
        <t>Statut = « Conforme » si la valeur est comprise entre la borne basse et la borne haute de l'onglet 13b (borne basse stricte pour RL2), « Non conforme » sinon, « En attente » si la valeur manque.</t>
      </text>
    </comment>
    <comment ref="B22" authorId="0" shapeId="0">
      <text>
        <t>Montant = max(0 ; 1 × dettes à court terme - trésorerie). Les autres termes du ratio restent inchangés.</t>
      </text>
    </comment>
    <comment ref="B23" authorId="0" shapeId="0">
      <text>
        <t>Montant à combler rapporté à la variable TRE de l'onglet 13c (valeur absolue), pour lire l'effort en pourcentage.</t>
      </text>
    </comment>
    <comment ref="B25" authorId="0" shapeId="0">
      <text>
        <t>Équilibre stable = emplois moyens et longs (classe 2 nette) / ressources moyennes et longues (10 à 19). Norme : au plus 1 ; négatif = non conforme. Source : Décision 05/2022, tableau 1, ligne 11 (borne basse 0 : ressources négatives).</t>
      </text>
    </comment>
    <comment ref="B26" authorId="0" shapeId="0">
      <text>
        <t>Statut = « Conforme » si la valeur est comprise entre la borne basse et la borne haute de l'onglet 13b (borne basse stricte pour RL2), « Non conforme » sinon, « En attente » si la valeur manque.</t>
      </text>
    </comment>
    <comment ref="B27" authorId="0" shapeId="0">
      <text>
        <t>Montant = max(0 ; emplois longs - 1 × ressources longues) : ressources longues à ajouter, ou emplois longs à céder. Les autres termes du ratio restent inchangés.</t>
      </text>
    </comment>
    <comment ref="B28" authorId="0" shapeId="0">
      <text>
        <t>Montant à combler rapporté à la variable RESL de l'onglet 13c (valeur absolue), pour lire l'effort en pourcentage.</t>
      </text>
    </comment>
    <comment ref="B30" authorId="0" shapeId="0">
      <text>
        <t>Excédent net / cotisations acquises. Norme : au plus 5 % ; un déficit (valeur négative) est jugé non conforme. Source : Décision 05/2022, tableau 2, ligne 10 (borne basse 0 : déficit).</t>
      </text>
    </comment>
    <comment ref="B31" authorId="0" shapeId="0">
      <text>
        <t>Statut = « Conforme » si la valeur est comprise entre la borne basse et la borne haute de l'onglet 13b (borne basse stricte pour RL2), « Non conforme » sinon, « En attente » si la valeur manque.</t>
      </text>
    </comment>
    <comment ref="B32" authorId="0" shapeId="0">
      <text>
        <t>Si l'excédent est négatif : déficit à combler (- excédent). Sinon max(0 ; excédent - 5 % × cotisations) : excédent à réduire. Les autres termes du ratio restent inchangés.</t>
      </text>
    </comment>
    <comment ref="B33" authorId="0" shapeId="0">
      <text>
        <t>Montant à combler rapporté à la variable RN de l'onglet 13c (valeur absolue), pour lire l'effort en pourcentage.</t>
      </text>
    </comment>
    <comment ref="B35" authorId="0" shapeId="0">
      <text>
        <t>Actifs admis dédiés à l'épargne / épargne des adhérents (41195100 + 41195200). Norme : au moins 1. Source : Décision 05/2022, section II, § 2.1.</t>
      </text>
    </comment>
    <comment ref="B36" authorId="0" shapeId="0">
      <text>
        <t>Statut = « Conforme » si la valeur est comprise entre la borne basse et la borne haute de l'onglet 13b (borne basse stricte pour RL2), « Non conforme » sinon, « En attente » si la valeur manque.</t>
      </text>
    </comment>
    <comment ref="B37" authorId="0" shapeId="0">
      <text>
        <t>Montant = max(0 ; épargne - actifs admis dédiés). Les autres termes du ratio restent inchangés.</t>
      </text>
    </comment>
    <comment ref="B38" authorId="0" shapeId="0">
      <text>
        <t>Montant à combler rapporté à la variable ACTEP de l'onglet 13c (valeur absolue), pour lire l'effort en pourcentage.</t>
      </text>
    </comment>
    <comment ref="B40" authorId="0" shapeId="0">
      <text>
        <t>(Valeurs réalisables + disponibles) / dettes à court terme. Norme : strictement supérieur à 1. Source : Décision 05/2022, section II, § 2.2 (strictement supérieur).</t>
      </text>
    </comment>
    <comment ref="B41" authorId="0" shapeId="0">
      <text>
        <t>Statut = « Conforme » si la valeur est comprise entre la borne basse et la borne haute de l'onglet 13b (borne basse stricte pour RL2), « Non conforme » sinon, « En attente » si la valeur manque.</t>
      </text>
    </comment>
    <comment ref="B42" authorId="0" shapeId="0">
      <text>
        <t>Montant = max(0 ; dettes à court terme - valeurs réalisables et disponibles) ; le texte exige un ratio strictement supérieur à 1. Les autres termes du ratio restent inchangés.</t>
      </text>
    </comment>
    <comment ref="B43" authorId="0" shapeId="0">
      <text>
        <t>Montant à combler rapporté à la variable RL2N de l'onglet 13c (valeur absolue), pour lire l'effort en pourcentage.</t>
      </text>
    </comment>
    <comment ref="B45" authorId="0" shapeId="0">
      <text>
        <t>Valeurs disponibles / dettes à court terme. Norme : au moins 1. Source : Décision 05/2022, section II, § 2.3.</t>
      </text>
    </comment>
    <comment ref="B46" authorId="0" shapeId="0">
      <text>
        <t>Statut = « Conforme » si la valeur est comprise entre la borne basse et la borne haute de l'onglet 13b (borne basse stricte pour RL2), « Non conforme » sinon, « En attente » si la valeur manque.</t>
      </text>
    </comment>
    <comment ref="B47" authorId="0" shapeId="0">
      <text>
        <t>Montant = max(0 ; dettes à court terme - disponibilités). Les autres termes du ratio restent inchangés.</t>
      </text>
    </comment>
    <comment ref="B48" authorId="0" shapeId="0">
      <text>
        <t>Montant à combler rapporté à la variable TRE de l'onglet 13c (valeur absolue), pour lire l'effort en pourcentage.</t>
      </text>
    </comment>
    <comment ref="B50" authorId="0" shapeId="0">
      <text>
        <t>Réserve de trésorerie constituée / un trimestre de sorties d'épargne et de frais. Norme : au moins 1 trimestre (règlement d'exécution 004/2022, art. 19). Source : Règlement d'exécution 004/2022, art. 19 al. 3.</t>
      </text>
    </comment>
    <comment ref="B51" authorId="0" shapeId="0">
      <text>
        <t>Statut = « Conforme » si la valeur est comprise entre la borne basse et la borne haute de l'onglet 13b (borne basse stricte pour RL2), « Non conforme » sinon, « En attente » si la valeur manque.</t>
      </text>
    </comment>
    <comment ref="B52" authorId="0" shapeId="0">
      <text>
        <t>Montant = max(0 ; un trimestre de sorties et de frais - réserve de trésorerie constituée). Les autres termes du ratio restent inchangés.</t>
      </text>
    </comment>
    <comment ref="B53" authorId="0" shapeId="0">
      <text>
        <t>Montant à combler rapporté à la variable RL4D de l'onglet 13c (valeur absolue), pour lire l'effort en pourcentage.</t>
      </text>
    </comment>
    <comment ref="B55" authorId="0" shapeId="0">
      <text>
        <t>Fonds propres / sorties d'épargne des deux derniers exercices. Norme : au moins 1 (règlement d'exécution 004/2022, art. 21). 2020 : exercice 2019 non reçu. Source : Règlement d'exécution 004/2022, art. 21.</t>
      </text>
    </comment>
    <comment ref="B56" authorId="0" shapeId="0">
      <text>
        <t>Statut = « Conforme » si la valeur est comprise entre la borne basse et la borne haute de l'onglet 13b (borne basse stricte pour RL2), « Non conforme » sinon, « En attente » si la valeur manque.</t>
      </text>
    </comment>
    <comment ref="B57" authorId="0" shapeId="0">
      <text>
        <t>Montant = max(0 ; sorties d'épargne de deux exercices - fonds propres). Les autres termes du ratio restent inchangés.</t>
      </text>
    </comment>
    <comment ref="B58" authorId="0" shapeId="0">
      <text>
        <t>Montant à combler rapporté à la variable SORT2 de l'onglet 13c (valeur absolue), pour lire l'effort en pourcentage.</t>
      </text>
    </comment>
    <comment ref="B60" authorId="0" shapeId="0">
      <text>
        <t>Charges de fonctionnement (612, 613, 618, 62 à 68) / cotisations acquises. Norme : au plus 20 %. Source : Décision 05/2022, tableau 1, ligne 2.</t>
      </text>
    </comment>
    <comment ref="B61" authorId="0" shapeId="0">
      <text>
        <t>Statut = « Conforme » si la valeur est comprise entre la borne basse et la borne haute de l'onglet 13b (borne basse stricte pour RL2), « Non conforme » sinon, « En attente » si la valeur manque.</t>
      </text>
    </comment>
    <comment ref="B62" authorId="0" shapeId="0">
      <text>
        <t>Montant = max(0 ; charges de fonctionnement - 20 % × cotisations). Les autres termes du ratio restent inchangés.</t>
      </text>
    </comment>
    <comment ref="B63" authorId="0" shapeId="0">
      <text>
        <t>Montant à combler rapporté à la variable CF de l'onglet 13c (valeur absolue), pour lire l'effort en pourcentage.</t>
      </text>
    </comment>
    <comment ref="B65" authorId="0" shapeId="0">
      <text>
        <t>Charges de fonctionnement brut (61 à 68, 691, 697) / total des produits. Norme : au plus 15 %. Source : Décision 05/2022, tableau 1, ligne 3.</t>
      </text>
    </comment>
    <comment ref="B66" authorId="0" shapeId="0">
      <text>
        <t>Statut = « Conforme » si la valeur est comprise entre la borne basse et la borne haute de l'onglet 13b (borne basse stricte pour RL2), « Non conforme » sinon, « En attente » si la valeur manque.</t>
      </text>
    </comment>
    <comment ref="B67" authorId="0" shapeId="0">
      <text>
        <t>Montant = max(0 ; charges brutes - 15 % × total des produits). Les autres termes du ratio restent inchangés.</t>
      </text>
    </comment>
    <comment ref="B68" authorId="0" shapeId="0">
      <text>
        <t>Montant à combler rapporté à la variable CFB de l'onglet 13c (valeur absolue), pour lire l'effort en pourcentage.</t>
      </text>
    </comment>
    <comment ref="B70" authorId="0" shapeId="0">
      <text>
        <t>Charges de fonctionnement / charges de prestations. Norme : au plus 15 %. Source : Décision 05/2022, tableau 2, ligne 5.</t>
      </text>
    </comment>
    <comment ref="B71" authorId="0" shapeId="0">
      <text>
        <t>Statut = « Conforme » si la valeur est comprise entre la borne basse et la borne haute de l'onglet 13b (borne basse stricte pour RL2), « Non conforme » sinon, « En attente » si la valeur manque.</t>
      </text>
    </comment>
    <comment ref="B72" authorId="0" shapeId="0">
      <text>
        <t>Montant = max(0 ; charges de fonctionnement - 15 % × prestations). Les autres termes du ratio restent inchangés.</t>
      </text>
    </comment>
    <comment ref="B73" authorId="0" shapeId="0">
      <text>
        <t>Montant à combler rapporté à la variable CF de l'onglet 13c (valeur absolue), pour lire l'effort en pourcentage.</t>
      </text>
    </comment>
  </commentList>
</comments>
</file>

<file path=xl/comments/comment6.xml><?xml version="1.0" encoding="utf-8"?>
<comments xmlns="http://schemas.openxmlformats.org/spreadsheetml/2006/main">
  <authors>
    <author>Adenka</author>
  </authors>
  <commentList>
    <comment ref="B6" authorId="0" shapeId="0">
      <text>
        <t>Variation des cotisations qui amène prestations / cotisations sur la borne la plus proche : prestations / borne - cotisations. Négatif : baisse des cotisations.</t>
      </text>
    </comment>
    <comment ref="B7" authorId="0" shapeId="0">
      <text>
        <t>Variation des cotisations qui amène charges / cotisations à 20 % : charges / 20 % - cotisations.</t>
      </text>
    </comment>
    <comment ref="B8" authorId="0" shapeId="0">
      <text>
        <t>Variation des produits (cotisations) qui amène charges brutes / produits à 15 % : charges brutes / 15 % - produits.</t>
      </text>
    </comment>
    <comment ref="B9" authorId="0" shapeId="0">
      <text>
        <t>Une cotisation de plus augmente aussi l'excédent : (5 % × cotisations - excédent) / (1 - 5 %). Déficit : variation égale au déficit.</t>
      </text>
    </comment>
    <comment ref="B11" authorId="0" shapeId="0">
      <text>
        <t>Taux = 5 % × (cotisations + variation) / cotisations : l'assiette (solde de base) et le recouvrement sont supposés inchangés.</t>
      </text>
    </comment>
    <comment ref="B14" authorId="0" shapeId="0">
      <text>
        <t>Prestations à ajouter pour atteindre 70 % des cotisations (montant à combler de l'onglet 13d).</t>
      </text>
    </comment>
    <comment ref="B15" authorId="0" shapeId="0">
      <text>
        <t>Prestations à ajouter pour que les charges ne dépassent pas 15 % des prestations : charges / 15 % - prestations.</t>
      </text>
    </comment>
    <comment ref="B16" authorId="0" shapeId="0">
      <text>
        <t>Prestations à ajouter pour ramener l'excédent à 5 % des cotisations : excédent - 5 % × cotisations. Déficit : montant négatif (prestations à réduire).</t>
      </text>
    </comment>
    <comment ref="B17" authorId="0" shapeId="0">
      <text>
        <t>Les prestations sont au dénominateur de ROB : variation qui donnerait 6 mois avec la réserve actuelle = réserve × 12 / 6 - prestations (négatif : levier inadapté).</t>
      </text>
    </comment>
    <comment ref="B20" authorId="0" shapeId="0">
      <text>
        <t>Réduction des charges de fonctionnement pour atteindre 20 % des cotisations.</t>
      </text>
    </comment>
    <comment ref="B21" authorId="0" shapeId="0">
      <text>
        <t>Réduction des charges brutes pour atteindre 15 % du total des produits.</t>
      </text>
    </comment>
    <comment ref="B22" authorId="0" shapeId="0">
      <text>
        <t>Réduction des charges de fonctionnement pour atteindre 15 % des prestations.</t>
      </text>
    </comment>
    <comment ref="B26" authorId="0" shapeId="0">
      <text>
        <t>Dotation à la réserve légale pour atteindre 6 mois de prestations (statuts, art. 90).</t>
      </text>
    </comment>
    <comment ref="B27" authorId="0" shapeId="0">
      <text>
        <t>Somme des excédents nets positifs des exercices antérieurs, à partir de 2020 (exercices antérieurs à 2020 non reçus). Les statuts (art. 90) assoient la dotation sur l'excédent net de l'exercice précédent.</t>
      </text>
    </comment>
    <comment ref="B30" authorId="0" shapeId="0">
      <text>
        <t>Réserve hypothétique = maximum entre la réserve comptabilisée et la dotation statutaire cumulée ; ROB = réserve × 12 / prestations. Les pertes reportées (129) ont en réalité absorbé une partie des excédents (affectations 2023 et 2024).</t>
      </text>
    </comment>
    <comment ref="B34" authorId="0" shapeId="0">
      <text>
        <t>Disponibilités à constituer par réallocation d'actifs longs pour une liquidité de 1.</t>
      </text>
    </comment>
    <comment ref="B35" authorId="0" shapeId="0">
      <text>
        <t>Actifs à affecter à l'épargne pour une couverture de 1.</t>
      </text>
    </comment>
    <comment ref="B36" authorId="0" shapeId="0">
      <text>
        <t>Valeurs réalisables ou disponibles à constituer pour un ratio de 1.</t>
      </text>
    </comment>
    <comment ref="B37" authorId="0" shapeId="0">
      <text>
        <t>Disponibilités à constituer pour un ratio de 1.</t>
      </text>
    </comment>
    <comment ref="B38" authorId="0" shapeId="0">
      <text>
        <t>Réserve de trésorerie d'un trimestre à constituer (règlement d'exécution 004/2022, art. 19).</t>
      </text>
    </comment>
    <comment ref="B39" authorId="0" shapeId="0">
      <text>
        <t>Emplois longs à céder (ou ressources longues à ajouter) pour un ratio de 1.</t>
      </text>
    </comment>
    <comment ref="B41" authorId="0" shapeId="0">
      <text>
        <t>Borne théorique : la classe 2 comprend le siège, les terrains et des créances longues difficilement mobilisables. Si même ce maximum laisse LIQ sous 1, la réallocation seule ne peut pas suffire.</t>
      </text>
    </comment>
    <comment ref="B55" authorId="0" shapeId="0">
      <text>
        <t>Fonds propres à apporter pour un ratio de 1, à dettes inchangées.</t>
      </text>
    </comment>
    <comment ref="B56" authorId="0" shapeId="0">
      <text>
        <t>Fonds propres à apporter pour couvrir les sorties d'épargne de deux exercices.</t>
      </text>
    </comment>
  </commentList>
</comments>
</file>

<file path=xl/comments/comment7.xml><?xml version="1.0" encoding="utf-8"?>
<comments xmlns="http://schemas.openxmlformats.org/spreadsheetml/2006/main">
  <authors>
    <author>Adenka</author>
  </authors>
  <commentList>
    <comment ref="J4" authorId="0" shapeId="0">
      <text>
        <t>2024 : moyenne de janvier à octobre seulement (données publiées jusqu'en octobre 2024).</t>
      </text>
    </comment>
    <comment ref="D26" authorId="0" shapeId="0">
      <text>
        <t>Poids = montant 2025 de la nature / total des natures associées à un poste IHPC. Les natures « Autres » ne sont pas détaillées dans les données : elles sont exclues de la pondération (hypothèse : même évolution de prix que la moyenne pondérée).</t>
      </text>
    </comment>
    <comment ref="A60" authorId="0" shapeId="0">
      <text>
        <t>Seuil = borne × cotisations / prestations - 1 : hausse des prestations, à cotisations inchangées, qui amène la sinistralité sur la borne. Les cotisations sont assises sur la solde de base, non indexée sur les prix de la santé.</t>
      </text>
    </comment>
  </commentList>
</comments>
</file>

<file path=xl/comments/comment8.xml><?xml version="1.0" encoding="utf-8"?>
<comments xmlns="http://schemas.openxmlformats.org/spreadsheetml/2006/main">
  <authors>
    <author>Adenka</author>
  </authors>
  <commentList>
    <comment ref="K5" authorId="0" shapeId="0">
      <text>
        <t>Moyenne arithmétique des quatre trimestres. Le tableau 17 publie ses propres moyennes annuelles (5 ans : 6,99 % en 2024 et 6,81 % en 2025 ; 10 ans : 6,70 % et 6,93 %), calculées par la BCEAO sur les montants ; elles peuvent différer légèrement.</t>
      </text>
    </comment>
    <comment ref="A14" authorId="0" shapeId="0">
      <text>
        <t>Produit = solde moyen non rémunéré × taux moyen des dépôts à terme de l'année ; un dépôt à terme reste en classe 5 : la liquidité au sens de LIQ n'est pas réduite. Les échéances doivent rester compatibles avec les sorties d'épargne.</t>
      </text>
    </comment>
    <comment ref="A20" authorId="0" shapeId="0">
      <text>
        <t>Moyenne arithmétique des cotations de clôture de l'année (colonne « Dernier » du fichier). Investing.com est un agrégateur de cotations du marché secondaire : source secondaire, utilisée en complément des taux publiés par la BCEAO (source primaire). 2021 : à partir du 25/03/2021 ; 2026 : jusqu'à la dernière cotation. Plusieurs cotations identiques d'un jour à l'autre traduisent l'absence de transaction.</t>
      </text>
    </comment>
    <comment ref="A23" authorId="0" shapeId="0">
      <text>
        <t>Lecture complémentaire de RL6 : la Décision n° 05/2022 compare le rendement au « taux moyen du marché » sans préciser le marché ; les dépôts à terme (BCEAO) restent la lecture principale, les obligations de l'État une lecture exigeante.</t>
      </text>
    </comment>
  </commentList>
</comments>
</file>

<file path=xl/comments/comment9.xml><?xml version="1.0" encoding="utf-8"?>
<comments xmlns="http://schemas.openxmlformats.org/spreadsheetml/2006/main">
  <authors>
    <author>Adenka</author>
  </authors>
  <commentList>
    <comment ref="A5" authorId="0" shapeId="0">
      <text>
        <t>Valeurs de l'exercice de référence (paramètre ANREF de l'onglet 13b) avant tout choc.</t>
      </text>
    </comment>
    <comment ref="A6" authorId="0" shapeId="0">
      <text>
        <t>Écritures : + cotisations, + produits, + excédent, + fonds propres, + trésorerie, + valeurs réalisables, + ressources longues (statuts, art. 17 et 93). Montant : paramètre CHOC de l'onglet 13b ; exercice : paramètre ANREF.</t>
      </text>
    </comment>
    <comment ref="A7" authorId="0" shapeId="0">
      <text>
        <t>Écritures : + prestations, - excédent, - fonds propres, - trésorerie, - valeurs réalisables, - ressources longues (statuts, art. 93). Montant : paramètre CHOC de l'onglet 13b ; exercice : paramètre ANREF.</t>
      </text>
    </comment>
    <comment ref="A8" authorId="0" shapeId="0">
      <text>
        <t>Écritures : - charges de fonctionnement, - charges brutes, + excédent, + fonds propres, + trésorerie, + ressources longues. Montant : paramètre CHOC de l'onglet 13b ; exercice : paramètre ANREF.</t>
      </text>
    </comment>
    <comment ref="A9" authorId="0" shapeId="0">
      <text>
        <t>Écriture : + réserve légale (111), par affectation interne aux fonds propres ; seul ROB change (statuts, art. 90). Montant : paramètre CHOC de l'onglet 13b ; exercice : paramètre ANREF.</t>
      </text>
    </comment>
    <comment ref="A10" authorId="0" shapeId="0">
      <text>
        <t>Écritures : - classe 2, + trésorerie, + actifs dédiés à l'épargne, + valeurs réalisables, + réserve de trésorerie (hypothèse : fonds désignés comme réserve) ; statuts, art. 85. Montant : paramètre CHOC de l'onglet 13b ; exercice : paramètre ANREF.</t>
      </text>
    </comment>
    <comment ref="A11" authorId="0" shapeId="0">
      <text>
        <t>Écritures : + fonds propres (dons et legs, statuts, art. 79 et 81), + trésorerie, + valeurs réalisables, + ressources longues. Montant : paramètre CHOC de l'onglet 13b ; exercice : paramètre ANREF.</t>
      </text>
    </comment>
    <comment ref="A14" authorId="0" shapeId="0">
      <text>
        <t>Distance à la norme = écart à la borne basse si la valeur est dessous, écart à la borne haute si elle est dessus, zéro si conforme. « Améliore » : la distance diminue.</t>
      </text>
    </comment>
    <comment ref="A26" authorId="0" shapeId="0">
      <text>
        <t>Démonstration : excédent RN = COT - PRE - CF + A. EXN ≤ 5 % impose A ≤ 5 % COT - COT + PRE + CF. Or PRE ≤ 80 % COT (SIN) et CF ≤ 15 % PRE ≤ 12 % COT (CUP). Donc A ≤ (5 % - 100 % + 80 % × 115 %) COT = -3,00 % des cotisations. Si A dépasse ce seuil, aucune combinaison des leviers L1 à L3 ne rend conformes ensemble SIN, CUP et EXN.</t>
      </text>
    </comment>
    <comment ref="A28" authorId="0" shapeId="0">
      <text>
        <t>Réserve visée = 6/12 × prestations ; excédent annuel maximal = 5 % × cotisations ; nombre d'exercices = rapport des deux (sans placement de la réserve).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_lisez_moi'!A1" TargetMode="External" Id="rId1"/><Relationship Type="http://schemas.openxmlformats.org/officeDocument/2006/relationships/hyperlink" Target="#'11_formules'!A1" TargetMode="External" Id="rId2"/><Relationship Type="http://schemas.openxmlformats.org/officeDocument/2006/relationships/hyperlink" Target="#'10_tableau_de_bord'!A1" TargetMode="External" Id="rId3"/><Relationship Type="http://schemas.openxmlformats.org/officeDocument/2006/relationships/hyperlink" Target="#'00_validite'!A1" TargetMode="External" Id="rId4"/><Relationship Type="http://schemas.openxmlformats.org/officeDocument/2006/relationships/hyperlink" Target="#'1_couverture'!A1" TargetMode="External" Id="rId5"/><Relationship Type="http://schemas.openxmlformats.org/officeDocument/2006/relationships/hyperlink" Target="#'1_aller_retour'!A1" TargetMode="External" Id="rId6"/><Relationship Type="http://schemas.openxmlformats.org/officeDocument/2006/relationships/hyperlink" Target="#'1_rejets'!A1" TargetMode="External" Id="rId7"/><Relationship Type="http://schemas.openxmlformats.org/officeDocument/2006/relationships/hyperlink" Target="#'2_effectifs_mensuels'!A1" TargetMode="External" Id="rId8"/><Relationship Type="http://schemas.openxmlformats.org/officeDocument/2006/relationships/hyperlink" Target="#'2_entrees_sorties'!A1" TargetMode="External" Id="rId9"/><Relationship Type="http://schemas.openxmlformats.org/officeDocument/2006/relationships/hyperlink" Target="#'2_taux_936'!A1" TargetMode="External" Id="rId10"/><Relationship Type="http://schemas.openxmlformats.org/officeDocument/2006/relationships/hyperlink" Target="#'2_rapport_8Z6_936'!A1" TargetMode="External" Id="rId11"/><Relationship Type="http://schemas.openxmlformats.org/officeDocument/2006/relationships/hyperlink" Target="#'2_anciennete'!A1" TargetMode="External" Id="rId12"/><Relationship Type="http://schemas.openxmlformats.org/officeDocument/2006/relationships/hyperlink" Target="#'2_cotisations'!A1" TargetMode="External" Id="rId13"/><Relationship Type="http://schemas.openxmlformats.org/officeDocument/2006/relationships/hyperlink" Target="#'3_sinistralite_resultat'!A1" TargetMode="External" Id="rId14"/><Relationship Type="http://schemas.openxmlformats.org/officeDocument/2006/relationships/hyperlink" Target="#'3_prestations_maladie_nature'!A1" TargetMode="External" Id="rId15"/><Relationship Type="http://schemas.openxmlformats.org/officeDocument/2006/relationships/hyperlink" Target="#'4_bilan'!A1" TargetMode="External" Id="rId16"/><Relationship Type="http://schemas.openxmlformats.org/officeDocument/2006/relationships/hyperlink" Target="#'4_pep_versements'!A1" TargetMode="External" Id="rId17"/><Relationship Type="http://schemas.openxmlformats.org/officeDocument/2006/relationships/hyperlink" Target="#'4_efc_versements'!A1" TargetMode="External" Id="rId18"/><Relationship Type="http://schemas.openxmlformats.org/officeDocument/2006/relationships/hyperlink" Target="#'4_poste_998_references'!A1" TargetMode="External" Id="rId19"/><Relationship Type="http://schemas.openxmlformats.org/officeDocument/2006/relationships/hyperlink" Target="#'5_grenier_encours'!A1" TargetMode="External" Id="rId20"/><Relationship Type="http://schemas.openxmlformats.org/officeDocument/2006/relationships/hyperlink" Target="#'5_grenier_retards'!A1" TargetMode="External" Id="rId21"/><Relationship Type="http://schemas.openxmlformats.org/officeDocument/2006/relationships/hyperlink" Target="#'5_grenier_par_historique'!A1" TargetMode="External" Id="rId22"/><Relationship Type="http://schemas.openxmlformats.org/officeDocument/2006/relationships/hyperlink" Target="#'5_grenier_production'!A1" TargetMode="External" Id="rId23"/><Relationship Type="http://schemas.openxmlformats.org/officeDocument/2006/relationships/hyperlink" Target="#'5_grenier_echeances_precomptes'!A1" TargetMode="External" Id="rId24"/><Relationship Type="http://schemas.openxmlformats.org/officeDocument/2006/relationships/hyperlink" Target="#'6_cgrae'!A1" TargetMode="External" Id="rId25"/><Relationship Type="http://schemas.openxmlformats.org/officeDocument/2006/relationships/hyperlink" Target="#'6_produits_annexes'!A1" TargetMode="External" Id="rId26"/><Relationship Type="http://schemas.openxmlformats.org/officeDocument/2006/relationships/hyperlink" Target="#'7_rendement_placements'!A1" TargetMode="External" Id="rId27"/><Relationship Type="http://schemas.openxmlformats.org/officeDocument/2006/relationships/hyperlink" Target="#'8_inflation_reel'!A1" TargetMode="External" Id="rId28"/><Relationship Type="http://schemas.openxmlformats.org/officeDocument/2006/relationships/hyperlink" Target="#'8_tcam'!A1" TargetMode="External" Id="rId29"/><Relationship Type="http://schemas.openxmlformats.org/officeDocument/2006/relationships/hyperlink" Target="#'8_tendances'!A1" TargetMode="External" Id="rId30"/><Relationship Type="http://schemas.openxmlformats.org/officeDocument/2006/relationships/hyperlink" Target="#'8_sensibilite_retraits'!A1" TargetMode="External" Id="rId31"/><Relationship Type="http://schemas.openxmlformats.org/officeDocument/2006/relationships/hyperlink" Target="#'8_sensibilite_pertes_grenier'!A1" TargetMode="External" Id="rId32"/><Relationship Type="http://schemas.openxmlformats.org/officeDocument/2006/relationships/hyperlink" Target="#'8_provisions_mois'!A1" TargetMode="External" Id="rId33"/><Relationship Type="http://schemas.openxmlformats.org/officeDocument/2006/relationships/hyperlink" Target="#'8_tables_mortalite'!A1" TargetMode="External" Id="rId34"/><Relationship Type="http://schemas.openxmlformats.org/officeDocument/2006/relationships/hyperlink" Target="#'10_ratios'!A1" TargetMode="External" Id="rId35"/><Relationship Type="http://schemas.openxmlformats.org/officeDocument/2006/relationships/hyperlink" Target="#'10_ratios_detail'!A1" TargetMode="External" Id="rId36"/><Relationship Type="http://schemas.openxmlformats.org/officeDocument/2006/relationships/hyperlink" Target="#'10_classement_comptes'!A1" TargetMode="External" Id="rId37"/><Relationship Type="http://schemas.openxmlformats.org/officeDocument/2006/relationships/hyperlink" Target="#'10_marge_solvabilite'!A1" TargetMode="External" Id="rId38"/><Relationship Type="http://schemas.openxmlformats.org/officeDocument/2006/relationships/hyperlink" Target="#'10_affectation_excedents'!A1" TargetMode="External" Id="rId39"/><Relationship Type="http://schemas.openxmlformats.org/officeDocument/2006/relationships/hyperlink" Target="#'10_excedent_par_risque'!A1" TargetMode="External" Id="rId40"/><Relationship Type="http://schemas.openxmlformats.org/officeDocument/2006/relationships/hyperlink" Target="#'10_controle_pcms'!A1" TargetMode="External" Id="rId41"/><Relationship Type="http://schemas.openxmlformats.org/officeDocument/2006/relationships/hyperlink" Target="#'10_actif_mobilisation'!A1" TargetMode="External" Id="rId42"/><Relationship Type="http://schemas.openxmlformats.org/officeDocument/2006/relationships/hyperlink" Target="#'10_agregats'!A1" TargetMode="External" Id="rId43"/><Relationship Type="http://schemas.openxmlformats.org/officeDocument/2006/relationships/hyperlink" Target="#'12_provisions_inventaire'!A1" TargetMode="External" Id="rId44"/><Relationship Type="http://schemas.openxmlformats.org/officeDocument/2006/relationships/hyperlink" Target="#'12_psap_rapprochement'!A1" TargetMode="External" Id="rId45"/><Relationship Type="http://schemas.openxmlformats.org/officeDocument/2006/relationships/hyperlink" Target="#'12_grenier_tranches'!A1" TargetMode="External" Id="rId46"/><Relationship Type="http://schemas.openxmlformats.org/officeDocument/2006/relationships/hyperlink" Target="#'12_gna_47111106'!A1" TargetMode="External" Id="rId47"/><Relationship Type="http://schemas.openxmlformats.org/officeDocument/2006/relationships/hyperlink" Target="#'12_pidr_196'!A1" TargetMode="External" Id="rId48"/><Relationship Type="http://schemas.openxmlformats.org/officeDocument/2006/relationships/hyperlink" Target="#'12_sinistralite_variantes'!A1" TargetMode="External" Id="rId49"/><Relationship Type="http://schemas.openxmlformats.org/officeDocument/2006/relationships/hyperlink" Target="#'9_tracabilite'!A1" TargetMode="External" Id="rId50"/><Relationship Type="http://schemas.openxmlformats.org/officeDocument/2006/relationships/hyperlink" Target="#'9_figures_tableaux'!A1" TargetMode="External" Id="rId51"/><Relationship Type="http://schemas.openxmlformats.org/officeDocument/2006/relationships/hyperlink" Target="#'14a_pidr_parametres'!A1" TargetMode="External" Id="rId52"/><Relationship Type="http://schemas.openxmlformats.org/officeDocument/2006/relationships/hyperlink" Target="#'14t_table_cima_f'!A1" TargetMode="External" Id="rId53"/><Relationship Type="http://schemas.openxmlformats.org/officeDocument/2006/relationships/hyperlink" Target="#'14b_pidr_individuel'!A1" TargetMode="External" Id="rId54"/><Relationship Type="http://schemas.openxmlformats.org/officeDocument/2006/relationships/hyperlink" Target="#'14c_pidr_synthese'!A1" TargetMode="External" Id="rId55"/><Relationship Type="http://schemas.openxmlformats.org/officeDocument/2006/relationships/hyperlink" Target="#'15_mortalite_sinistralite'!A1" TargetMode="External" Id="rId56"/><Relationship Type="http://schemas.openxmlformats.org/officeDocument/2006/relationships/hyperlink" Target="#'16_efc_taux_servi'!A1" TargetMode="External" Id="rId57"/><Relationship Type="http://schemas.openxmlformats.org/officeDocument/2006/relationships/hyperlink" Target="#'17_controles_croises'!A1" TargetMode="External" Id="rId58"/><Relationship Type="http://schemas.openxmlformats.org/officeDocument/2006/relationships/hyperlink" Target="#'18a_psap_maladie_delais'!A1" TargetMode="External" Id="rId59"/><Relationship Type="http://schemas.openxmlformats.org/officeDocument/2006/relationships/hyperlink" Target="#'18b_psap_maladie_tardives'!A1" TargetMode="External" Id="rId60"/><Relationship Type="http://schemas.openxmlformats.org/officeDocument/2006/relationships/hyperlink" Target="#'18c_psap_maladie_estimation'!A1" TargetMode="External" Id="rId61"/><Relationship Type="http://schemas.openxmlformats.org/officeDocument/2006/relationships/hyperlink" Target="#'19a_deces_etats_fin_annee'!A1" TargetMode="External" Id="rId62"/><Relationship Type="http://schemas.openxmlformats.org/officeDocument/2006/relationships/hyperlink" Target="#'19b_deces_dette_et_provision'!A1" TargetMode="External" Id="rId63"/><Relationship Type="http://schemas.openxmlformats.org/officeDocument/2006/relationships/hyperlink" Target="#'19c_deces_declares_tard'!A1" TargetMode="External" Id="rId64"/><Relationship Type="http://schemas.openxmlformats.org/officeDocument/2006/relationships/hyperlink" Target="#'20_risques_courts'!A1" TargetMode="External" Id="rId65"/><Relationship Type="http://schemas.openxmlformats.org/officeDocument/2006/relationships/hyperlink" Target="#'21_epargne_interets'!A1" TargetMode="External" Id="rId66"/><Relationship Type="http://schemas.openxmlformats.org/officeDocument/2006/relationships/hyperlink" Target="#'22_sante_retraites'!A1" TargetMode="External" Id="rId67"/><Relationship Type="http://schemas.openxmlformats.org/officeDocument/2006/relationships/hyperlink" Target="#'23_grenier_depreciation'!A1" TargetMode="External" Id="rId68"/><Relationship Type="http://schemas.openxmlformats.org/officeDocument/2006/relationships/hyperlink" Target="#'24a_ecoulement_epargne'!A1" TargetMode="External" Id="rId69"/><Relationship Type="http://schemas.openxmlformats.org/officeDocument/2006/relationships/hyperlink" Target="#'24b_ecarts_liquidite'!A1" TargetMode="External" Id="rId70"/><Relationship Type="http://schemas.openxmlformats.org/officeDocument/2006/relationships/hyperlink" Target="#'24c_ecarts_par_annee'!A1" TargetMode="External" Id="rId71"/><Relationship Type="http://schemas.openxmlformats.org/officeDocument/2006/relationships/hyperlink" Target="#'25_projection_equilibre'!A1" TargetMode="External" Id="rId72"/><Relationship Type="http://schemas.openxmlformats.org/officeDocument/2006/relationships/hyperlink" Target="#'13a_methode'!A1" TargetMode="External" Id="rId73"/><Relationship Type="http://schemas.openxmlformats.org/officeDocument/2006/relationships/hyperlink" Target="#'13b_parametres'!A1" TargetMode="External" Id="rId74"/><Relationship Type="http://schemas.openxmlformats.org/officeDocument/2006/relationships/hyperlink" Target="#'13c_donnees'!A1" TargetMode="External" Id="rId75"/><Relationship Type="http://schemas.openxmlformats.org/officeDocument/2006/relationships/hyperlink" Target="#'13d_ecarts'!A1" TargetMode="External" Id="rId76"/><Relationship Type="http://schemas.openxmlformats.org/officeDocument/2006/relationships/hyperlink" Target="#'13e_facteurs'!A1" TargetMode="External" Id="rId77"/><Relationship Type="http://schemas.openxmlformats.org/officeDocument/2006/relationships/hyperlink" Target="#'13f_leviers'!A1" TargetMode="External" Id="rId78"/><Relationship Type="http://schemas.openxmlformats.org/officeDocument/2006/relationships/hyperlink" Target="#'13g_inflation'!A1" TargetMode="External" Id="rId79"/><Relationship Type="http://schemas.openxmlformats.org/officeDocument/2006/relationships/hyperlink" Target="#'13i_rendement'!A1" TargetMode="External" Id="rId80"/><Relationship Type="http://schemas.openxmlformats.org/officeDocument/2006/relationships/hyperlink" Target="#'13h_synthese'!A1" TargetMode="External" Id="rId81"/></Relationships>
</file>

<file path=xl/worksheets/_rels/sheet5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8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outlinePr summaryBelow="1" summaryRight="1"/>
    <pageSetUpPr/>
  </sheetPr>
  <dimension ref="A1:H90"/>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40" customWidth="1" min="3" max="3"/>
    <col width="46" customWidth="1" min="4" max="4"/>
    <col width="46" customWidth="1" min="5" max="5"/>
    <col width="40" customWidth="1" min="6" max="6"/>
    <col width="34" customWidth="1" min="7" max="7"/>
    <col width="30" customWidth="1" min="8" max="8"/>
  </cols>
  <sheetData>
    <row r="1">
      <c r="A1" s="1" t="inlineStr">
        <is>
          <t>Mode d'emploi du classeur des calculs</t>
        </is>
      </c>
    </row>
    <row r="3" ht="30" customHeight="1">
      <c r="A3" s="2" t="inlineStr">
        <is>
          <t>Ce classeur contient tous les calculs du rapport. Chaque onglet commence par une explication en mots simples ou, pour les onglets à formules, est expliqué ci-dessous.</t>
        </is>
      </c>
    </row>
    <row r="4" ht="30" customHeight="1">
      <c r="A4" s="2" t="inlineStr">
        <is>
          <t>Codes couleur : en-tête noir = titres de colonnes ; première colonne grise = libellé de la ligne ; cellule orange = paramètre modifiable (le reste se recalcule) ; « Non conforme » en rouge, « Conforme » en bleu nuit.</t>
        </is>
      </c>
    </row>
    <row r="5" ht="30" customHeight="1">
      <c r="A5" s="2" t="inlineStr">
        <is>
          <t>Montants en FCFA exacts sans décimales ; pourcentages à deux décimales. 2026 = du 01/01 au 31/08/2026 (balance provisoire).</t>
        </is>
      </c>
    </row>
    <row r="6" ht="30" customHeight="1">
      <c r="A6" s="2" t="inlineStr">
        <is>
          <t>Pour retrouver l'origine d'un chiffre du rapport : onglet 9_tracabilite (chiffre, diapositive, valeur exacte), puis l'onglet cité dans la source de la diapositive.</t>
        </is>
      </c>
    </row>
    <row r="7" ht="30" customHeight="1">
      <c r="A7" s="2" t="inlineStr">
        <is>
          <t>Avant de reprendre un chiffre, lire sa ligne « Valable pour » (onglet 00_validite) : elle dit ce que le chiffre couvre et ne couvre pas.</t>
        </is>
      </c>
    </row>
    <row r="9">
      <c r="A9" s="3" t="inlineStr">
        <is>
          <t>Onglet</t>
        </is>
      </c>
      <c r="B9" s="3" t="inlineStr">
        <is>
          <t>À quoi sert cet onglet</t>
        </is>
      </c>
      <c r="C9" s="3" t="inlineStr">
        <is>
          <t>D'où viennent les chiffres</t>
        </is>
      </c>
      <c r="D9" s="3" t="inlineStr">
        <is>
          <t>Comment le calcul est fait</t>
        </is>
      </c>
      <c r="E9" s="3" t="inlineStr">
        <is>
          <t>Comment lire le résultat</t>
        </is>
      </c>
      <c r="F9" s="3" t="inlineStr">
        <is>
          <t>Valable pour</t>
        </is>
      </c>
      <c r="G9" s="3" t="inlineStr">
        <is>
          <t>Limites</t>
        </is>
      </c>
    </row>
    <row r="10" ht="30" customHeight="1">
      <c r="A10" s="4" t="inlineStr">
        <is>
          <t>0_lisez_moi</t>
        </is>
      </c>
      <c r="B10" s="2" t="inlineStr"/>
      <c r="C10" s="2" t="inlineStr"/>
      <c r="D10" s="2" t="inlineStr"/>
      <c r="E10" s="2" t="inlineStr"/>
      <c r="F10" s="2" t="inlineStr"/>
      <c r="G10" s="2" t="inlineStr"/>
    </row>
    <row r="11" ht="39" customHeight="1">
      <c r="A11" s="4" t="inlineStr">
        <is>
          <t>11_formules</t>
        </is>
      </c>
      <c r="B11" s="2" t="inlineStr">
        <is>
          <t>Registre de toutes les formules du rapport : méthode du FPPN, méthode réglementaire, écart, risques, source.</t>
        </is>
      </c>
      <c r="C11" s="2" t="inlineStr">
        <is>
          <t>Voir l'en-tête de l'onglet</t>
        </is>
      </c>
      <c r="D11" s="2" t="inlineStr">
        <is>
          <t>Voir l'en-tête de l'onglet et les commentaires des cellules</t>
        </is>
      </c>
      <c r="E11" s="2" t="inlineStr">
        <is>
          <t>« Non communiquée » en rouge : le FPPN n'a pas transmis sa méthode.</t>
        </is>
      </c>
      <c r="F11" s="2" t="inlineStr">
        <is>
          <t>Voir l'onglet 00_validite</t>
        </is>
      </c>
      <c r="G11" s="2" t="inlineStr"/>
    </row>
    <row r="12" ht="30" customHeight="1">
      <c r="A12" s="4" t="inlineStr">
        <is>
          <t>10_tableau_de_bord</t>
        </is>
      </c>
      <c r="B12" s="2" t="inlineStr">
        <is>
          <t>Tous les ratios prudentiels, leur norme et leur statut chaque année.</t>
        </is>
      </c>
      <c r="C12" s="2" t="inlineStr">
        <is>
          <t>Voir l'en-tête de l'onglet</t>
        </is>
      </c>
      <c r="D12" s="2" t="inlineStr">
        <is>
          <t>Voir l'en-tête de l'onglet et les commentaires des cellules</t>
        </is>
      </c>
      <c r="E12" s="2" t="inlineStr">
        <is>
          <t>Rouge : non conforme ; bleu : conforme.</t>
        </is>
      </c>
      <c r="F12" s="2" t="inlineStr">
        <is>
          <t>Voir l'onglet 00_validite</t>
        </is>
      </c>
      <c r="G12" s="2" t="inlineStr"/>
    </row>
    <row r="13" ht="39" customHeight="1">
      <c r="A13" s="4" t="inlineStr">
        <is>
          <t>00_validite</t>
        </is>
      </c>
      <c r="B13" s="2" t="inlineStr">
        <is>
          <t>Pour chaque diapositive du rapport, ce que le résultat couvre et ne couvre pas (fichiers, période, population).</t>
        </is>
      </c>
      <c r="C13" s="2" t="inlineStr">
        <is>
          <t>Voir l'en-tête de l'onglet</t>
        </is>
      </c>
      <c r="D13" s="2" t="inlineStr">
        <is>
          <t>Voir l'en-tête de l'onglet et les commentaires des cellules</t>
        </is>
      </c>
      <c r="E13" s="2" t="inlineStr">
        <is>
          <t>Toujours lire cette ligne avant de reprendre un chiffre.</t>
        </is>
      </c>
      <c r="F13" s="2" t="inlineStr">
        <is>
          <t>Voir l'onglet 00_validite</t>
        </is>
      </c>
      <c r="G13" s="2" t="inlineStr"/>
    </row>
    <row r="14" ht="91" customHeight="1">
      <c r="A14" s="4" t="inlineStr">
        <is>
          <t>1_couverture</t>
        </is>
      </c>
      <c r="B14" s="2" t="inlineStr">
        <is>
          <t>Dire, pour chaque fichier de précompte (poste et sens aller ou retour), combien de mois ont été reçus, avec combien de lignes et quel montant.</t>
        </is>
      </c>
      <c r="C14" s="2" t="inlineStr">
        <is>
          <t>Fichiers de précomptes reçus le 15/10/2026 : dossiers « FPPN-SOLDE » (postes 936 maladie, 8Z6 décès, 998 PEP, 870 EFC, 9X4 Grenier, 8Z7 MEDOC), « FPPN-CGRAE » (retraités) et « FPPN-GNA » (poste 9W3) ; liste complète dans l'annexe « Fichiers sources » du rapport.</t>
        </is>
      </c>
      <c r="D14" s="2" t="inlineStr">
        <is>
          <t>Mois reçus = nombre de mois différents couverts par au moins un fichier lisible. Lignes = nombre de lignes d'agents. Montant = somme de la colonne montant. Les valeurs sont calculées par les scripts de la mission et collées ici ; la formule de chaque colonne est donnée dans « Comment le calcul est fait ».</t>
        </is>
      </c>
      <c r="E14" s="2" t="inlineStr">
        <is>
          <t>Un poste avec peu de mois reçus ne permet pas de conclusion sur toute la période. Le sens « aller » est la demande du FPPN, le sens « retour » ce que la Solde ou la CGRAE a réellement précompté.</t>
        </is>
      </c>
      <c r="F14" s="2" t="inlineStr">
        <is>
          <t>Fichiers reçus le 15/10/2026, janvier 2020 à août 2026 selon le poste.</t>
        </is>
      </c>
      <c r="G14" s="2" t="inlineStr">
        <is>
          <t>Un mois reçu peut être incomplet si le fichier l'est.</t>
        </is>
      </c>
    </row>
    <row r="15" ht="104" customHeight="1">
      <c r="A15" s="4" t="inlineStr">
        <is>
          <t>1_aller_retour</t>
        </is>
      </c>
      <c r="B15" s="2" t="inlineStr">
        <is>
          <t>Comparer ce que le FPPN a demandé (fichier aller) et ce qui a été précompté (fichier retour), poste par poste.</t>
        </is>
      </c>
      <c r="C15" s="2" t="inlineStr">
        <is>
          <t>Fichiers de précomptes reçus le 15/10/2026 : dossiers « FPPN-SOLDE » (postes 936 maladie, 8Z6 décès, 998 PEP, 870 EFC, 9X4 Grenier, 8Z7 MEDOC), « FPPN-CGRAE » (retraités) et « FPPN-GNA » (poste 9W3) ; liste complète dans l'annexe « Fichiers sources » du rapport.</t>
        </is>
      </c>
      <c r="D15" s="2" t="inlineStr">
        <is>
          <t>Taux de recouvrement = montant retour / montant aller, sur les mois où les deux fichiers existent. Taux minimum et maximum : le plus faible et le plus fort des taux mensuels. Les valeurs sont calculées par les scripts de la mission et collées ici ; la formule de chaque colonne est donnée dans « Comment le calcul est fait ».</t>
        </is>
      </c>
      <c r="E15" s="2" t="inlineStr">
        <is>
          <t>Un taux de 97 % veut dire que 3 % de ce qui était demandé n'a pas été précompté.</t>
        </is>
      </c>
      <c r="F15" s="2" t="inlineStr">
        <is>
          <t>Mois communs aux fichiers aller et retour de chaque poste.</t>
        </is>
      </c>
      <c r="G15" s="2" t="inlineStr">
        <is>
          <t>Comparaison des totaux du mois, pas agent par agent.</t>
        </is>
      </c>
    </row>
    <row r="16" ht="78" customHeight="1">
      <c r="A16" s="4" t="inlineStr">
        <is>
          <t>1_rejets</t>
        </is>
      </c>
      <c r="B16" s="2" t="inlineStr">
        <is>
          <t>Lister les lignes écartées des calculs et pourquoi (ligne de total, montant doublé, colonne illisible).</t>
        </is>
      </c>
      <c r="C16" s="2" t="inlineStr">
        <is>
          <t>Fichiers de précomptes reçus le 15/10/2026 : dossiers « FPPN-SOLDE » (postes 936 maladie, 8Z6 décès, 998 PEP, 870 EFC, 9X4 Grenier, 8Z7 MEDOC), « FPPN-CGRAE » (retraités) et « FPPN-GNA » (poste 9W3) ; liste complète dans l'annexe « Fichiers sources » du rapport.</t>
        </is>
      </c>
      <c r="D16" s="2" t="inlineStr">
        <is>
          <t>Chaque ligne écartée est comptée par motif. Les valeurs sont calculées par les scripts de la mission et collées ici ; la formule de chaque colonne est donnée dans « Comment le calcul est fait ».</t>
        </is>
      </c>
      <c r="E16" s="2" t="inlineStr">
        <is>
          <t>Les lignes écartées ne sont pas des pertes : ce sont des lignes qui auraient faussé les totaux.</t>
        </is>
      </c>
      <c r="F16" s="2" t="inlineStr">
        <is>
          <t>Fichiers reçus le 15/10/2026.</t>
        </is>
      </c>
      <c r="G16" s="2" t="inlineStr">
        <is>
          <t>Aucune.</t>
        </is>
      </c>
    </row>
    <row r="17" ht="78" customHeight="1">
      <c r="A17" s="4" t="inlineStr">
        <is>
          <t>2_effectifs_mensuels</t>
        </is>
      </c>
      <c r="B17" s="2" t="inlineStr">
        <is>
          <t>Compter, mois par mois, les policiers en activité qui cotisent (poste 936) et les retraités précomptés par la CGRAE.</t>
        </is>
      </c>
      <c r="C17" s="2" t="inlineStr">
        <is>
          <t>Fichiers de précomptes reçus le 15/10/2026 : dossiers « FPPN-SOLDE » (postes 936 maladie, 8Z6 décès, 998 PEP, 870 EFC, 9X4 Grenier, 8Z7 MEDOC), « FPPN-CGRAE » (retraités) et « FPPN-GNA » (poste 9W3) ; liste complète dans l'annexe « Fichiers sources » du rapport.</t>
        </is>
      </c>
      <c r="D17" s="2" t="inlineStr">
        <is>
          <t>Cotisants = nombre de matricules différents précomptés dans le mois. Montant = somme précomptée. Les valeurs sont calculées par les scripts de la mission et collées ici ; la formule de chaque colonne est donnée dans « Comment le calcul est fait ».</t>
        </is>
      </c>
      <c r="E17" s="2" t="inlineStr">
        <is>
          <t>Une baisse brutale un mois isolé signale souvent un fichier incomplet (décembre 2024 est vide).</t>
        </is>
      </c>
      <c r="F17" s="2" t="inlineStr">
        <is>
          <t>Janvier 2024 à septembre 2026 (actifs), février 2024 à août 2026 (retraités).</t>
        </is>
      </c>
      <c r="G17" s="2" t="inlineStr">
        <is>
          <t>Pas d'âge ni de sexe dans ces fichiers.</t>
        </is>
      </c>
    </row>
    <row r="18" ht="78" customHeight="1">
      <c r="A18" s="4" t="inlineStr">
        <is>
          <t>2_entrees_sorties</t>
        </is>
      </c>
      <c r="B18" s="2" t="inlineStr">
        <is>
          <t>Compter les agents qui apparaissent (entrées) et disparaissent (sorties) des précomptes maladie d'un mois à l'autre.</t>
        </is>
      </c>
      <c r="C18" s="2" t="inlineStr">
        <is>
          <t>Fichiers de précomptes reçus le 15/10/2026 : dossiers « FPPN-SOLDE » (postes 936 maladie, 8Z6 décès, 998 PEP, 870 EFC, 9X4 Grenier, 8Z7 MEDOC), « FPPN-CGRAE » (retraités) et « FPPN-GNA » (poste 9W3) ; liste complète dans l'annexe « Fichiers sources » du rapport.</t>
        </is>
      </c>
      <c r="D18" s="2" t="inlineStr">
        <is>
          <t>Entrées = matricules présents ce mois et absents le mois précédent ; sorties = l'inverse. Les valeurs sont calculées par les scripts de la mission et collées ici ; la formule de chaque colonne est donnée dans « Comment le calcul est fait ».</t>
        </is>
      </c>
      <c r="E18" s="2" t="inlineStr">
        <is>
          <t>Les entrées de juillet correspondent aux promotions de recrues.</t>
        </is>
      </c>
      <c r="F18" s="2" t="inlineStr">
        <is>
          <t>Février 2024 à septembre 2026.</t>
        </is>
      </c>
      <c r="G18" s="2" t="inlineStr">
        <is>
          <t>Ne distingue pas retraite, décès, radiation ou absence temporaire.</t>
        </is>
      </c>
    </row>
    <row r="19" ht="78" customHeight="1">
      <c r="A19" s="4" t="inlineStr">
        <is>
          <t>2_taux_936</t>
        </is>
      </c>
      <c r="B19" s="2" t="inlineStr">
        <is>
          <t>Vérifier le taux du précompte maladie : montant précompté / salaire de base de l'agent.</t>
        </is>
      </c>
      <c r="C19" s="2" t="inlineStr">
        <is>
          <t>Fichiers retour du poste 936 qui contiennent le salaire de base (huit mois de 2024 et 2025).</t>
        </is>
      </c>
      <c r="D19" s="2" t="inlineStr">
        <is>
          <t>Pour chaque ligne : taux = précompte / salaire de base ; les lignes sont regroupées par tranche de taux. Les valeurs sont calculées par les scripts de la mission et collées ici ; la formule de chaque colonne est donnée dans « Comment le calcul est fait ».</t>
        </is>
      </c>
      <c r="E19" s="2" t="inlineStr">
        <is>
          <t>La grande majorité des lignes est à 3,77 %, la part maladie du taux de 5 %.</t>
        </is>
      </c>
      <c r="F19" s="2" t="inlineStr">
        <is>
          <t>Les huit mois détaillés.</t>
        </is>
      </c>
      <c r="G19" s="2" t="inlineStr">
        <is>
          <t>Mois sans salaire de base non mesurés.</t>
        </is>
      </c>
    </row>
    <row r="20" ht="78" customHeight="1">
      <c r="A20" s="4" t="inlineStr">
        <is>
          <t>2_rapport_8Z6_936</t>
        </is>
      </c>
      <c r="B20" s="2" t="inlineStr">
        <is>
          <t>Rapporter le précompte décès (8Z6) au précompte maladie (936) pour vérifier la clé 1,23 % / 3,77 %.</t>
        </is>
      </c>
      <c r="C20" s="2" t="inlineStr">
        <is>
          <t>Fichiers de précomptes reçus le 15/10/2026 : dossiers « FPPN-SOLDE » (postes 936 maladie, 8Z6 décès, 998 PEP, 870 EFC, 9X4 Grenier, 8Z7 MEDOC), « FPPN-CGRAE » (retraités) et « FPPN-GNA » (poste 9W3) ; liste complète dans l'annexe « Fichiers sources » du rapport.</t>
        </is>
      </c>
      <c r="D20" s="2" t="inlineStr">
        <is>
          <t>R = montant 8Z6 de l'année / montant 936 de l'année. La clé attendue est 1,23 / 3,77 = 32,63 %. Les valeurs sont calculées par les scripts de la mission et collées ici ; la formule de chaque colonne est donnée dans « Comment le calcul est fait ».</t>
        </is>
      </c>
      <c r="E20" s="2" t="inlineStr">
        <is>
          <t>Un rapport proche de 32,63 % confirme le taux décès de 1,23 %.</t>
        </is>
      </c>
      <c r="F20" s="2" t="inlineStr">
        <is>
          <t>Mois où les deux postes sont reçus, mars 2024 à septembre 2026.</t>
        </is>
      </c>
      <c r="G20" s="2" t="inlineStr">
        <is>
          <t>Janvier et février 2024 suivent une autre clé.</t>
        </is>
      </c>
    </row>
    <row r="21" ht="78" customHeight="1">
      <c r="A21" s="4" t="inlineStr">
        <is>
          <t>2_anciennete</t>
        </is>
      </c>
      <c r="B21" s="2" t="inlineStr">
        <is>
          <t>Répartir les agents cotisants par ancienneté de service.</t>
        </is>
      </c>
      <c r="C21" s="2" t="inlineStr">
        <is>
          <t>Fichiers retour du poste 936 de janvier 2025 (date d'entrée de l'agent).</t>
        </is>
      </c>
      <c r="D21" s="2" t="inlineStr">
        <is>
          <t>Ancienneté = janvier 2025 - date d'entrée, regroupée par tranches de cinq ans. Les valeurs sont calculées par les scripts de la mission et collées ici ; la formule de chaque colonne est donnée dans « Comment le calcul est fait ».</t>
        </is>
      </c>
      <c r="E21" s="2" t="inlineStr">
        <is>
          <t>Une population jeune cotise longtemps avant de partir à la retraite.</t>
        </is>
      </c>
      <c r="F21" s="2" t="inlineStr">
        <is>
          <t>Agents précomptés en janvier 2025.</t>
        </is>
      </c>
      <c r="G21" s="2" t="inlineStr">
        <is>
          <t>L'ancienneté ne remplace pas l'âge, absent des fichiers.</t>
        </is>
      </c>
    </row>
    <row r="22" ht="160" customHeight="1">
      <c r="A22" s="4" t="inlineStr">
        <is>
          <t>2_cotisations</t>
        </is>
      </c>
      <c r="B22" s="2" t="inlineStr">
        <is>
          <t>Comparer les cotisations inscrites en comptabilité et celles précomptées dans les fichiers.</t>
        </is>
      </c>
      <c r="C22"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Fichiers de précomptes reçus le 15/10/2026 : dossiers « FPPN-SOLDE » (postes 936 maladie, 8Z6 décès, 998 PEP, 870 EFC, 9X4 Grenier, 8Z7 MEDOC), « FPPN-CGRAE » (retraités) et « FPPN-GNA » (poste 9W3) ; liste complète dans l'annexe « Fichiers sources » du rapport.</t>
        </is>
      </c>
      <c r="D22" s="2" t="inlineStr">
        <is>
          <t>Cotisations comptabilisées : comptes 7010 (maladie) et 7021 (décès). Précomptes : somme des fichiers retour 936, 8Z6 et CGRAE de l'année, avec le nombre de mois reçus. Les valeurs sont calculées par les scripts de la mission et collées ici ; la formule de chaque colonne est donnée dans « Comment le calcul est fait ».</t>
        </is>
      </c>
      <c r="E22" s="2" t="inlineStr">
        <is>
          <t>Un écart entre comptabilité et précomptes s'explique d'abord par les mois non reçus.</t>
        </is>
      </c>
      <c r="F22" s="2" t="inlineStr">
        <is>
          <t>Exercices 2020 à 2025 et du 01/01 au 31/08/2026 (huit mois, provisoire). Pour 2020, le solde de l'année = à-nouveaux au 01/09/2020 (janvier à août) + mouvements du 01/09 au 31/12/2020.</t>
        </is>
      </c>
      <c r="G22" s="2" t="inlineStr">
        <is>
          <t>Précomptes disponibles à partir de 2024 seulement.</t>
        </is>
      </c>
    </row>
    <row r="23" ht="130" customHeight="1">
      <c r="A23" s="4" t="inlineStr">
        <is>
          <t>3_sinistralite_resultat</t>
        </is>
      </c>
      <c r="B23" s="2" t="inlineStr">
        <is>
          <t>Calculer, chaque année, la part des cotisations consommée par les prestations (S/C), les frais de gestion et le résultat.</t>
        </is>
      </c>
      <c r="C23"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23" s="2" t="inlineStr">
        <is>
          <t>S/C maladie = prestations maladie (comptes 601, 6013, 6018, 60800007) / cotisations maladie (7010). S/C décès = prestations décès (6021, 6024) / cotisations décès (7021). Taux de frais = frais (61 à 66 hors 6518) / cotisations. Résultat = produits - charges. Les valeurs sont calculées par les scripts de la mission et collées ici ; la formule de chaque colonne est donnée dans « Comment le calcul est fait ».</t>
        </is>
      </c>
      <c r="E23" s="2" t="inlineStr">
        <is>
          <t>Un S/C de 75 % veut dire que 75 FCFA sur 100 FCFA de cotisations reviennent aux mutualistes en prestations.</t>
        </is>
      </c>
      <c r="F23" s="2" t="inlineStr">
        <is>
          <t>Exercices 2020 à 2025 et du 01/01 au 31/08/2026 (huit mois, provisoire). Pour 2020, le solde de l'année = à-nouveaux au 01/09/2020 (janvier à août) + mouvements du 01/09 au 31/12/2020.</t>
        </is>
      </c>
      <c r="G23" s="2" t="inlineStr">
        <is>
          <t>Sans provisions ni sinistres tardifs : prestations payées ou comptabilisées dans l'année.</t>
        </is>
      </c>
    </row>
    <row r="24" ht="104" customHeight="1">
      <c r="A24" s="4" t="inlineStr">
        <is>
          <t>3_prestations_maladie_nature</t>
        </is>
      </c>
      <c r="B24" s="2" t="inlineStr">
        <is>
          <t>Détailler les prestations maladie par nature (pharmacie, hospitalisation, consultations…).</t>
        </is>
      </c>
      <c r="C24"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24" s="2" t="inlineStr">
        <is>
          <t>Somme des soldes des sous-comptes de prestations maladie, regroupés par nature selon leur intitulé. Les valeurs sont calculées par les scripts de la mission et collées ici ; la formule de chaque colonne est donnée dans « Comment le calcul est fait ».</t>
        </is>
      </c>
      <c r="E24" s="2" t="inlineStr">
        <is>
          <t>Les natures en forte hausse expliquent la croissance des prestations.</t>
        </is>
      </c>
      <c r="F24" s="2" t="inlineStr">
        <is>
          <t>Exercices 2020 à 2025 et du 01/01 au 31/08/2026 (huit mois, provisoire). Pour 2020, le solde de l'année = à-nouveaux au 01/09/2020 (janvier à août) + mouvements du 01/09 au 31/12/2020.</t>
        </is>
      </c>
      <c r="G24" s="2" t="inlineStr">
        <is>
          <t>Nature telle que libellée par le FPPN.</t>
        </is>
      </c>
    </row>
    <row r="25" ht="160" customHeight="1">
      <c r="A25" s="4" t="inlineStr">
        <is>
          <t>4_bilan</t>
        </is>
      </c>
      <c r="B25" s="2" t="inlineStr">
        <is>
          <t>Rassembler les postes du bilan utilisés dans le rapport : provisions, épargne, actifs réservés, trésorerie, créances, fonds propres.</t>
        </is>
      </c>
      <c r="C25"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25" s="2" t="inlineStr">
        <is>
          <t>Chaque colonne est le solde d'un groupe de comptes : provision maladie (15801, 19011), obsèques (15802, 19012), PEP (411951), EFC (411952), banques de l'épargne (5211020, 5221020, 5211030, 5221030, 526120), FCP (5330), créance sur l'hôpital (47111100), CMP (47111101, 47111104, 47111105), Grenier (47111102), terrains (222), réserves (10, 11), report à nouveau (120, 121), pertes (129). Couverture de l'épargne = actifs réservés / épargne. Les valeurs sont calculées par les scripts de la mission et collées ici ; la formule de chaque colonne est donnée dans « Comment le calcul est fait ».</t>
        </is>
      </c>
      <c r="E25" s="2" t="inlineStr">
        <is>
          <t>Une couverture de l'épargne de 16 % veut dire que les actifs réservés ne rembourseraient que 16 FCFA sur 100 FCFA d'épargne.</t>
        </is>
      </c>
      <c r="F25" s="2" t="inlineStr">
        <is>
          <t>Au 31/12 de 2020 à 2025 et au 31/08/2026 (provisoire).</t>
        </is>
      </c>
      <c r="G25" s="2" t="inlineStr">
        <is>
          <t>Valeurs comptables, non réévaluées.</t>
        </is>
      </c>
    </row>
    <row r="26" ht="91" customHeight="1">
      <c r="A26" s="4" t="inlineStr">
        <is>
          <t>4_pep_versements</t>
        </is>
      </c>
      <c r="B26" s="2" t="inlineStr">
        <is>
          <t>Suivre les versements au Plan Épargne Plus (PEP) par année.</t>
        </is>
      </c>
      <c r="C26" s="2" t="inlineStr">
        <is>
          <t>Fichiers de précomptes reçus le 15/10/2026 : dossiers « FPPN-SOLDE » (postes 936 maladie, 8Z6 décès, 998 PEP, 870 EFC, 9X4 Grenier, 8Z7 MEDOC), « FPPN-CGRAE » (retraités) et « FPPN-GNA » (poste 9W3) ; liste complète dans l'annexe « Fichiers sources » du rapport. Compte 41195100 des balances.</t>
        </is>
      </c>
      <c r="D26" s="2" t="inlineStr">
        <is>
          <t>Versements = somme des précomptes du poste 998 rattachés au PEP ; épargnants = matricules différents ; cumul = somme depuis 2001. Les valeurs sont calculées par les scripts de la mission et collées ici ; la formule de chaque colonne est donnée dans « Comment le calcul est fait ».</t>
        </is>
      </c>
      <c r="E26" s="2" t="inlineStr">
        <is>
          <t>Le cumul des versements ne tient pas compte des retraits : il ne vaut pas épargne due.</t>
        </is>
      </c>
      <c r="F26" s="2" t="inlineStr">
        <is>
          <t>Années présentes dans les fichiers retour du PEP (2001 à 2026).</t>
        </is>
      </c>
      <c r="G26" s="2" t="inlineStr">
        <is>
          <t>Fichiers anciens incomplets.</t>
        </is>
      </c>
    </row>
    <row r="27" ht="91" customHeight="1">
      <c r="A27" s="4" t="inlineStr">
        <is>
          <t>4_efc_versements</t>
        </is>
      </c>
      <c r="B27" s="2" t="inlineStr">
        <is>
          <t>Suivre les versements à l'Entraide de Fin de Carrière (EFC) par année.</t>
        </is>
      </c>
      <c r="C27" s="2" t="inlineStr">
        <is>
          <t>Fichiers de précomptes reçus le 15/10/2026 : dossiers « FPPN-SOLDE » (postes 936 maladie, 8Z6 décès, 998 PEP, 870 EFC, 9X4 Grenier, 8Z7 MEDOC), « FPPN-CGRAE » (retraités) et « FPPN-GNA » (poste 9W3) ; liste complète dans l'annexe « Fichiers sources » du rapport. Compte 41195200 des balances.</t>
        </is>
      </c>
      <c r="D27" s="2" t="inlineStr">
        <is>
          <t>Versements = somme des précomptes du poste 870 ; épargnants = matricules différents ; variation du compte = solde de fin - solde de début. Les valeurs sont calculées par les scripts de la mission et collées ici ; la formule de chaque colonne est donnée dans « Comment le calcul est fait ».</t>
        </is>
      </c>
      <c r="E27" s="2" t="inlineStr">
        <is>
          <t>La variation du compte doit être proche des versements moins les sorties.</t>
        </is>
      </c>
      <c r="F27" s="2" t="inlineStr">
        <is>
          <t>2023 à 2026 (mois reçus).</t>
        </is>
      </c>
      <c r="G27" s="2" t="inlineStr">
        <is>
          <t>Sorties individuelles non transmises.</t>
        </is>
      </c>
    </row>
    <row r="28" ht="78" customHeight="1">
      <c r="A28" s="4" t="inlineStr">
        <is>
          <t>4_poste_998_references</t>
        </is>
      </c>
      <c r="B28" s="2" t="inlineStr">
        <is>
          <t>Répartir le poste 998 entre ses produits (PEP et autres références).</t>
        </is>
      </c>
      <c r="C28" s="2" t="inlineStr">
        <is>
          <t>Fichiers de précomptes reçus le 15/10/2026 : dossiers « FPPN-SOLDE » (postes 936 maladie, 8Z6 décès, 998 PEP, 870 EFC, 9X4 Grenier, 8Z7 MEDOC), « FPPN-CGRAE » (retraités) et « FPPN-GNA » (poste 9W3) ; liste complète dans l'annexe « Fichiers sources » du rapport.</t>
        </is>
      </c>
      <c r="D28" s="2" t="inlineStr">
        <is>
          <t>Lignes, montants et mutualistes regroupés par référence de produit. Les valeurs sont calculées par les scripts de la mission et collées ici ; la formule de chaque colonne est donnée dans « Comment le calcul est fait ».</t>
        </is>
      </c>
      <c r="E28" s="2" t="inlineStr">
        <is>
          <t>Le poste 998 ne porte pas que le PEP.</t>
        </is>
      </c>
      <c r="F28" s="2" t="inlineStr">
        <is>
          <t>2020 à août 2026.</t>
        </is>
      </c>
      <c r="G28" s="2" t="inlineStr">
        <is>
          <t>Références dont le produit n'est pas documenté.</t>
        </is>
      </c>
    </row>
    <row r="29" ht="78" customHeight="1">
      <c r="A29" s="4" t="inlineStr">
        <is>
          <t>5_grenier_encours</t>
        </is>
      </c>
      <c r="B29" s="2" t="inlineStr">
        <is>
          <t>Suivre l'encours des prêts du Grenier et le financement apporté par le FPPN.</t>
        </is>
      </c>
      <c r="C29" s="2" t="inlineStr">
        <is>
          <t>Exports du logiciel de prêts du Grenier reçus le 15/10/2026 : « BalanceAgeeDetaille … .xls » (encours et retards par prêt) et « production_de_la_periode … .xls » (prêts débloqués). Compte 47111102 des balances.</t>
        </is>
      </c>
      <c r="D29" s="2" t="inlineStr">
        <is>
          <t>Encours = capital restant dû à l'arrêté ; débloqué = montant initial des prêts en cours. Les valeurs sont calculées par les scripts de la mission et collées ici ; la formule de chaque colonne est donnée dans « Comment le calcul est fait ».</t>
        </is>
      </c>
      <c r="E29" s="2" t="inlineStr">
        <is>
          <t>Le financement du FPPN supérieur à l'encours signale de la trésorerie non encore prêtée.</t>
        </is>
      </c>
      <c r="F29" s="2" t="inlineStr">
        <is>
          <t>Arrêtés du 31/12/2021 au 30/09/2026.</t>
        </is>
      </c>
      <c r="G29" s="2" t="inlineStr">
        <is>
          <t>Exports non rapprochés des contrats.</t>
        </is>
      </c>
    </row>
    <row r="30" ht="78" customHeight="1">
      <c r="A30" s="4" t="inlineStr">
        <is>
          <t>5_grenier_retards</t>
        </is>
      </c>
      <c r="B30" s="2" t="inlineStr">
        <is>
          <t>Répartir l'encours du Grenier par tranche de retard de remboursement.</t>
        </is>
      </c>
      <c r="C30" s="2" t="inlineStr">
        <is>
          <t>Exports du logiciel de prêts du Grenier reçus le 15/10/2026 : « BalanceAgeeDetaille … .xls » (encours et retards par prêt) et « production_de_la_periode … .xls » (prêts débloqués).</t>
        </is>
      </c>
      <c r="D30" s="2" t="inlineStr">
        <is>
          <t>Chaque prêt est classé selon son nombre de jours de retard ; part = encours de la tranche / encours total. Les valeurs sont calculées par les scripts de la mission et collées ici ; la formule de chaque colonne est donnée dans « Comment le calcul est fait ».</t>
        </is>
      </c>
      <c r="E30" s="2" t="inlineStr">
        <is>
          <t>Plus la tranche est ancienne, plus le risque de perte est élevé.</t>
        </is>
      </c>
      <c r="F30" s="2" t="inlineStr">
        <is>
          <t>Dernier arrêté reçu.</t>
        </is>
      </c>
      <c r="G30" s="2" t="inlineStr">
        <is>
          <t>Retard compté sur l'échéance impayée la plus ancienne.</t>
        </is>
      </c>
    </row>
    <row r="31" ht="78" customHeight="1">
      <c r="A31" s="4" t="inlineStr">
        <is>
          <t>5_grenier_par_historique</t>
        </is>
      </c>
      <c r="B31" s="2" t="inlineStr">
        <is>
          <t>Suivre le portefeuille en retard (PAR30, PAR90) dans le temps.</t>
        </is>
      </c>
      <c r="C31" s="2" t="inlineStr">
        <is>
          <t>Exports du logiciel de prêts du Grenier reçus le 15/10/2026 : « BalanceAgeeDetaille … .xls » (encours et retards par prêt) et « production_de_la_periode … .xls » (prêts débloqués).</t>
        </is>
      </c>
      <c r="D31" s="2" t="inlineStr">
        <is>
          <t>PAR30 = encours des prêts en retard de plus de 30 jours / encours total ; PAR90 de même à 90 jours. Les valeurs sont calculées par les scripts de la mission et collées ici ; la formule de chaque colonne est donnée dans « Comment le calcul est fait ».</t>
        </is>
      </c>
      <c r="E31" s="2" t="inlineStr">
        <is>
          <t>Un PAR30 sous 5 % est généralement considéré comme sain pour un petit crédit.</t>
        </is>
      </c>
      <c r="F31" s="2" t="inlineStr">
        <is>
          <t>Arrêtés du 31/12/2021 au 30/09/2026.</t>
        </is>
      </c>
      <c r="G31" s="2" t="inlineStr">
        <is>
          <t>Seuil de 5 % : référence de la microfinance, non texte du FPPN.</t>
        </is>
      </c>
    </row>
    <row r="32" ht="65" customHeight="1">
      <c r="A32" s="4" t="inlineStr">
        <is>
          <t>5_grenier_production</t>
        </is>
      </c>
      <c r="B32" s="2" t="inlineStr">
        <is>
          <t>Montrer les montants prêtés chaque année par type de crédit.</t>
        </is>
      </c>
      <c r="C32" s="2" t="inlineStr">
        <is>
          <t>Exports du logiciel de prêts du Grenier reçus le 15/10/2026 : « BalanceAgeeDetaille … .xls » (encours et retards par prêt) et « production_de_la_periode … .xls » (prêts débloqués).</t>
        </is>
      </c>
      <c r="D32" s="2" t="inlineStr">
        <is>
          <t>Somme des montants débloqués de l'année par type de crédit. Les valeurs sont calculées par les scripts de la mission et collées ici ; la formule de chaque colonne est donnée dans « Comment le calcul est fait ».</t>
        </is>
      </c>
      <c r="E32" s="2" t="inlineStr">
        <is>
          <t>La hausse de la production augmente l'épargne immobilisée en prêts.</t>
        </is>
      </c>
      <c r="F32" s="2" t="inlineStr">
        <is>
          <t>2021 à septembre 2026.</t>
        </is>
      </c>
      <c r="G32" s="2" t="inlineStr">
        <is>
          <t>Aucune.</t>
        </is>
      </c>
    </row>
    <row r="33" ht="130" customHeight="1">
      <c r="A33" s="4" t="inlineStr">
        <is>
          <t>5_grenier_echeances_precomptes</t>
        </is>
      </c>
      <c r="B33" s="2" t="inlineStr">
        <is>
          <t>Comparer les échéances dues sur les prêts et les remboursements précomptés (poste 9X4).</t>
        </is>
      </c>
      <c r="C33" s="2" t="inlineStr">
        <is>
          <t>Exports du logiciel de prêts du Grenier reçus le 15/10/2026 : « BalanceAgeeDetaille … .xls » (encours et retards par prêt) et « production_de_la_periode … .xls » (prêts débloqués). Fichiers de précomptes reçus le 15/10/2026 : dossiers « FPPN-SOLDE » (postes 936 maladie, 8Z6 décès, 998 PEP, 870 EFC, 9X4 Grenier, 8Z7 MEDOC), « FPPN-CGRAE » (retraités) et « FPPN-GNA » (poste 9W3) ; liste complète dans l'annexe « Fichiers sources » du rapport.</t>
        </is>
      </c>
      <c r="D33" s="2" t="inlineStr">
        <is>
          <t>Échéances = somme des mensualités des prêts en cours du mois ; précomptes = somme du poste 9X4 du mois. Les valeurs sont calculées par les scripts de la mission et collées ici ; la formule de chaque colonne est donnée dans « Comment le calcul est fait ».</t>
        </is>
      </c>
      <c r="E33" s="2" t="inlineStr">
        <is>
          <t>Des précomptes inférieurs aux échéances signalent des remboursements non prélevés.</t>
        </is>
      </c>
      <c r="F33" s="2" t="inlineStr">
        <is>
          <t>Mois de 2026 reçus.</t>
        </is>
      </c>
      <c r="G33" s="2" t="inlineStr">
        <is>
          <t>Remboursements hors précompte non visibles.</t>
        </is>
      </c>
    </row>
    <row r="34" ht="78" customHeight="1">
      <c r="A34" s="4" t="inlineStr">
        <is>
          <t>6_cgrae</t>
        </is>
      </c>
      <c r="B34" s="2" t="inlineStr">
        <is>
          <t>Compter les retraités précomptés par la CGRAE et leur cotisation moyenne.</t>
        </is>
      </c>
      <c r="C34" s="2" t="inlineStr">
        <is>
          <t>Fichiers de précomptes reçus le 15/10/2026 : dossiers « FPPN-SOLDE » (postes 936 maladie, 8Z6 décès, 998 PEP, 870 EFC, 9X4 Grenier, 8Z7 MEDOC), « FPPN-CGRAE » (retraités) et « FPPN-GNA » (poste 9W3) ; liste complète dans l'annexe « Fichiers sources » du rapport.</t>
        </is>
      </c>
      <c r="D34" s="2" t="inlineStr">
        <is>
          <t>Retraités = matricules différents du mois ; cotisation moyenne = montant / retraités. Les valeurs sont calculées par les scripts de la mission et collées ici ; la formule de chaque colonne est donnée dans « Comment le calcul est fait ».</t>
        </is>
      </c>
      <c r="E34" s="2" t="inlineStr">
        <is>
          <t>La population de retraités cotisants augmente rapidement.</t>
        </is>
      </c>
      <c r="F34" s="2" t="inlineStr">
        <is>
          <t>Février 2024 à août 2026.</t>
        </is>
      </c>
      <c r="G34" s="2" t="inlineStr">
        <is>
          <t>Retraités sans quotité cessible non précomptés.</t>
        </is>
      </c>
    </row>
    <row r="35" ht="78" customHeight="1">
      <c r="A35" s="4" t="inlineStr">
        <is>
          <t>6_produits_annexes</t>
        </is>
      </c>
      <c r="B35" s="2" t="inlineStr">
        <is>
          <t>Mesurer les produits annexes précomptés : flotte automobile (GNA, 9W3) et MEDOC (8Z7).</t>
        </is>
      </c>
      <c r="C35" s="2" t="inlineStr">
        <is>
          <t>Fichiers de précomptes reçus le 15/10/2026 : dossiers « FPPN-SOLDE » (postes 936 maladie, 8Z6 décès, 998 PEP, 870 EFC, 9X4 Grenier, 8Z7 MEDOC), « FPPN-CGRAE » (retraités) et « FPPN-GNA » (poste 9W3) ; liste complète dans l'annexe « Fichiers sources » du rapport.</t>
        </is>
      </c>
      <c r="D35" s="2" t="inlineStr">
        <is>
          <t>Adhérents et montants par poste et par année. Les valeurs sont calculées par les scripts de la mission et collées ici ; la formule de chaque colonne est donnée dans « Comment le calcul est fait ».</t>
        </is>
      </c>
      <c r="E35" s="2" t="inlineStr">
        <is>
          <t>Ces produits ne sont pas des garanties du FPPN au sens des statuts.</t>
        </is>
      </c>
      <c r="F35" s="2" t="inlineStr">
        <is>
          <t>Mois reçus de 2023 à 2026.</t>
        </is>
      </c>
      <c r="G35" s="2" t="inlineStr">
        <is>
          <t>Conventions non toutes reçues.</t>
        </is>
      </c>
    </row>
    <row r="36" ht="104" customHeight="1">
      <c r="A36" s="4" t="inlineStr">
        <is>
          <t>7_rendement_placements</t>
        </is>
      </c>
      <c r="B36" s="2" t="inlineStr">
        <is>
          <t>Calculer le rendement apparent des placements financiers.</t>
        </is>
      </c>
      <c r="C36"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36" s="2" t="inlineStr">
        <is>
          <t>Rendement = produits financiers (classe 77) / placements moyens (moyenne des soldes de début et de fin des comptes 52 et 53). Les valeurs sont calculées par les scripts de la mission et collées ici ; la formule de chaque colonne est donnée dans « Comment le calcul est fait ».</t>
        </is>
      </c>
      <c r="E36" s="2" t="inlineStr">
        <is>
          <t>Un rendement de 6 % veut dire 6 FCFA de produit pour 100 FCFA placés.</t>
        </is>
      </c>
      <c r="F36" s="2" t="inlineStr">
        <is>
          <t>2021 à 2025.</t>
        </is>
      </c>
      <c r="G36" s="2" t="inlineStr">
        <is>
          <t>Rendement irrégulier : intérêts d'un DAT comptabilisés à son échéance.</t>
        </is>
      </c>
    </row>
    <row r="37" ht="130" customHeight="1">
      <c r="A37" s="4" t="inlineStr">
        <is>
          <t>8_inflation_reel</t>
        </is>
      </c>
      <c r="B37" s="2" t="inlineStr">
        <is>
          <t>Exprimer cotisations et prestations en francs constants de 2020, pour enlever l'effet de la hausse des prix.</t>
        </is>
      </c>
      <c r="C37"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Banque mondiale, indicateur FP.CPI.TOTL.ZG (Côte d'Ivoire).</t>
        </is>
      </c>
      <c r="D37" s="2" t="inlineStr">
        <is>
          <t>Indice des prix 2020 = 100, puis indice de l'année = indice précédent × (1 + inflation). Valeur réelle = valeur nominale × 100 / indice. Les valeurs sont calculées par les scripts de la mission et collées ici ; la formule de chaque colonne est donnée dans « Comment le calcul est fait ».</t>
        </is>
      </c>
      <c r="E37" s="2" t="inlineStr">
        <is>
          <t>Une hausse réelle est une hausse plus rapide que celle des prix.</t>
        </is>
      </c>
      <c r="F37" s="2" t="inlineStr">
        <is>
          <t>2020 à 2025.</t>
        </is>
      </c>
      <c r="G37" s="2" t="inlineStr">
        <is>
          <t>Inflation générale, pas spécifique à la santé (voir l'onglet 13g).</t>
        </is>
      </c>
    </row>
    <row r="38" ht="104" customHeight="1">
      <c r="A38" s="4" t="inlineStr">
        <is>
          <t>8_tcam</t>
        </is>
      </c>
      <c r="B38" s="2" t="inlineStr">
        <is>
          <t>Calculer le taux de croissance annuel moyen (TCAM) des principaux indicateurs.</t>
        </is>
      </c>
      <c r="C38"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38" s="2" t="inlineStr">
        <is>
          <t>TCAM = (valeur de fin / valeur de début) puissance (1 / nombre d'années) - 1. Multiplicateur = valeur de fin / valeur de début. Les valeurs sont calculées par les scripts de la mission et collées ici ; la formule de chaque colonne est donnée dans « Comment le calcul est fait ».</t>
        </is>
      </c>
      <c r="E38" s="2" t="inlineStr">
        <is>
          <t>Un TCAM de 8 % sur cinq ans veut dire que la valeur est multipliée par 1,47.</t>
        </is>
      </c>
      <c r="F38" s="2" t="inlineStr">
        <is>
          <t>Périodes indiquées ligne par ligne.</t>
        </is>
      </c>
      <c r="G38" s="2" t="inlineStr">
        <is>
          <t>Le TCAM ne dit rien des variations entre les deux années.</t>
        </is>
      </c>
    </row>
    <row r="39" ht="160" customHeight="1">
      <c r="A39" s="4" t="inlineStr">
        <is>
          <t>8_tendances</t>
        </is>
      </c>
      <c r="B39" s="2" t="inlineStr">
        <is>
          <t>Mesurer la tendance des séries par une droite de régression et son intervalle de confiance.</t>
        </is>
      </c>
      <c r="C39"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Fichiers de précomptes reçus le 15/10/2026 : dossiers « FPPN-SOLDE » (postes 936 maladie, 8Z6 décès, 998 PEP, 870 EFC, 9X4 Grenier, 8Z7 MEDOC), « FPPN-CGRAE » (retraités) et « FPPN-GNA » (poste 9W3) ; liste complète dans l'annexe « Fichiers sources » du rapport.</t>
        </is>
      </c>
      <c r="D39" s="2" t="inlineStr">
        <is>
          <t>Pente de la droite des moindres carrés ; IC95 = intervalle qui contient la vraie pente avec 95 % de confiance ; R² = part de la variation expliquée par la tendance. Les valeurs sont calculées par les scripts de la mission et collées ici ; la formule de chaque colonne est donnée dans « Comment le calcul est fait ».</t>
        </is>
      </c>
      <c r="E39" s="2" t="inlineStr">
        <is>
          <t>Une p-valeur faible (moins de 5 %) signifie que la tendance n'est pas due au hasard.</t>
        </is>
      </c>
      <c r="F39" s="2" t="inlineStr">
        <is>
          <t>Points de chaque série.</t>
        </is>
      </c>
      <c r="G39" s="2" t="inlineStr">
        <is>
          <t>Peu de points annuels : intervalles larges.</t>
        </is>
      </c>
    </row>
    <row r="40" ht="104" customHeight="1">
      <c r="A40" s="4" t="inlineStr">
        <is>
          <t>8_sensibilite_retraits</t>
        </is>
      </c>
      <c r="B40" s="2" t="inlineStr">
        <is>
          <t>Tester ce qu'il se passerait si une part de l'épargne était retirée d'un coup.</t>
        </is>
      </c>
      <c r="C40"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40" s="2" t="inlineStr">
        <is>
          <t>Besoin = épargne × taux de retrait ; écart = actifs (réservés ou trésorerie totale) - besoin. Les valeurs sont calculées par les scripts de la mission et collées ici ; la formule de chaque colonne est donnée dans « Comment le calcul est fait ».</t>
        </is>
      </c>
      <c r="E40" s="2" t="inlineStr">
        <is>
          <t>Un écart négatif est l'argent qui manquerait.</t>
        </is>
      </c>
      <c r="F40" s="2" t="inlineStr">
        <is>
          <t>Bilan au 31/08/2026.</t>
        </is>
      </c>
      <c r="G40" s="2" t="inlineStr">
        <is>
          <t>Taux de retrait hypothétiques (les taux observés sont dans l'onglet 24a).</t>
        </is>
      </c>
    </row>
    <row r="41" ht="65" customHeight="1">
      <c r="A41" s="4" t="inlineStr">
        <is>
          <t>8_sensibilite_pertes_grenier</t>
        </is>
      </c>
      <c r="B41" s="2" t="inlineStr">
        <is>
          <t>Tester le montant à provisionner selon un taux de perte sur les prêts en retard.</t>
        </is>
      </c>
      <c r="C41" s="2" t="inlineStr">
        <is>
          <t>Exports du logiciel de prêts du Grenier reçus le 15/10/2026 : « BalanceAgeeDetaille … .xls » (encours et retards par prêt) et « production_de_la_periode … .xls » (prêts débloqués).</t>
        </is>
      </c>
      <c r="D41" s="2" t="inlineStr">
        <is>
          <t>Provision = encours en retard de plus de 90 ou 180 jours × taux de perte. Les valeurs sont calculées par les scripts de la mission et collées ici ; la formule de chaque colonne est donnée dans « Comment le calcul est fait ».</t>
        </is>
      </c>
      <c r="E41" s="2" t="inlineStr">
        <is>
          <t>Le calcul selon la politique de crédit du Grenier est dans l'onglet 23.</t>
        </is>
      </c>
      <c r="F41" s="2" t="inlineStr">
        <is>
          <t>Arrêté du 31/08/2026.</t>
        </is>
      </c>
      <c r="G41" s="2" t="inlineStr">
        <is>
          <t>Taux hypothétiques.</t>
        </is>
      </c>
    </row>
    <row r="42" ht="104" customHeight="1">
      <c r="A42" s="4" t="inlineStr">
        <is>
          <t>8_provisions_mois</t>
        </is>
      </c>
      <c r="B42" s="2" t="inlineStr">
        <is>
          <t>Exprimer les provisions techniques en mois de prestations.</t>
        </is>
      </c>
      <c r="C42"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42" s="2" t="inlineStr">
        <is>
          <t>Mois couverts = provisions / (prestations de l'année / 12). Les valeurs sont calculées par les scripts de la mission et collées ici ; la formule de chaque colonne est donnée dans « Comment le calcul est fait ».</t>
        </is>
      </c>
      <c r="E42" s="2" t="inlineStr">
        <is>
          <t>Des provisions égales à plusieurs années de prestations, pour un risque réglé en quelques mois, sont sans rapport avec le besoin.</t>
        </is>
      </c>
      <c r="F42" s="2" t="inlineStr">
        <is>
          <t>Exercices 2020 à 2025 et du 01/01 au 31/08/2026 (huit mois, provisoire). Pour 2020, le solde de l'année = à-nouveaux au 01/09/2020 (janvier à août) + mouvements du 01/09 au 31/12/2020.</t>
        </is>
      </c>
      <c r="G42" s="2" t="inlineStr">
        <is>
          <t>Aucune.</t>
        </is>
      </c>
    </row>
    <row r="43" ht="104" customHeight="1">
      <c r="A43" s="4" t="inlineStr">
        <is>
          <t>8_tables_mortalite</t>
        </is>
      </c>
      <c r="B43" s="2" t="inlineStr">
        <is>
          <t>Donner les indicateurs de référence des tables de mortalité CIMA.</t>
        </is>
      </c>
      <c r="C43" s="2" t="inlineStr">
        <is>
          <t>Tables « CIMA_H.xlsx », « CIMA_F.xlsx », « TD_CIMA.xlsx », « TV_CIMA.xlsx » fournies le 18/10/2026.</t>
        </is>
      </c>
      <c r="D43" s="2" t="inlineStr">
        <is>
          <t>e(x) = espérance de vie à l'âge x ; a(x) = valeur d'une rente de 1 FCFA par an à partir de l'âge x, au taux de 3,5 % ; q(x) = probabilité de décéder dans l'année à l'âge x. Les valeurs sont calculées par les scripts de la mission et collées ici ; la formule de chaque colonne est donnée dans « Comment le calcul est fait ».</t>
        </is>
      </c>
      <c r="E43" s="2" t="inlineStr">
        <is>
          <t>Une rente à 60 ans vaut environ 14 à 17 années de paiement selon la table.</t>
        </is>
      </c>
      <c r="F43" s="2" t="inlineStr">
        <is>
          <t>Population de référence des tables, non le FPPN.</t>
        </is>
      </c>
      <c r="G43" s="2" t="inlineStr">
        <is>
          <t>Âges des mutualistes non reçus.</t>
        </is>
      </c>
    </row>
    <row r="44" ht="143" customHeight="1">
      <c r="A44" s="4" t="inlineStr">
        <is>
          <t>10_ratios</t>
        </is>
      </c>
      <c r="B44" s="2" t="inlineStr">
        <is>
          <t>Calculer chaque ratio prudentiel de la Décision n° 05/2022, chaque année, et dire s'il respecte la norme.</t>
        </is>
      </c>
      <c r="C44" s="2"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44" s="2" t="inlineStr">
        <is>
          <t>La colonne « Formule » donne le calcul et la colonne « Comptes ou données » les comptes utilisés. Statut = Conforme si la valeur respecte la norme. Les ratios sont rangés par priorité actuarielle. Les valeurs sont calculées par les scripts de la mission et collées ici ; la formule de chaque colonne est donnée dans « Comment le calcul est fait ».</t>
        </is>
      </c>
      <c r="E44" s="2" t="inlineStr">
        <is>
          <t>« Non conforme deux exercices consécutifs » expose aux sanctions de l'article 84 du règlement n° 07/2009.</t>
        </is>
      </c>
      <c r="F44" s="2" t="inlineStr">
        <is>
          <t>2020 à 2026 ; statut opposable de 2022 à 2025.</t>
        </is>
      </c>
      <c r="G44" s="2" t="inlineStr">
        <is>
          <t>Ratios « en attente » faute de données.</t>
        </is>
      </c>
    </row>
    <row r="45" ht="143" customHeight="1">
      <c r="A45" s="4" t="inlineStr">
        <is>
          <t>10_ratios_detail</t>
        </is>
      </c>
      <c r="B45" s="2" t="inlineStr">
        <is>
          <t>Donner, pour chaque ratio et chaque année, le numérateur et le dénominateur.</t>
        </is>
      </c>
      <c r="C45" s="2"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45" s="2" t="inlineStr">
        <is>
          <t>Valeur = numérateur / dénominateur. Les valeurs sont calculées par les scripts de la mission et collées ici ; la formule de chaque colonne est donnée dans « Comment le calcul est fait ».</t>
        </is>
      </c>
      <c r="E45" s="2" t="inlineStr">
        <is>
          <t>Permet de refaire chaque ratio à la main.</t>
        </is>
      </c>
      <c r="F45" s="2" t="inlineStr">
        <is>
          <t>2020 à 2026.</t>
        </is>
      </c>
      <c r="G45" s="2" t="inlineStr">
        <is>
          <t>Aucune.</t>
        </is>
      </c>
    </row>
    <row r="46" ht="117" customHeight="1">
      <c r="A46" s="4" t="inlineStr">
        <is>
          <t>10_classement_comptes</t>
        </is>
      </c>
      <c r="B46" s="2" t="inlineStr">
        <is>
          <t>Classer chaque compte du FPPN selon le plan comptable de la mutualité sociale (PCMS) et selon le risque.</t>
        </is>
      </c>
      <c r="C46"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PCMS (mai 2012).</t>
        </is>
      </c>
      <c r="D46" s="2" t="inlineStr">
        <is>
          <t>Chaque compte reçoit sa rubrique PCMS, son classement (ressource longue, actif liquide…) et les ratios qui l'utilisent. Les valeurs sont calculées par les scripts de la mission et collées ici ; la formule de chaque colonne est donnée dans « Comment le calcul est fait ».</t>
        </is>
      </c>
      <c r="E46" s="2" t="inlineStr">
        <is>
          <t>Le classement explique les montants des ratios de liquidité et d'équilibre.</t>
        </is>
      </c>
      <c r="F46" s="2" t="inlineStr">
        <is>
          <t>Comptes présents de 2020 à 2026.</t>
        </is>
      </c>
      <c r="G46" s="2" t="inlineStr">
        <is>
          <t>Classement d'après l'intitulé du compte.</t>
        </is>
      </c>
    </row>
    <row r="47" ht="143" customHeight="1">
      <c r="A47" s="4" t="inlineStr">
        <is>
          <t>10_marge_solvabilite</t>
        </is>
      </c>
      <c r="B47" s="2" t="inlineStr">
        <is>
          <t>Calculer la marge de solvabilité exigée et disponible.</t>
        </is>
      </c>
      <c r="C47" s="2"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47" s="2" t="inlineStr">
        <is>
          <t>Marge exigée = le plus grand de 18 % des cotisations ou 26 % des prestations maladie moyennes de trois ans. Marge disponible = réserves (106, 111, 1188) + fonds d'établissement, avec ou sans déduction des pertes reportées (129). Ratio = disponible / exigée. Les valeurs sont calculées par les scripts de la mission et collées ici ; la formule de chaque colonne est donnée dans « Comment le calcul est fait ».</t>
        </is>
      </c>
      <c r="E47" s="2" t="inlineStr">
        <is>
          <t>Un ratio inférieur à 1 signifie que les ressources propres ne couvrent pas l'exigence.</t>
        </is>
      </c>
      <c r="F47" s="2" t="inlineStr">
        <is>
          <t>2020 à 2026.</t>
        </is>
      </c>
      <c r="G47" s="2" t="inlineStr">
        <is>
          <t>Deux lectures selon le traitement des pertes reportées.</t>
        </is>
      </c>
    </row>
    <row r="48" ht="143" customHeight="1">
      <c r="A48" s="4" t="inlineStr">
        <is>
          <t>10_affectation_excedents</t>
        </is>
      </c>
      <c r="B48" s="2" t="inlineStr">
        <is>
          <t>Vérifier que les excédents ont été affectés à la réserve obligatoire selon les textes.</t>
        </is>
      </c>
      <c r="C48" s="2"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48" s="2" t="inlineStr">
        <is>
          <t>Taux de dotation = dotation à la réserve légale / résultat de l'année précédente ; écart = dotation faite - dotation minimale. Les valeurs sont calculées par les scripts de la mission et collées ici ; la formule de chaque colonne est donnée dans « Comment le calcul est fait ».</t>
        </is>
      </c>
      <c r="E48" s="2" t="inlineStr">
        <is>
          <t>Un écart négatif est une dotation insuffisante.</t>
        </is>
      </c>
      <c r="F48" s="2" t="inlineStr">
        <is>
          <t>Affectations de 2021 à 2025.</t>
        </is>
      </c>
      <c r="G48" s="2" t="inlineStr">
        <is>
          <t>Procès-verbaux d'affectation non reçus.</t>
        </is>
      </c>
    </row>
    <row r="49" ht="104" customHeight="1">
      <c r="A49" s="4" t="inlineStr">
        <is>
          <t>10_excedent_par_risque</t>
        </is>
      </c>
      <c r="B49" s="2" t="inlineStr">
        <is>
          <t>Séparer le résultat entre maladie et décès.</t>
        </is>
      </c>
      <c r="C49"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49" s="2" t="inlineStr">
        <is>
          <t>Excédent d'un risque = cotisations - prestations - frais ; frais répartis au prorata des cotisations de chaque risque. Les valeurs sont calculées par les scripts de la mission et collées ici ; la formule de chaque colonne est donnée dans « Comment le calcul est fait ».</t>
        </is>
      </c>
      <c r="E49" s="2" t="inlineStr">
        <is>
          <t>Montre quel risque produit l'excédent.</t>
        </is>
      </c>
      <c r="F49" s="2" t="inlineStr">
        <is>
          <t>Exercices 2020 à 2025 et du 01/01 au 31/08/2026 (huit mois, provisoire). Pour 2020, le solde de l'année = à-nouveaux au 01/09/2020 (janvier à août) + mouvements du 01/09 au 31/12/2020.</t>
        </is>
      </c>
      <c r="G49" s="2" t="inlineStr">
        <is>
          <t>Clé de répartition des frais choisie par Adenka.</t>
        </is>
      </c>
    </row>
    <row r="50" ht="52" customHeight="1">
      <c r="A50" s="4" t="inlineStr">
        <is>
          <t>10_controle_pcms</t>
        </is>
      </c>
      <c r="B50" s="2" t="inlineStr">
        <is>
          <t>Contrôler que les comptes du FPPN sont classés comme le demande le PCMS.</t>
        </is>
      </c>
      <c r="C50" s="2" t="inlineStr">
        <is>
          <t>PCMS (mai 2012) et balances du FPPN.</t>
        </is>
      </c>
      <c r="D50" s="2" t="inlineStr">
        <is>
          <t>Comparaison point par point. Les valeurs sont calculées par les scripts de la mission et collées ici ; la formule de chaque colonne est donnée dans « Comment le calcul est fait ».</t>
        </is>
      </c>
      <c r="E50" s="2" t="inlineStr">
        <is>
          <t>La colonne « Incidence » dit si l'écart change un ratio.</t>
        </is>
      </c>
      <c r="F50" s="2" t="inlineStr">
        <is>
          <t>Plan de comptes de 2020 à 2026.</t>
        </is>
      </c>
      <c r="G50" s="2" t="inlineStr">
        <is>
          <t>Aucune.</t>
        </is>
      </c>
    </row>
    <row r="51" ht="104" customHeight="1">
      <c r="A51" s="4" t="inlineStr">
        <is>
          <t>10_actif_mobilisation</t>
        </is>
      </c>
      <c r="B51" s="2" t="inlineStr">
        <is>
          <t>Classer l'actif selon le délai pour le transformer en argent, et le passif à payer dans l'année.</t>
        </is>
      </c>
      <c r="C51"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51" s="2" t="inlineStr">
        <is>
          <t>Chaque compte d'actif est classé : immédiat (banques), moins d'un an, 1 à 5 ans, plus de 5 ans ou incertain. L'épargne est à part : son échéance n'est pas connue. Les valeurs sont calculées par les scripts de la mission et collées ici ; la formule de chaque colonne est donnée dans « Comment le calcul est fait ».</t>
        </is>
      </c>
      <c r="E51" s="2" t="inlineStr">
        <is>
          <t>Base des écarts de liquidité des onglets 24b et 24c.</t>
        </is>
      </c>
      <c r="F51" s="2" t="inlineStr">
        <is>
          <t>31/12/2025 et 31/08/2026.</t>
        </is>
      </c>
      <c r="G51" s="2" t="inlineStr">
        <is>
          <t>Classement par nature comptable, sans échéancier.</t>
        </is>
      </c>
    </row>
    <row r="52" ht="104" customHeight="1">
      <c r="A52" s="4" t="inlineStr">
        <is>
          <t>10_agregats</t>
        </is>
      </c>
      <c r="B52" s="2" t="inlineStr">
        <is>
          <t>Donner tous les totaux comptables utilisés par les ratios.</t>
        </is>
      </c>
      <c r="C52"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52" s="2" t="inlineStr">
        <is>
          <t>Chaque colonne est la somme des comptes indiqués dans son titre. Les valeurs sont calculées par les scripts de la mission et collées ici ; la formule de chaque colonne est donnée dans « Comment le calcul est fait ».</t>
        </is>
      </c>
      <c r="E52" s="2" t="inlineStr">
        <is>
          <t>Permet de vérifier chaque ratio sur les balances.</t>
        </is>
      </c>
      <c r="F52" s="2" t="inlineStr">
        <is>
          <t>Exercices 2020 à 2025 et du 01/01 au 31/08/2026 (huit mois, provisoire). Pour 2020, le solde de l'année = à-nouveaux au 01/09/2020 (janvier à août) + mouvements du 01/09 au 31/12/2020.</t>
        </is>
      </c>
      <c r="G52" s="2" t="inlineStr">
        <is>
          <t>Aucune.</t>
        </is>
      </c>
    </row>
    <row r="53" ht="104" customHeight="1">
      <c r="A53" s="4" t="inlineStr">
        <is>
          <t>12_provisions_inventaire</t>
        </is>
      </c>
      <c r="B53" s="2" t="inlineStr">
        <is>
          <t>Lister toutes les provisions et dépréciations du bilan, année par année.</t>
        </is>
      </c>
      <c r="C53"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53" s="2" t="inlineStr">
        <is>
          <t>Solde de chaque compte de provision (15, 19, 29, 39, 49). Les valeurs sont calculées par les scripts de la mission et collées ici ; la formule de chaque colonne est donnée dans « Comment le calcul est fait ».</t>
        </is>
      </c>
      <c r="E53" s="2" t="inlineStr">
        <is>
          <t>Les provisions maladie et obsèques ont le même montant de 2020 à 2026 : elles ne sont pas recalculées.</t>
        </is>
      </c>
      <c r="F53" s="2" t="inlineStr">
        <is>
          <t>Exercices 2020 à 2025 et du 01/01 au 31/08/2026 (huit mois, provisoire). Pour 2020, le solde de l'année = à-nouveaux au 01/09/2020 (janvier à août) + mouvements du 01/09 au 31/12/2020.</t>
        </is>
      </c>
      <c r="G53" s="2" t="inlineStr">
        <is>
          <t>Aucune.</t>
        </is>
      </c>
    </row>
    <row r="54" ht="104" customHeight="1">
      <c r="A54" s="4" t="inlineStr">
        <is>
          <t>12_psap_rapprochement</t>
        </is>
      </c>
      <c r="B54" s="2" t="inlineStr">
        <is>
          <t>Comparer la provision maladie aux dettes envers les cliniques et aux prestations.</t>
        </is>
      </c>
      <c r="C54"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54" s="2" t="inlineStr">
        <is>
          <t>Provision en mois de prestations = provision / (prestations / nombre de mois). Rapport provision / dettes cliniques (40110000). Les valeurs sont calculées par les scripts de la mission et collées ici ; la formule de chaque colonne est donnée dans « Comment le calcul est fait ».</t>
        </is>
      </c>
      <c r="E54" s="2" t="inlineStr">
        <is>
          <t>Le calcul du besoin réel est dans les onglets 18a à 18c.</t>
        </is>
      </c>
      <c r="F54" s="2" t="inlineStr">
        <is>
          <t>Exercices 2020 à 2025 et du 01/01 au 31/08/2026 (huit mois, provisoire). Pour 2020, le solde de l'année = à-nouveaux au 01/09/2020 (janvier à août) + mouvements du 01/09 au 31/12/2020.</t>
        </is>
      </c>
      <c r="G54" s="2" t="inlineStr">
        <is>
          <t>Aucune.</t>
        </is>
      </c>
    </row>
    <row r="55" ht="65" customHeight="1">
      <c r="A55" s="4" t="inlineStr">
        <is>
          <t>12_grenier_tranches</t>
        </is>
      </c>
      <c r="B55" s="2" t="inlineStr">
        <is>
          <t>Encours du Grenier par tranche de retard, aux deux arrêtés retenus.</t>
        </is>
      </c>
      <c r="C55" s="2" t="inlineStr">
        <is>
          <t>Exports du logiciel de prêts du Grenier reçus le 15/10/2026 : « BalanceAgeeDetaille … .xls » (encours et retards par prêt) et « production_de_la_periode … .xls » (prêts débloqués).</t>
        </is>
      </c>
      <c r="D55" s="2" t="inlineStr">
        <is>
          <t>Comme l'onglet 5_grenier_retards. Les valeurs sont calculées par les scripts de la mission et collées ici ; la formule de chaque colonne est donnée dans « Comment le calcul est fait ».</t>
        </is>
      </c>
      <c r="E55" s="2" t="inlineStr">
        <is>
          <t>Base de la dépréciation de l'onglet 23.</t>
        </is>
      </c>
      <c r="F55" s="2" t="inlineStr">
        <is>
          <t>31/12/2025 et 31/08/2026.</t>
        </is>
      </c>
      <c r="G55" s="2" t="inlineStr">
        <is>
          <t>Aucune.</t>
        </is>
      </c>
    </row>
    <row r="56" ht="104" customHeight="1">
      <c r="A56" s="4" t="inlineStr">
        <is>
          <t>12_gna_47111106</t>
        </is>
      </c>
      <c r="B56" s="2" t="inlineStr">
        <is>
          <t>Suivre le compte de tiers GNA (flotte automobile).</t>
        </is>
      </c>
      <c r="C56"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56" s="2" t="inlineStr">
        <is>
          <t>Solde et mouvements du compte 47111106. Les valeurs sont calculées par les scripts de la mission et collées ici ; la formule de chaque colonne est donnée dans « Comment le calcul est fait ».</t>
        </is>
      </c>
      <c r="E56" s="2" t="inlineStr">
        <is>
          <t>Le risque automobile est porté par GNA, non par le FPPN.</t>
        </is>
      </c>
      <c r="F56" s="2" t="inlineStr">
        <is>
          <t>Exercices 2020 à 2025 et du 01/01 au 31/08/2026 (huit mois, provisoire). Pour 2020, le solde de l'année = à-nouveaux au 01/09/2020 (janvier à août) + mouvements du 01/09 au 31/12/2020.</t>
        </is>
      </c>
      <c r="G56" s="2" t="inlineStr">
        <is>
          <t>Convention GNA non reçue.</t>
        </is>
      </c>
    </row>
    <row r="57" ht="104" customHeight="1">
      <c r="A57" s="4" t="inlineStr">
        <is>
          <t>12_pidr_196</t>
        </is>
      </c>
      <c r="B57" s="2" t="inlineStr">
        <is>
          <t>Suivre la provision pour départ à la retraite du personnel du FPPN (compte 196).</t>
        </is>
      </c>
      <c r="C57" s="2"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57" s="2" t="inlineStr">
        <is>
          <t>Solde du compte 196, dotation (6911) et reprise (7911). Les valeurs sont calculées par les scripts de la mission et collées ici ; la formule de chaque colonne est donnée dans « Comment le calcul est fait ».</t>
        </is>
      </c>
      <c r="E57" s="2" t="inlineStr">
        <is>
          <t>Le recalcul agent par agent est dans les onglets 14a à 14c.</t>
        </is>
      </c>
      <c r="F57" s="2" t="inlineStr">
        <is>
          <t>2020 à 2025.</t>
        </is>
      </c>
      <c r="G57" s="2" t="inlineStr">
        <is>
          <t>Aucune.</t>
        </is>
      </c>
    </row>
    <row r="58" ht="143" customHeight="1">
      <c r="A58" s="4" t="inlineStr">
        <is>
          <t>12_sinistralite_variantes</t>
        </is>
      </c>
      <c r="B58" s="2" t="inlineStr">
        <is>
          <t>Calculer la sinistralité selon la formule du texte et selon des variantes.</t>
        </is>
      </c>
      <c r="C58" s="2"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c r="D58" s="2" t="inlineStr">
        <is>
          <t>Taux du texte = (prestations + dotations - reprises de provisions) / (cotisations ± variations). Variantes sans MEDOC (7022), sans bons (60800007, 60800008), par garantie. Les valeurs sont calculées par les scripts de la mission et collées ici ; la formule de chaque colonne est donnée dans « Comment le calcul est fait ».</t>
        </is>
      </c>
      <c r="E58" s="2" t="inlineStr">
        <is>
          <t>Montre l'effet de chaque choix de calcul.</t>
        </is>
      </c>
      <c r="F58" s="2" t="inlineStr">
        <is>
          <t>Exercices 2020 à 2025 et du 01/01 au 31/08/2026 (huit mois, provisoire). Pour 2020, le solde de l'année = à-nouveaux au 01/09/2020 (janvier à août) + mouvements du 01/09 au 31/12/2020.</t>
        </is>
      </c>
      <c r="G58" s="2" t="inlineStr">
        <is>
          <t>Aucune.</t>
        </is>
      </c>
    </row>
    <row r="59" ht="30" customHeight="1">
      <c r="A59" s="4" t="inlineStr">
        <is>
          <t>9_tracabilite</t>
        </is>
      </c>
      <c r="B59" s="2" t="inlineStr">
        <is>
          <t>Chaque chiffre écrit dans le rapport, sa diapositive et sa valeur exacte.</t>
        </is>
      </c>
      <c r="C59" s="2" t="inlineStr">
        <is>
          <t>Voir l'en-tête de l'onglet</t>
        </is>
      </c>
      <c r="D59" s="2" t="inlineStr">
        <is>
          <t>Voir l'en-tête de l'onglet et les commentaires des cellules</t>
        </is>
      </c>
      <c r="E59" s="2" t="inlineStr">
        <is>
          <t>« Oui » : le chiffre a été retrouvé tel quel dans la diapositive.</t>
        </is>
      </c>
      <c r="F59" s="2" t="inlineStr">
        <is>
          <t>Voir l'onglet 00_validite</t>
        </is>
      </c>
      <c r="G59" s="2" t="inlineStr"/>
    </row>
    <row r="60" ht="30" customHeight="1">
      <c r="A60" s="4" t="inlineStr">
        <is>
          <t>9_figures_tableaux</t>
        </is>
      </c>
      <c r="B60" s="2" t="inlineStr">
        <is>
          <t>Liste des figures et tableaux du rapport, avec leur domaine de validité.</t>
        </is>
      </c>
      <c r="C60" s="2" t="inlineStr">
        <is>
          <t>Voir l'en-tête de l'onglet</t>
        </is>
      </c>
      <c r="D60" s="2" t="inlineStr">
        <is>
          <t>Voir l'en-tête de l'onglet et les commentaires des cellules</t>
        </is>
      </c>
      <c r="E60" s="2" t="inlineStr">
        <is>
          <t>Le numéro de diapositive renvoie au rapport.</t>
        </is>
      </c>
      <c r="F60" s="2" t="inlineStr">
        <is>
          <t>Voir l'onglet 00_validite</t>
        </is>
      </c>
      <c r="G60" s="2" t="inlineStr"/>
    </row>
    <row r="61" ht="39" customHeight="1">
      <c r="A61" s="4" t="inlineStr">
        <is>
          <t>14a_pidr_parametres</t>
        </is>
      </c>
      <c r="B61" s="2" t="inlineStr">
        <is>
          <t>Paramètres de la provision du personnel (taux, barème, âge de retraite), modifiables en orange.</t>
        </is>
      </c>
      <c r="C61" s="2" t="inlineStr">
        <is>
          <t>Voir l'en-tête de l'onglet</t>
        </is>
      </c>
      <c r="D61" s="2" t="inlineStr">
        <is>
          <t>Voir l'en-tête de l'onglet et les commentaires des cellules</t>
        </is>
      </c>
      <c r="E61" s="2" t="inlineStr">
        <is>
          <t>Changer un paramètre recalcule 14b et 14c.</t>
        </is>
      </c>
      <c r="F61" s="2" t="inlineStr">
        <is>
          <t>Voir l'onglet 00_validite</t>
        </is>
      </c>
      <c r="G61" s="2" t="inlineStr"/>
    </row>
    <row r="62" ht="30" customHeight="1">
      <c r="A62" s="4" t="inlineStr">
        <is>
          <t>14t_table_cima_f</t>
        </is>
      </c>
      <c r="B62" s="2" t="inlineStr">
        <is>
          <t>Table de survie CIMA F utilisée pour la provision du personnel.</t>
        </is>
      </c>
      <c r="C62" s="2" t="inlineStr">
        <is>
          <t>Voir l'en-tête de l'onglet</t>
        </is>
      </c>
      <c r="D62" s="2" t="inlineStr">
        <is>
          <t>Voir l'en-tête de l'onglet et les commentaires des cellules</t>
        </is>
      </c>
      <c r="E62" s="2" t="inlineStr">
        <is>
          <t>Ne pas modifier.</t>
        </is>
      </c>
      <c r="F62" s="2" t="inlineStr">
        <is>
          <t>Voir l'onglet 00_validite</t>
        </is>
      </c>
      <c r="G62" s="2" t="inlineStr"/>
    </row>
    <row r="63" ht="30" customHeight="1">
      <c r="A63" s="4" t="inlineStr">
        <is>
          <t>14b_pidr_individuel</t>
        </is>
      </c>
      <c r="B63" s="2" t="inlineStr">
        <is>
          <t>Provision du personnel calculée agent par agent (DISA 2025).</t>
        </is>
      </c>
      <c r="C63" s="2" t="inlineStr">
        <is>
          <t>Voir l'en-tête de l'onglet</t>
        </is>
      </c>
      <c r="D63" s="2" t="inlineStr">
        <is>
          <t>Voir l'en-tête de l'onglet et les commentaires des cellules</t>
        </is>
      </c>
      <c r="E63" s="2" t="inlineStr">
        <is>
          <t>Chaque ligne est un agent ; la dernière colonne est sa provision.</t>
        </is>
      </c>
      <c r="F63" s="2" t="inlineStr">
        <is>
          <t>Voir l'onglet 00_validite</t>
        </is>
      </c>
      <c r="G63" s="2" t="inlineStr"/>
    </row>
    <row r="64" ht="39" customHeight="1">
      <c r="A64" s="4" t="inlineStr">
        <is>
          <t>14c_pidr_synthese</t>
        </is>
      </c>
      <c r="B64" s="2" t="inlineStr">
        <is>
          <t>Provision du personnel par entité (DG, CMP, Grenier) et par année, comparée au compte 196.</t>
        </is>
      </c>
      <c r="C64" s="2" t="inlineStr">
        <is>
          <t>Voir l'en-tête de l'onglet</t>
        </is>
      </c>
      <c r="D64" s="2" t="inlineStr">
        <is>
          <t>Voir l'en-tête de l'onglet et les commentaires des cellules</t>
        </is>
      </c>
      <c r="E64" s="2" t="inlineStr">
        <is>
          <t>Écart positif : le compte 196 dépasse le recalcul.</t>
        </is>
      </c>
      <c r="F64" s="2" t="inlineStr">
        <is>
          <t>Voir l'onglet 00_validite</t>
        </is>
      </c>
      <c r="G64" s="2" t="inlineStr"/>
    </row>
    <row r="65" ht="30" customHeight="1">
      <c r="A65" s="4" t="inlineStr">
        <is>
          <t>15_mortalite_sinistralite</t>
        </is>
      </c>
      <c r="B65" s="2" t="inlineStr">
        <is>
          <t>Mortalité brute des membres et sinistralité décès selon le FPPN et selon les comptes.</t>
        </is>
      </c>
      <c r="C65" s="2" t="inlineStr">
        <is>
          <t>Voir l'en-tête de l'onglet</t>
        </is>
      </c>
      <c r="D65" s="2" t="inlineStr">
        <is>
          <t>Voir l'en-tête de l'onglet et les commentaires des cellules</t>
        </is>
      </c>
      <c r="E65" s="2" t="inlineStr">
        <is>
          <t>Taux pour mille adhérents.</t>
        </is>
      </c>
      <c r="F65" s="2" t="inlineStr">
        <is>
          <t>Voir l'onglet 00_validite</t>
        </is>
      </c>
      <c r="G65" s="2" t="inlineStr"/>
    </row>
    <row r="66" ht="30" customHeight="1">
      <c r="A66" s="4" t="inlineStr">
        <is>
          <t>16_efc_taux_servi</t>
        </is>
      </c>
      <c r="B66" s="2" t="inlineStr">
        <is>
          <t>Intérêts annuels dus sur l'EFC selon le taux servi (3,5 %, 5,5 % ou 14 %).</t>
        </is>
      </c>
      <c r="C66" s="2" t="inlineStr">
        <is>
          <t>Voir l'en-tête de l'onglet</t>
        </is>
      </c>
      <c r="D66" s="2" t="inlineStr">
        <is>
          <t>Voir l'en-tête de l'onglet et les commentaires des cellules</t>
        </is>
      </c>
      <c r="E66" s="2" t="inlineStr">
        <is>
          <t>Un an d'intérêts, sans capitalisation.</t>
        </is>
      </c>
      <c r="F66" s="2" t="inlineStr">
        <is>
          <t>Voir l'onglet 00_validite</t>
        </is>
      </c>
      <c r="G66" s="2" t="inlineStr"/>
    </row>
    <row r="67" ht="30" customHeight="1">
      <c r="A67" s="4" t="inlineStr">
        <is>
          <t>17_controles_croises</t>
        </is>
      </c>
      <c r="B67" s="2" t="inlineStr">
        <is>
          <t>Contrôles entre documents : états financiers, balances, Solde, banques.</t>
        </is>
      </c>
      <c r="C67" s="2" t="inlineStr">
        <is>
          <t>Voir l'en-tête de l'onglet</t>
        </is>
      </c>
      <c r="D67" s="2" t="inlineStr">
        <is>
          <t>Voir l'en-tête de l'onglet et les commentaires des cellules</t>
        </is>
      </c>
      <c r="E67" s="2" t="inlineStr">
        <is>
          <t>Écart nul : les deux sources concordent.</t>
        </is>
      </c>
      <c r="F67" s="2" t="inlineStr">
        <is>
          <t>Voir l'onglet 00_validite</t>
        </is>
      </c>
      <c r="G67" s="2" t="inlineStr"/>
    </row>
    <row r="68" ht="30" customHeight="1">
      <c r="A68" s="4" t="inlineStr">
        <is>
          <t>18a_psap_maladie_delais</t>
        </is>
      </c>
      <c r="B68" s="2" t="inlineStr">
        <is>
          <t>Délai moyen de paiement des cliniques, année par année.</t>
        </is>
      </c>
      <c r="C68" s="2" t="inlineStr">
        <is>
          <t>Voir l'en-tête de l'onglet</t>
        </is>
      </c>
      <c r="D68" s="2" t="inlineStr">
        <is>
          <t>Voir l'en-tête de l'onglet et les commentaires des cellules</t>
        </is>
      </c>
      <c r="E68" s="2" t="inlineStr">
        <is>
          <t>Comparer à la règle des trois mois.</t>
        </is>
      </c>
      <c r="F68" s="2" t="inlineStr">
        <is>
          <t>Voir l'onglet 00_validite</t>
        </is>
      </c>
      <c r="G68" s="2" t="inlineStr"/>
    </row>
    <row r="69" ht="30" customHeight="1">
      <c r="A69" s="4" t="inlineStr">
        <is>
          <t>18b_psap_maladie_tardives</t>
        </is>
      </c>
      <c r="B69" s="2" t="inlineStr">
        <is>
          <t>Factures d'une année enregistrées l'année suivante.</t>
        </is>
      </c>
      <c r="C69" s="2" t="inlineStr">
        <is>
          <t>Voir l'en-tête de l'onglet</t>
        </is>
      </c>
      <c r="D69" s="2" t="inlineStr">
        <is>
          <t>Voir l'en-tête de l'onglet et les commentaires des cellules</t>
        </is>
      </c>
      <c r="E69" s="2" t="inlineStr">
        <is>
          <t>Base de la provision maladie.</t>
        </is>
      </c>
      <c r="F69" s="2" t="inlineStr">
        <is>
          <t>Voir l'onglet 00_validite</t>
        </is>
      </c>
      <c r="G69" s="2" t="inlineStr"/>
    </row>
    <row r="70" ht="30" customHeight="1">
      <c r="A70" s="4" t="inlineStr">
        <is>
          <t>18c_psap_maladie_estimation</t>
        </is>
      </c>
      <c r="B70" s="2" t="inlineStr">
        <is>
          <t>Provision maladie nécessaire et provision du bilan.</t>
        </is>
      </c>
      <c r="C70" s="2" t="inlineStr">
        <is>
          <t>Voir l'en-tête de l'onglet</t>
        </is>
      </c>
      <c r="D70" s="2" t="inlineStr">
        <is>
          <t>Voir l'en-tête de l'onglet et les commentaires des cellules</t>
        </is>
      </c>
      <c r="E70" s="2" t="inlineStr">
        <is>
          <t>Écart : provision du bilan - besoin.</t>
        </is>
      </c>
      <c r="F70" s="2" t="inlineStr">
        <is>
          <t>Voir l'onglet 00_validite</t>
        </is>
      </c>
      <c r="G70" s="2" t="inlineStr"/>
    </row>
    <row r="71" ht="30" customHeight="1">
      <c r="A71" s="4" t="inlineStr">
        <is>
          <t>19a_deces_etats_fin_annee</t>
        </is>
      </c>
      <c r="B71" s="2" t="inlineStr">
        <is>
          <t>États de fin d'année des allocations décès et compte 41591000.</t>
        </is>
      </c>
      <c r="C71" s="2" t="inlineStr">
        <is>
          <t>Voir l'en-tête de l'onglet</t>
        </is>
      </c>
      <c r="D71" s="2" t="inlineStr">
        <is>
          <t>Voir l'en-tête de l'onglet et les commentaires des cellules</t>
        </is>
      </c>
      <c r="E71" s="2" t="inlineStr">
        <is>
          <t>Écart nul : l'état est comptabilisé au franc près.</t>
        </is>
      </c>
      <c r="F71" s="2" t="inlineStr">
        <is>
          <t>Voir l'onglet 00_validite</t>
        </is>
      </c>
      <c r="G71" s="2" t="inlineStr"/>
    </row>
    <row r="72" ht="30" customHeight="1">
      <c r="A72" s="4" t="inlineStr">
        <is>
          <t>19b_deces_dette_et_provision</t>
        </is>
      </c>
      <c r="B72" s="2" t="inlineStr">
        <is>
          <t>Dette décès réelle et provision obsèques ; ancienneté du stock.</t>
        </is>
      </c>
      <c r="C72" s="2" t="inlineStr">
        <is>
          <t>Voir l'en-tête de l'onglet</t>
        </is>
      </c>
      <c r="D72" s="2" t="inlineStr">
        <is>
          <t>Voir l'en-tête de l'onglet et les commentaires des cellules</t>
        </is>
      </c>
      <c r="E72" s="2" t="inlineStr">
        <is>
          <t>La provision obsèques double la dette déjà comptabilisée.</t>
        </is>
      </c>
      <c r="F72" s="2" t="inlineStr">
        <is>
          <t>Voir l'onglet 00_validite</t>
        </is>
      </c>
      <c r="G72" s="2" t="inlineStr"/>
    </row>
    <row r="73" ht="30" customHeight="1">
      <c r="A73" s="4" t="inlineStr">
        <is>
          <t>19c_deces_declares_tard</t>
        </is>
      </c>
      <c r="B73" s="2" t="inlineStr">
        <is>
          <t>Décès d'une année enregistrés l'année suivante.</t>
        </is>
      </c>
      <c r="C73" s="2" t="inlineStr">
        <is>
          <t>Voir l'en-tête de l'onglet</t>
        </is>
      </c>
      <c r="D73" s="2" t="inlineStr">
        <is>
          <t>Voir l'en-tête de l'onglet et les commentaires des cellules</t>
        </is>
      </c>
      <c r="E73" s="2" t="inlineStr">
        <is>
          <t>Base de la provision pour décès non déclarés.</t>
        </is>
      </c>
      <c r="F73" s="2" t="inlineStr">
        <is>
          <t>Voir l'onglet 00_validite</t>
        </is>
      </c>
      <c r="G73" s="2" t="inlineStr"/>
    </row>
    <row r="74" ht="30" customHeight="1">
      <c r="A74" s="4" t="inlineStr">
        <is>
          <t>20_risques_courts</t>
        </is>
      </c>
      <c r="B74" s="2" t="inlineStr">
        <is>
          <t>Provision pour risques courts (statuts, art. 88).</t>
        </is>
      </c>
      <c r="C74" s="2" t="inlineStr">
        <is>
          <t>Voir l'en-tête de l'onglet</t>
        </is>
      </c>
      <c r="D74" s="2" t="inlineStr">
        <is>
          <t>Voir l'en-tête de l'onglet et les commentaires des cellules</t>
        </is>
      </c>
      <c r="E74" s="2" t="inlineStr">
        <is>
          <t>Nulle : les cotisations couvrent leur propre mois.</t>
        </is>
      </c>
      <c r="F74" s="2" t="inlineStr">
        <is>
          <t>Voir l'onglet 00_validite</t>
        </is>
      </c>
      <c r="G74" s="2" t="inlineStr"/>
    </row>
    <row r="75" ht="30" customHeight="1">
      <c r="A75" s="4" t="inlineStr">
        <is>
          <t>21_epargne_interets</t>
        </is>
      </c>
      <c r="B75" s="2" t="inlineStr">
        <is>
          <t>Intérêts dus sur l'épargne depuis le 01/01/2020, taux modifiables en orange.</t>
        </is>
      </c>
      <c r="C75" s="2" t="inlineStr">
        <is>
          <t>Voir l'en-tête de l'onglet</t>
        </is>
      </c>
      <c r="D75" s="2" t="inlineStr">
        <is>
          <t>Voir l'en-tête de l'onglet et les commentaires des cellules</t>
        </is>
      </c>
      <c r="E75" s="2" t="inlineStr">
        <is>
          <t>Ces intérêts ne sont pas comptabilisés.</t>
        </is>
      </c>
      <c r="F75" s="2" t="inlineStr">
        <is>
          <t>Voir l'onglet 00_validite</t>
        </is>
      </c>
      <c r="G75" s="2" t="inlineStr"/>
    </row>
    <row r="76" ht="30" customHeight="1">
      <c r="A76" s="4" t="inlineStr">
        <is>
          <t>22_sante_retraites</t>
        </is>
      </c>
      <c r="B76" s="2" t="inlineStr">
        <is>
          <t>Cotisations des retraités et dates de naissance disponibles.</t>
        </is>
      </c>
      <c r="C76" s="2" t="inlineStr">
        <is>
          <t>Voir l'en-tête de l'onglet</t>
        </is>
      </c>
      <c r="D76" s="2" t="inlineStr">
        <is>
          <t>Voir l'en-tête de l'onglet et les commentaires des cellules</t>
        </is>
      </c>
      <c r="E76" s="2" t="inlineStr">
        <is>
          <t>L'engagement à vie n'est pas calculable.</t>
        </is>
      </c>
      <c r="F76" s="2" t="inlineStr">
        <is>
          <t>Voir l'onglet 00_validite</t>
        </is>
      </c>
      <c r="G76" s="2" t="inlineStr"/>
    </row>
    <row r="77" ht="30" customHeight="1">
      <c r="A77" s="4" t="inlineStr">
        <is>
          <t>23_grenier_depreciation</t>
        </is>
      </c>
      <c r="B77" s="2" t="inlineStr">
        <is>
          <t>Dépréciation des prêts du Grenier selon sa politique de crédit.</t>
        </is>
      </c>
      <c r="C77" s="2" t="inlineStr">
        <is>
          <t>Voir l'en-tête de l'onglet</t>
        </is>
      </c>
      <c r="D77" s="2" t="inlineStr">
        <is>
          <t>Voir l'en-tête de l'onglet et les commentaires des cellules</t>
        </is>
      </c>
      <c r="E77" s="2" t="inlineStr">
        <is>
          <t>Montant à passer en charge.</t>
        </is>
      </c>
      <c r="F77" s="2" t="inlineStr">
        <is>
          <t>Voir l'onglet 00_validite</t>
        </is>
      </c>
      <c r="G77" s="2" t="inlineStr"/>
    </row>
    <row r="78" ht="30" customHeight="1">
      <c r="A78" s="4" t="inlineStr">
        <is>
          <t>24a_ecoulement_epargne</t>
        </is>
      </c>
      <c r="B78" s="2" t="inlineStr">
        <is>
          <t>Taux de sortie annuel de l'épargne.</t>
        </is>
      </c>
      <c r="C78" s="2" t="inlineStr">
        <is>
          <t>Voir l'en-tête de l'onglet</t>
        </is>
      </c>
      <c r="D78" s="2" t="inlineStr">
        <is>
          <t>Voir l'en-tête de l'onglet et les commentaires des cellules</t>
        </is>
      </c>
      <c r="E78" s="2" t="inlineStr">
        <is>
          <t>Moyenne : scénario central ; maximum : résistance.</t>
        </is>
      </c>
      <c r="F78" s="2" t="inlineStr">
        <is>
          <t>Voir l'onglet 00_validite</t>
        </is>
      </c>
      <c r="G78" s="2" t="inlineStr"/>
    </row>
    <row r="79" ht="30" customHeight="1">
      <c r="A79" s="4" t="inlineStr">
        <is>
          <t>24b_ecarts_liquidite</t>
        </is>
      </c>
      <c r="B79" s="2" t="inlineStr">
        <is>
          <t>Couverture des paiements de l'année selon trois scénarios.</t>
        </is>
      </c>
      <c r="C79" s="2" t="inlineStr">
        <is>
          <t>Voir l'en-tête de l'onglet</t>
        </is>
      </c>
      <c r="D79" s="2" t="inlineStr">
        <is>
          <t>Voir l'en-tête de l'onglet et les commentaires des cellules</t>
        </is>
      </c>
      <c r="E79" s="2" t="inlineStr">
        <is>
          <t>Moins de 100 % : l'argent disponible ne suffit pas.</t>
        </is>
      </c>
      <c r="F79" s="2" t="inlineStr">
        <is>
          <t>Voir l'onglet 00_validite</t>
        </is>
      </c>
      <c r="G79" s="2" t="inlineStr"/>
    </row>
    <row r="80" ht="30" customHeight="1">
      <c r="A80" s="4" t="inlineStr">
        <is>
          <t>24c_ecarts_par_annee</t>
        </is>
      </c>
      <c r="B80" s="2" t="inlineStr">
        <is>
          <t>Écarts de liquidité année par année sur cinq ans.</t>
        </is>
      </c>
      <c r="C80" s="2" t="inlineStr">
        <is>
          <t>Voir l'en-tête de l'onglet</t>
        </is>
      </c>
      <c r="D80" s="2" t="inlineStr">
        <is>
          <t>Voir l'en-tête de l'onglet et les commentaires des cellules</t>
        </is>
      </c>
      <c r="E80" s="2" t="inlineStr">
        <is>
          <t>Écart cumulé négatif : argent qui manquerait.</t>
        </is>
      </c>
      <c r="F80" s="2" t="inlineStr">
        <is>
          <t>Voir l'onglet 00_validite</t>
        </is>
      </c>
      <c r="G80" s="2" t="inlineStr"/>
    </row>
    <row r="81" ht="30" customHeight="1">
      <c r="A81" s="4" t="inlineStr">
        <is>
          <t>25_projection_equilibre</t>
        </is>
      </c>
      <c r="B81" s="2" t="inlineStr">
        <is>
          <t>Projection agrégée du résultat technique de 2026 à 2030, deux scénarios.</t>
        </is>
      </c>
      <c r="C81" s="2" t="inlineStr">
        <is>
          <t>Voir l'en-tête de l'onglet</t>
        </is>
      </c>
      <c r="D81" s="2" t="inlineStr">
        <is>
          <t>Voir l'en-tête de l'onglet et les commentaires des cellules</t>
        </is>
      </c>
      <c r="E81" s="2" t="inlineStr">
        <is>
          <t>Lire l'avertissement : projection sans âges.</t>
        </is>
      </c>
      <c r="F81" s="2" t="inlineStr">
        <is>
          <t>Voir l'onglet 00_validite</t>
        </is>
      </c>
      <c r="G81" s="2" t="inlineStr"/>
    </row>
    <row r="82" ht="30" customHeight="1">
      <c r="A82" s="4" t="inlineStr">
        <is>
          <t>13a_methode</t>
        </is>
      </c>
      <c r="B82" s="2" t="inlineStr">
        <is>
          <t>Méthode des analyses de sensibilité et références.</t>
        </is>
      </c>
      <c r="C82" s="2" t="inlineStr">
        <is>
          <t>Voir l'en-tête de l'onglet</t>
        </is>
      </c>
      <c r="D82" s="2" t="inlineStr">
        <is>
          <t>Voir l'en-tête de l'onglet et les commentaires des cellules</t>
        </is>
      </c>
      <c r="E82" s="2" t="inlineStr">
        <is>
          <t>Lire avant les onglets 13b à 13i.</t>
        </is>
      </c>
      <c r="F82" s="2" t="inlineStr">
        <is>
          <t>Voir l'onglet 00_validite</t>
        </is>
      </c>
      <c r="G82" s="2" t="inlineStr"/>
    </row>
    <row r="83" ht="30" customHeight="1">
      <c r="A83" s="4" t="inlineStr">
        <is>
          <t>13b_parametres</t>
        </is>
      </c>
      <c r="B83" s="2" t="inlineStr">
        <is>
          <t>Normes et leviers modifiables (cellules orange).</t>
        </is>
      </c>
      <c r="C83" s="2" t="inlineStr">
        <is>
          <t>Voir l'en-tête de l'onglet</t>
        </is>
      </c>
      <c r="D83" s="2" t="inlineStr">
        <is>
          <t>Voir l'en-tête de l'onglet et les commentaires des cellules</t>
        </is>
      </c>
      <c r="E83" s="2" t="inlineStr">
        <is>
          <t>Changer une cellule orange recalcule les onglets 13.</t>
        </is>
      </c>
      <c r="F83" s="2" t="inlineStr">
        <is>
          <t>Voir l'onglet 00_validite</t>
        </is>
      </c>
      <c r="G83" s="2" t="inlineStr"/>
    </row>
    <row r="84" ht="30" customHeight="1">
      <c r="A84" s="4" t="inlineStr">
        <is>
          <t>13c_donnees</t>
        </is>
      </c>
      <c r="B84" s="2" t="inlineStr">
        <is>
          <t>Données des ratios reprises des onglets 10.</t>
        </is>
      </c>
      <c r="C84" s="2" t="inlineStr">
        <is>
          <t>Voir l'en-tête de l'onglet</t>
        </is>
      </c>
      <c r="D84" s="2" t="inlineStr">
        <is>
          <t>Voir l'en-tête de l'onglet et les commentaires des cellules</t>
        </is>
      </c>
      <c r="E84" s="2" t="inlineStr">
        <is>
          <t>Ne pas modifier.</t>
        </is>
      </c>
      <c r="F84" s="2" t="inlineStr">
        <is>
          <t>Voir l'onglet 00_validite</t>
        </is>
      </c>
      <c r="G84" s="2" t="inlineStr"/>
    </row>
    <row r="85" ht="30" customHeight="1">
      <c r="A85" s="4" t="inlineStr">
        <is>
          <t>13d_ecarts</t>
        </is>
      </c>
      <c r="B85" s="2" t="inlineStr">
        <is>
          <t>Statut de chaque ratio et montant à combler.</t>
        </is>
      </c>
      <c r="C85" s="2" t="inlineStr">
        <is>
          <t>Voir l'en-tête de l'onglet</t>
        </is>
      </c>
      <c r="D85" s="2" t="inlineStr">
        <is>
          <t>Voir l'en-tête de l'onglet et les commentaires des cellules</t>
        </is>
      </c>
      <c r="E85" s="2" t="inlineStr">
        <is>
          <t>Montant à combler : ce qui ramène le ratio sur sa norme.</t>
        </is>
      </c>
      <c r="F85" s="2" t="inlineStr">
        <is>
          <t>Voir l'onglet 00_validite</t>
        </is>
      </c>
      <c r="G85" s="2" t="inlineStr"/>
    </row>
    <row r="86" ht="30" customHeight="1">
      <c r="A86" s="4" t="inlineStr">
        <is>
          <t>13e_facteurs</t>
        </is>
      </c>
      <c r="B86" s="2" t="inlineStr">
        <is>
          <t>Comptes qui expliquent les écarts chaque année.</t>
        </is>
      </c>
      <c r="C86" s="2" t="inlineStr">
        <is>
          <t>Voir l'en-tête de l'onglet</t>
        </is>
      </c>
      <c r="D86" s="2" t="inlineStr">
        <is>
          <t>Voir l'en-tête de l'onglet et les commentaires des cellules</t>
        </is>
      </c>
      <c r="E86" s="2" t="inlineStr">
        <is>
          <t>Une croix : le compte entre dans le ratio.</t>
        </is>
      </c>
      <c r="F86" s="2" t="inlineStr">
        <is>
          <t>Voir l'onglet 00_validite</t>
        </is>
      </c>
      <c r="G86" s="2" t="inlineStr"/>
    </row>
    <row r="87" ht="30" customHeight="1">
      <c r="A87" s="4" t="inlineStr">
        <is>
          <t>13f_leviers</t>
        </is>
      </c>
      <c r="B87" s="2" t="inlineStr">
        <is>
          <t>Montant de chaque levier qui ramène chaque ratio sur sa norme.</t>
        </is>
      </c>
      <c r="C87" s="2" t="inlineStr">
        <is>
          <t>Voir l'en-tête de l'onglet</t>
        </is>
      </c>
      <c r="D87" s="2" t="inlineStr">
        <is>
          <t>Voir l'en-tête de l'onglet et les commentaires des cellules</t>
        </is>
      </c>
      <c r="E87" s="2" t="inlineStr">
        <is>
          <t>Un levier à la fois.</t>
        </is>
      </c>
      <c r="F87" s="2" t="inlineStr">
        <is>
          <t>Voir l'onglet 00_validite</t>
        </is>
      </c>
      <c r="G87" s="2" t="inlineStr"/>
    </row>
    <row r="88" ht="30" customHeight="1">
      <c r="A88" s="4" t="inlineStr">
        <is>
          <t>13g_inflation</t>
        </is>
      </c>
      <c r="B88" s="2" t="inlineStr">
        <is>
          <t>Inflation des prix de la santé (ANStat), pondérée par les prestations du FPPN.</t>
        </is>
      </c>
      <c r="C88" s="2" t="inlineStr">
        <is>
          <t>Voir l'en-tête de l'onglet</t>
        </is>
      </c>
      <c r="D88" s="2" t="inlineStr">
        <is>
          <t>Voir l'en-tête de l'onglet et les commentaires des cellules</t>
        </is>
      </c>
      <c r="E88" s="2" t="inlineStr">
        <is>
          <t>Sert au test de hausse des prestations.</t>
        </is>
      </c>
      <c r="F88" s="2" t="inlineStr">
        <is>
          <t>Voir l'onglet 00_validite</t>
        </is>
      </c>
      <c r="G88" s="2" t="inlineStr"/>
    </row>
    <row r="89" ht="30" customHeight="1">
      <c r="A89" s="4" t="inlineStr">
        <is>
          <t>13i_rendement</t>
        </is>
      </c>
      <c r="B89" s="2" t="inlineStr">
        <is>
          <t>Rendement des placements comparé aux taux du marché.</t>
        </is>
      </c>
      <c r="C89" s="2" t="inlineStr">
        <is>
          <t>Voir l'en-tête de l'onglet</t>
        </is>
      </c>
      <c r="D89" s="2" t="inlineStr">
        <is>
          <t>Voir l'en-tête de l'onglet et les commentaires des cellules</t>
        </is>
      </c>
      <c r="E89" s="2" t="inlineStr">
        <is>
          <t>Comparer au taux servi sur l'épargne.</t>
        </is>
      </c>
      <c r="F89" s="2" t="inlineStr">
        <is>
          <t>Voir l'onglet 00_validite</t>
        </is>
      </c>
      <c r="G89" s="2" t="inlineStr"/>
    </row>
    <row r="90" ht="30" customHeight="1">
      <c r="A90" s="4" t="inlineStr">
        <is>
          <t>13h_synthese</t>
        </is>
      </c>
      <c r="B90" s="2" t="inlineStr">
        <is>
          <t>Effet d'un choc de 100 000 000 FCFA sur chaque ratio.</t>
        </is>
      </c>
      <c r="C90" s="2" t="inlineStr">
        <is>
          <t>Voir l'en-tête de l'onglet</t>
        </is>
      </c>
      <c r="D90" s="2" t="inlineStr">
        <is>
          <t>Voir l'en-tête de l'onglet et les commentaires des cellules</t>
        </is>
      </c>
      <c r="E90" s="2" t="inlineStr">
        <is>
          <t>Signe de l'effet : améliore ou dégrade.</t>
        </is>
      </c>
      <c r="F90" s="2" t="inlineStr">
        <is>
          <t>Voir l'onglet 00_validite</t>
        </is>
      </c>
      <c r="G90" s="2" t="inlineStr"/>
    </row>
  </sheetData>
  <mergeCells count="5">
    <mergeCell ref="A4:H4"/>
    <mergeCell ref="A3:H3"/>
    <mergeCell ref="A7:H7"/>
    <mergeCell ref="A5:H5"/>
    <mergeCell ref="A6:H6"/>
  </mergeCells>
  <hyperlinks>
    <hyperlink xmlns:r="http://schemas.openxmlformats.org/officeDocument/2006/relationships" ref="A10" r:id="rId1"/>
    <hyperlink xmlns:r="http://schemas.openxmlformats.org/officeDocument/2006/relationships" ref="A11" r:id="rId2"/>
    <hyperlink xmlns:r="http://schemas.openxmlformats.org/officeDocument/2006/relationships" ref="A12" r:id="rId3"/>
    <hyperlink xmlns:r="http://schemas.openxmlformats.org/officeDocument/2006/relationships" ref="A13" r:id="rId4"/>
    <hyperlink xmlns:r="http://schemas.openxmlformats.org/officeDocument/2006/relationships" ref="A14" r:id="rId5"/>
    <hyperlink xmlns:r="http://schemas.openxmlformats.org/officeDocument/2006/relationships" ref="A15" r:id="rId6"/>
    <hyperlink xmlns:r="http://schemas.openxmlformats.org/officeDocument/2006/relationships" ref="A16" r:id="rId7"/>
    <hyperlink xmlns:r="http://schemas.openxmlformats.org/officeDocument/2006/relationships" ref="A17" r:id="rId8"/>
    <hyperlink xmlns:r="http://schemas.openxmlformats.org/officeDocument/2006/relationships" ref="A18" r:id="rId9"/>
    <hyperlink xmlns:r="http://schemas.openxmlformats.org/officeDocument/2006/relationships" ref="A19" r:id="rId10"/>
    <hyperlink xmlns:r="http://schemas.openxmlformats.org/officeDocument/2006/relationships" ref="A20" r:id="rId11"/>
    <hyperlink xmlns:r="http://schemas.openxmlformats.org/officeDocument/2006/relationships" ref="A21" r:id="rId12"/>
    <hyperlink xmlns:r="http://schemas.openxmlformats.org/officeDocument/2006/relationships" ref="A22" r:id="rId13"/>
    <hyperlink xmlns:r="http://schemas.openxmlformats.org/officeDocument/2006/relationships" ref="A23" r:id="rId14"/>
    <hyperlink xmlns:r="http://schemas.openxmlformats.org/officeDocument/2006/relationships" ref="A24" r:id="rId15"/>
    <hyperlink xmlns:r="http://schemas.openxmlformats.org/officeDocument/2006/relationships" ref="A25" r:id="rId16"/>
    <hyperlink xmlns:r="http://schemas.openxmlformats.org/officeDocument/2006/relationships" ref="A26" r:id="rId17"/>
    <hyperlink xmlns:r="http://schemas.openxmlformats.org/officeDocument/2006/relationships" ref="A27" r:id="rId18"/>
    <hyperlink xmlns:r="http://schemas.openxmlformats.org/officeDocument/2006/relationships" ref="A28" r:id="rId19"/>
    <hyperlink xmlns:r="http://schemas.openxmlformats.org/officeDocument/2006/relationships" ref="A29" r:id="rId20"/>
    <hyperlink xmlns:r="http://schemas.openxmlformats.org/officeDocument/2006/relationships" ref="A30" r:id="rId21"/>
    <hyperlink xmlns:r="http://schemas.openxmlformats.org/officeDocument/2006/relationships" ref="A31" r:id="rId22"/>
    <hyperlink xmlns:r="http://schemas.openxmlformats.org/officeDocument/2006/relationships" ref="A32" r:id="rId23"/>
    <hyperlink xmlns:r="http://schemas.openxmlformats.org/officeDocument/2006/relationships" ref="A33" r:id="rId24"/>
    <hyperlink xmlns:r="http://schemas.openxmlformats.org/officeDocument/2006/relationships" ref="A34" r:id="rId25"/>
    <hyperlink xmlns:r="http://schemas.openxmlformats.org/officeDocument/2006/relationships" ref="A35" r:id="rId26"/>
    <hyperlink xmlns:r="http://schemas.openxmlformats.org/officeDocument/2006/relationships" ref="A36" r:id="rId27"/>
    <hyperlink xmlns:r="http://schemas.openxmlformats.org/officeDocument/2006/relationships" ref="A37" r:id="rId28"/>
    <hyperlink xmlns:r="http://schemas.openxmlformats.org/officeDocument/2006/relationships" ref="A38" r:id="rId29"/>
    <hyperlink xmlns:r="http://schemas.openxmlformats.org/officeDocument/2006/relationships" ref="A39" r:id="rId30"/>
    <hyperlink xmlns:r="http://schemas.openxmlformats.org/officeDocument/2006/relationships" ref="A40" r:id="rId31"/>
    <hyperlink xmlns:r="http://schemas.openxmlformats.org/officeDocument/2006/relationships" ref="A41" r:id="rId32"/>
    <hyperlink xmlns:r="http://schemas.openxmlformats.org/officeDocument/2006/relationships" ref="A42" r:id="rId33"/>
    <hyperlink xmlns:r="http://schemas.openxmlformats.org/officeDocument/2006/relationships" ref="A43" r:id="rId34"/>
    <hyperlink xmlns:r="http://schemas.openxmlformats.org/officeDocument/2006/relationships" ref="A44" r:id="rId35"/>
    <hyperlink xmlns:r="http://schemas.openxmlformats.org/officeDocument/2006/relationships" ref="A45" r:id="rId36"/>
    <hyperlink xmlns:r="http://schemas.openxmlformats.org/officeDocument/2006/relationships" ref="A46" r:id="rId37"/>
    <hyperlink xmlns:r="http://schemas.openxmlformats.org/officeDocument/2006/relationships" ref="A47" r:id="rId38"/>
    <hyperlink xmlns:r="http://schemas.openxmlformats.org/officeDocument/2006/relationships" ref="A48" r:id="rId39"/>
    <hyperlink xmlns:r="http://schemas.openxmlformats.org/officeDocument/2006/relationships" ref="A49" r:id="rId40"/>
    <hyperlink xmlns:r="http://schemas.openxmlformats.org/officeDocument/2006/relationships" ref="A50" r:id="rId41"/>
    <hyperlink xmlns:r="http://schemas.openxmlformats.org/officeDocument/2006/relationships" ref="A51" r:id="rId42"/>
    <hyperlink xmlns:r="http://schemas.openxmlformats.org/officeDocument/2006/relationships" ref="A52" r:id="rId43"/>
    <hyperlink xmlns:r="http://schemas.openxmlformats.org/officeDocument/2006/relationships" ref="A53" r:id="rId44"/>
    <hyperlink xmlns:r="http://schemas.openxmlformats.org/officeDocument/2006/relationships" ref="A54" r:id="rId45"/>
    <hyperlink xmlns:r="http://schemas.openxmlformats.org/officeDocument/2006/relationships" ref="A55" r:id="rId46"/>
    <hyperlink xmlns:r="http://schemas.openxmlformats.org/officeDocument/2006/relationships" ref="A56" r:id="rId47"/>
    <hyperlink xmlns:r="http://schemas.openxmlformats.org/officeDocument/2006/relationships" ref="A57" r:id="rId48"/>
    <hyperlink xmlns:r="http://schemas.openxmlformats.org/officeDocument/2006/relationships" ref="A58" r:id="rId49"/>
    <hyperlink xmlns:r="http://schemas.openxmlformats.org/officeDocument/2006/relationships" ref="A59" r:id="rId50"/>
    <hyperlink xmlns:r="http://schemas.openxmlformats.org/officeDocument/2006/relationships" ref="A60" r:id="rId51"/>
    <hyperlink xmlns:r="http://schemas.openxmlformats.org/officeDocument/2006/relationships" ref="A61" r:id="rId52"/>
    <hyperlink xmlns:r="http://schemas.openxmlformats.org/officeDocument/2006/relationships" ref="A62" r:id="rId53"/>
    <hyperlink xmlns:r="http://schemas.openxmlformats.org/officeDocument/2006/relationships" ref="A63" r:id="rId54"/>
    <hyperlink xmlns:r="http://schemas.openxmlformats.org/officeDocument/2006/relationships" ref="A64" r:id="rId55"/>
    <hyperlink xmlns:r="http://schemas.openxmlformats.org/officeDocument/2006/relationships" ref="A65" r:id="rId56"/>
    <hyperlink xmlns:r="http://schemas.openxmlformats.org/officeDocument/2006/relationships" ref="A66" r:id="rId57"/>
    <hyperlink xmlns:r="http://schemas.openxmlformats.org/officeDocument/2006/relationships" ref="A67" r:id="rId58"/>
    <hyperlink xmlns:r="http://schemas.openxmlformats.org/officeDocument/2006/relationships" ref="A68" r:id="rId59"/>
    <hyperlink xmlns:r="http://schemas.openxmlformats.org/officeDocument/2006/relationships" ref="A69" r:id="rId60"/>
    <hyperlink xmlns:r="http://schemas.openxmlformats.org/officeDocument/2006/relationships" ref="A70" r:id="rId61"/>
    <hyperlink xmlns:r="http://schemas.openxmlformats.org/officeDocument/2006/relationships" ref="A71" r:id="rId62"/>
    <hyperlink xmlns:r="http://schemas.openxmlformats.org/officeDocument/2006/relationships" ref="A72" r:id="rId63"/>
    <hyperlink xmlns:r="http://schemas.openxmlformats.org/officeDocument/2006/relationships" ref="A73" r:id="rId64"/>
    <hyperlink xmlns:r="http://schemas.openxmlformats.org/officeDocument/2006/relationships" ref="A74" r:id="rId65"/>
    <hyperlink xmlns:r="http://schemas.openxmlformats.org/officeDocument/2006/relationships" ref="A75" r:id="rId66"/>
    <hyperlink xmlns:r="http://schemas.openxmlformats.org/officeDocument/2006/relationships" ref="A76" r:id="rId67"/>
    <hyperlink xmlns:r="http://schemas.openxmlformats.org/officeDocument/2006/relationships" ref="A77" r:id="rId68"/>
    <hyperlink xmlns:r="http://schemas.openxmlformats.org/officeDocument/2006/relationships" ref="A78" r:id="rId69"/>
    <hyperlink xmlns:r="http://schemas.openxmlformats.org/officeDocument/2006/relationships" ref="A79" r:id="rId70"/>
    <hyperlink xmlns:r="http://schemas.openxmlformats.org/officeDocument/2006/relationships" ref="A80" r:id="rId71"/>
    <hyperlink xmlns:r="http://schemas.openxmlformats.org/officeDocument/2006/relationships" ref="A81" r:id="rId72"/>
    <hyperlink xmlns:r="http://schemas.openxmlformats.org/officeDocument/2006/relationships" ref="A82" r:id="rId73"/>
    <hyperlink xmlns:r="http://schemas.openxmlformats.org/officeDocument/2006/relationships" ref="A83" r:id="rId74"/>
    <hyperlink xmlns:r="http://schemas.openxmlformats.org/officeDocument/2006/relationships" ref="A84" r:id="rId75"/>
    <hyperlink xmlns:r="http://schemas.openxmlformats.org/officeDocument/2006/relationships" ref="A85" r:id="rId76"/>
    <hyperlink xmlns:r="http://schemas.openxmlformats.org/officeDocument/2006/relationships" ref="A86" r:id="rId77"/>
    <hyperlink xmlns:r="http://schemas.openxmlformats.org/officeDocument/2006/relationships" ref="A87" r:id="rId78"/>
    <hyperlink xmlns:r="http://schemas.openxmlformats.org/officeDocument/2006/relationships" ref="A88" r:id="rId79"/>
    <hyperlink xmlns:r="http://schemas.openxmlformats.org/officeDocument/2006/relationships" ref="A89" r:id="rId80"/>
    <hyperlink xmlns:r="http://schemas.openxmlformats.org/officeDocument/2006/relationships" ref="A90" r:id="rId81"/>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13"/>
  <sheetViews>
    <sheetView showGridLines="0" workbookViewId="0">
      <selection activeCell="A1" sqref="A1"/>
    </sheetView>
  </sheetViews>
  <sheetFormatPr baseColWidth="8" defaultRowHeight="15"/>
  <cols>
    <col width="120" customWidth="1" min="1" max="1"/>
  </cols>
  <sheetData>
    <row r="1">
      <c r="A1" s="5" t="inlineStr">
        <is>
          <t>Classeur des calculs du rapport actuariel et statistique du FPPN (mission du 01/09/2020 au 31/08/2026, informations exploitées depuis le 01/01/2020).</t>
        </is>
      </c>
    </row>
    <row r="2">
      <c r="A2" s="6" t="inlineStr">
        <is>
          <t>Onglets 1 à 7 : données, effectifs, sinistralité, bilan, Grenier, produits annexes, placements.</t>
        </is>
      </c>
    </row>
    <row r="3">
      <c r="A3" s="6" t="inlineStr">
        <is>
          <t>Onglets 8 : inflation et valeurs réelles, taux de croissance, tendances, sensibilités, provisions, tables de mortalité.</t>
        </is>
      </c>
    </row>
    <row r="4">
      <c r="A4" s="6" t="inlineStr">
        <is>
          <t>Onglet 9_tracabilite : chaque chiffre écrit dans le rapport, avec sa diapositive et sa valeur exacte.</t>
        </is>
      </c>
    </row>
    <row r="5">
      <c r="A5" s="6" t="inlineStr">
        <is>
          <t>Contrôle automatique : 2316 chiffres retrouvés sur 2316 enregistrés, 269 diapositives.</t>
        </is>
      </c>
    </row>
    <row r="6">
      <c r="A6" s="6" t="inlineStr">
        <is>
          <t>Formats : pourcentages à deux décimales, montants exacts en FCFA sans décimales.</t>
        </is>
      </c>
    </row>
    <row r="7">
      <c r="A7" s="6" t="inlineStr">
        <is>
          <t>Sources : fichiers reçus du FPPN le 15/10/2026, Banque mondiale (FP.CPI.TOTL.ZG), tables CIMA validées le 18/10/2026.</t>
        </is>
      </c>
    </row>
    <row r="8">
      <c r="A8" s="6" t="inlineStr">
        <is>
          <t>Onglets 10 : ratios prudentiels, classement des comptes, marge de solvabilité, excédent par risque, contrôle du PCMS, adossement par échéance ; onglet 10_tableau_de_bord mis en forme.</t>
        </is>
      </c>
    </row>
    <row r="9">
      <c r="A9" s="6" t="inlineStr">
        <is>
          <t>Onglet 11_formules : registre complet des formules (méthode du FPPN, méthode réglementaire, écart, risques, source). Onglets 12_ : provisions et variantes de sinistralité.</t>
        </is>
      </c>
    </row>
    <row r="10">
      <c r="A10" s="6" t="inlineStr">
        <is>
          <t>Onglets 13 : analyses de sensibilité et leviers de conformité, à formules vivantes. Méthode et références (13a), paramètres modifiables en orange (13b), données (13c), statuts et montants à combler (13d), facteurs récurrents (13e), montants d'équilibre des leviers (13f), inflation médicale ANStat (13g), choc de 100 000 000 FCFA et faisabilité conjointe (13h), rendement et taux du marché (13i). Un commentaire explique chaque cellule clé.</t>
        </is>
      </c>
    </row>
    <row r="11">
      <c r="A11" s="6" t="inlineStr">
        <is>
          <t>Charte graphique Adenka : Helvetica, titre au-dessus et source sous chaque tableau, en-tête noir, première colonne grise, lignes alternées, cellules modifiables en orange, statuts conformes en bleu nuit et non conformes en rouge.</t>
        </is>
      </c>
    </row>
    <row r="12">
      <c r="A12" s="6" t="inlineStr">
        <is>
          <t>Onglets 14 à 17 : provision du personnel agent par agent à partir des DISA, paramètres modifiables en orange (14a), calcul par agent avec formules (14b), synthèse par entité DG, CMP, Grenier (14c), table CIMA F (14t) ; mortalité brute et sinistralité du FPPN (15) ; intérêts de l'EFC selon le taux servi (16) ; contrôles croisés (17). Onglet 00_validite : périmètre et validité de chaque analyse.</t>
        </is>
      </c>
    </row>
    <row r="13">
      <c r="A13" s="6" t="inlineStr">
        <is>
          <t>Onglets 18 à 25 : revue actuarielle complète (provision maladie, allocations décès, risques courts, intérêts d'épargne, santé des retraités, dépréciation du Grenier, adossement actif-passif, projection). Chaque onglet commence par une explication en mots simples ; les cellules orange sont modifiables.</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12A40"/>
    <outlinePr summaryBelow="1" summaryRight="1"/>
    <pageSetUpPr fitToPage="1"/>
  </sheetPr>
  <dimension ref="A1:O92"/>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3.55"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18.8" customWidth="1" min="12" max="12"/>
    <col width="50" customWidth="1" min="13" max="13"/>
    <col width="50" customWidth="1" min="14" max="14"/>
    <col width="27.15" customWidth="1" min="15" max="15"/>
  </cols>
  <sheetData>
    <row r="1">
      <c r="A1" s="7" t="inlineStr">
        <is>
          <t>Tableau : Registre des formules du rapport</t>
        </is>
      </c>
    </row>
    <row r="2"/>
    <row r="3" ht="30" customHeight="1">
      <c r="A3" s="8" t="inlineStr">
        <is>
          <t>Identifiant</t>
        </is>
      </c>
      <c r="B3" s="8" t="inlineStr">
        <is>
          <t>Diapositives</t>
        </is>
      </c>
      <c r="C3" s="8" t="inlineStr">
        <is>
          <t>Indicateur</t>
        </is>
      </c>
      <c r="D3" s="8" t="inlineStr">
        <is>
          <t>Formule littérale</t>
        </is>
      </c>
      <c r="E3" s="8" t="inlineStr">
        <is>
          <t>Formule détaillée (comptes, colonnes)</t>
        </is>
      </c>
      <c r="F3" s="8" t="inlineStr">
        <is>
          <t>Données sources</t>
        </is>
      </c>
      <c r="G3" s="8" t="inlineStr">
        <is>
          <t>Méthode du FPPN</t>
        </is>
      </c>
      <c r="H3" s="8" t="inlineStr">
        <is>
          <t>Méthode réglementaire (texte, article, formule, norme)</t>
        </is>
      </c>
      <c r="I3" s="8" t="inlineStr">
        <is>
          <t>Analyse de l'écart et faisabilité</t>
        </is>
      </c>
      <c r="J3" s="8" t="inlineStr">
        <is>
          <t>Impact chiffré</t>
        </is>
      </c>
      <c r="K3" s="8" t="inlineStr">
        <is>
          <t>Risques et limites</t>
        </is>
      </c>
      <c r="L3" s="8" t="inlineStr">
        <is>
          <t>Niveau de risque</t>
        </is>
      </c>
      <c r="M3" s="8" t="inlineStr">
        <is>
          <t>Source de la méthode</t>
        </is>
      </c>
      <c r="N3" s="8" t="inlineStr">
        <is>
          <t>Calcul (script, onglet)</t>
        </is>
      </c>
      <c r="O3" s="8" t="inlineStr">
        <is>
          <t>Statut</t>
        </is>
      </c>
    </row>
    <row r="4">
      <c r="A4" s="9" t="inlineStr">
        <is>
          <t>F-03-01</t>
        </is>
      </c>
      <c r="B4" s="10" t="inlineStr">
        <is>
          <t>39, 40</t>
        </is>
      </c>
      <c r="C4" s="10" t="inlineStr">
        <is>
          <t>Taux de précompte</t>
        </is>
      </c>
      <c r="D4" s="10" t="inlineStr">
        <is>
          <t>Montant précompté (fichier retour) divisé par le montant demandé (fichier aller), sur les mois où les deux fichiers existent.</t>
        </is>
      </c>
      <c r="E4" s="10" t="inlineStr">
        <is>
          <t>Somme des montants retour / somme des montants aller, par poste et par mois</t>
        </is>
      </c>
      <c r="F4" s="10" t="inlineStr">
        <is>
          <t>Fichiers de précomptes reçus le 15/10/2026</t>
        </is>
      </c>
      <c r="G4" s="11" t="inlineStr">
        <is>
          <t>Non communiquée : le FPPN ne rapproche pas les fichiers aller et retour (entretien du 19/10/2026)</t>
        </is>
      </c>
      <c r="H4" s="10" t="inlineStr">
        <is>
          <t>Décision n° 05/2022/COM/UEMOA, annexe, tableau 2 : taux de recouvrement = cotisations recouvrées / cotisations émises, au moins 90 %</t>
        </is>
      </c>
      <c r="I4" s="10" t="inlineStr">
        <is>
          <t>Même formule que le texte. Elle n'est calculable que si le FPPN détient le fichier aller, ce qui n'est pas le cas pour la maladie et le décès.</t>
        </is>
      </c>
      <c r="J4" s="10" t="inlineStr">
        <is>
          <t>Non mesurable pour la maladie et le décès (fichiers aller détenus par la direction du personnel)</t>
        </is>
      </c>
      <c r="K4" s="10" t="inlineStr">
        <is>
          <t>Fichiers aller incomplets (taux supérieur à 100 %), mois manquants</t>
        </is>
      </c>
      <c r="L4" s="10" t="inlineStr">
        <is>
          <t>Élevé</t>
        </is>
      </c>
      <c r="M4" s="10" t="inlineStr">
        <is>
          <t>Décision n° 05/2022/COM/UEMOA, annexe</t>
        </is>
      </c>
      <c r="N4" s="10" t="inlineStr">
        <is>
          <t>analyses_fppn.py, onglet 1_aller_retour</t>
        </is>
      </c>
      <c r="O4" s="10" t="inlineStr">
        <is>
          <t>Conforme au texte</t>
        </is>
      </c>
    </row>
    <row r="5">
      <c r="A5" s="9" t="inlineStr">
        <is>
          <t>F-03-02</t>
        </is>
      </c>
      <c r="B5" s="12" t="inlineStr">
        <is>
          <t>37, 42</t>
        </is>
      </c>
      <c r="C5" s="12" t="inlineStr">
        <is>
          <t>Lignes de total écartées</t>
        </is>
      </c>
      <c r="D5" s="12" t="inlineStr">
        <is>
          <t>Une ligne dont le montant égale la somme des autres lignes de la feuille, à 1 % près, est un total et non un mutualiste.</t>
        </is>
      </c>
      <c r="E5" s="12" t="inlineStr">
        <is>
          <t>|montant de la ligne - (somme de la feuille - montant de la ligne)| ≤ 1 % de la somme</t>
        </is>
      </c>
      <c r="F5" s="12" t="inlineStr">
        <is>
          <t>Fichiers de précomptes reçus le 15/10/2026</t>
        </is>
      </c>
      <c r="G5" s="12" t="inlineStr">
        <is>
          <t>Sans objet (contrôle des données)</t>
        </is>
      </c>
      <c r="H5" s="12" t="inlineStr">
        <is>
          <t>Aucun texte applicable</t>
        </is>
      </c>
      <c r="I5" s="12" t="inlineStr">
        <is>
          <t>Contrôle de qualité des données, nécessaire pour ne pas compter deux fois un montant.</t>
        </is>
      </c>
      <c r="J5" s="12" t="inlineStr">
        <is>
          <t>Lignes et montants écartés journalisés</t>
        </is>
      </c>
      <c r="K5" s="12" t="inlineStr">
        <is>
          <t>Un vrai mutualiste au montant égal à la somme serait écarté (cas non rencontré)</t>
        </is>
      </c>
      <c r="L5" s="12" t="inlineStr">
        <is>
          <t>Faible</t>
        </is>
      </c>
      <c r="M5" s="12" t="inlineStr">
        <is>
          <t>Pratique de contrôle des données (ISA 500, caractère probant des données)</t>
        </is>
      </c>
      <c r="N5" s="12" t="inlineStr">
        <is>
          <t>base_fppn.py, journal des rejets</t>
        </is>
      </c>
      <c r="O5" s="12" t="inlineStr">
        <is>
          <t>Sans texte applicable</t>
        </is>
      </c>
    </row>
    <row r="6">
      <c r="A6" s="9" t="inlineStr">
        <is>
          <t>F-03-03</t>
        </is>
      </c>
      <c r="B6" s="10" t="inlineStr">
        <is>
          <t>38, 42</t>
        </is>
      </c>
      <c r="C6" s="10" t="inlineStr">
        <is>
          <t>Montants doublés corrigés</t>
        </is>
      </c>
      <c r="D6" s="10" t="inlineStr">
        <is>
          <t>Un montant décès formé de deux moitiés identiques écrites à la suite est ramené à sa première moitié.</t>
        </is>
      </c>
      <c r="E6" s="10" t="inlineStr">
        <is>
          <t>Si montant &gt; 1 000 000 FCFA et moitié gauche = moitié droite, montant retenu = moitié gauche</t>
        </is>
      </c>
      <c r="F6" s="10" t="inlineStr">
        <is>
          <t>Fichiers de précomptes reçus le 15/10/2026</t>
        </is>
      </c>
      <c r="G6" s="10" t="inlineStr">
        <is>
          <t>Sans objet (contrôle des données)</t>
        </is>
      </c>
      <c r="H6" s="10" t="inlineStr">
        <is>
          <t>Aucun texte applicable</t>
        </is>
      </c>
      <c r="I6" s="10" t="inlineStr">
        <is>
          <t>Correction d'une double frappe, limitée au poste décès et réversible.</t>
        </is>
      </c>
      <c r="J6" s="10" t="inlineStr">
        <is>
          <t>Lignes corrigées journalisées, montant d'origine conservé</t>
        </is>
      </c>
      <c r="K6" s="10" t="inlineStr">
        <is>
          <t>Correction à tort d'un montant réel symétrique</t>
        </is>
      </c>
      <c r="L6" s="10" t="inlineStr">
        <is>
          <t>Faible</t>
        </is>
      </c>
      <c r="M6" s="10" t="inlineStr">
        <is>
          <t>Pratique de contrôle des données</t>
        </is>
      </c>
      <c r="N6" s="10" t="inlineStr">
        <is>
          <t>base_fppn.py, colonne montant_origine</t>
        </is>
      </c>
      <c r="O6" s="10" t="inlineStr">
        <is>
          <t>Sans texte applicable</t>
        </is>
      </c>
    </row>
    <row r="7">
      <c r="A7" s="9" t="inlineStr">
        <is>
          <t>F-04-01</t>
        </is>
      </c>
      <c r="B7" s="12" t="inlineStr">
        <is>
          <t>48, 58</t>
        </is>
      </c>
      <c r="C7" s="12" t="inlineStr">
        <is>
          <t>Effectif cotisant du mois</t>
        </is>
      </c>
      <c r="D7" s="12" t="inlineStr">
        <is>
          <t>Nombre de matricules distincts du fichier maladie 936 du mois.</t>
        </is>
      </c>
      <c r="E7" s="12" t="inlineStr">
        <is>
          <t>nunique(matricule) du poste 936, mois m</t>
        </is>
      </c>
      <c r="F7" s="12" t="inlineStr">
        <is>
          <t>Fichiers de précomptes reçus le 15/10/2026</t>
        </is>
      </c>
      <c r="G7" s="13" t="inlineStr">
        <is>
          <t>Non communiquée : aucun calcul du FPPN transmis</t>
        </is>
      </c>
      <c r="H7" s="12" t="inlineStr">
        <is>
          <t>Aucun texte ne fixe le mode de comptage</t>
        </is>
      </c>
      <c r="I7" s="12" t="inlineStr">
        <is>
          <t>Comptage direct sur les fichiers de la Solde.</t>
        </is>
      </c>
      <c r="J7" s="12" t="inlineStr">
        <is>
          <t>Trente et un mois disponibles</t>
        </is>
      </c>
      <c r="K7" s="12" t="inlineStr">
        <is>
          <t>Mois manquants avant 2024</t>
        </is>
      </c>
      <c r="L7" s="12" t="inlineStr">
        <is>
          <t>Moyen</t>
        </is>
      </c>
      <c r="M7" s="12" t="inlineStr">
        <is>
          <t>Pratique statistique (comptage d'unités distinctes)</t>
        </is>
      </c>
      <c r="N7" s="12" t="inlineStr">
        <is>
          <t>analyses_fppn.py, onglet 2_effectifs</t>
        </is>
      </c>
      <c r="O7" s="12" t="inlineStr">
        <is>
          <t>Sans texte applicable</t>
        </is>
      </c>
    </row>
    <row r="8">
      <c r="A8" s="9" t="inlineStr">
        <is>
          <t>F-04-02</t>
        </is>
      </c>
      <c r="B8" s="10" t="inlineStr">
        <is>
          <t>48, 49, 78</t>
        </is>
      </c>
      <c r="C8" s="10" t="inlineStr">
        <is>
          <t>Entrées, sorties et fidélisation</t>
        </is>
      </c>
      <c r="D8" s="10" t="inlineStr">
        <is>
          <t>Une entrée est un matricule présent un mois et absent le mois précédent, une sortie l'inverse. La fidélisation rapporte les matricules présents deux années de suite à ceux de l'année précédente.</t>
        </is>
      </c>
      <c r="E8" s="10" t="inlineStr">
        <is>
          <t>Entrées(m) = |M(m) \ M(m-1)| ; sorties(m) = |M(m-1) \ M(m)| ; fidélisation = |M(n) ∩ M(n-1)| / |M(n-1)|</t>
        </is>
      </c>
      <c r="F8" s="10" t="inlineStr">
        <is>
          <t>Fichiers de précomptes reçus le 15/10/2026</t>
        </is>
      </c>
      <c r="G8" s="11" t="inlineStr">
        <is>
          <t>Non communiquée : aucun calcul du FPPN transmis</t>
        </is>
      </c>
      <c r="H8" s="10" t="inlineStr">
        <is>
          <t>Décision n° 05/2022/COM/UEMOA, annexe, tableau 2 : taux de fidélisation = renouvellements n / adhérents n-1, au moins 80 %</t>
        </is>
      </c>
      <c r="I8" s="10" t="inlineStr">
        <is>
          <t>La fidélisation suit le texte. Entrées et sorties n'ont pas de norme.</t>
        </is>
      </c>
      <c r="J8" s="10" t="inlineStr">
        <is>
          <t>Fidélisation conforme à la norme</t>
        </is>
      </c>
      <c r="K8" s="10" t="inlineStr">
        <is>
          <t>Motif de sortie inconnu (retraite, décès, radiation)</t>
        </is>
      </c>
      <c r="L8" s="10" t="inlineStr">
        <is>
          <t>Moyen</t>
        </is>
      </c>
      <c r="M8" s="10" t="inlineStr">
        <is>
          <t>Décision n° 05/2022/COM/UEMOA, annexe</t>
        </is>
      </c>
      <c r="N8" s="10" t="inlineStr">
        <is>
          <t>analyses_fppn.py, onglet 2_flux</t>
        </is>
      </c>
      <c r="O8" s="10" t="inlineStr">
        <is>
          <t>Conforme au texte</t>
        </is>
      </c>
    </row>
    <row r="9">
      <c r="A9" s="9" t="inlineStr">
        <is>
          <t>F-04-03</t>
        </is>
      </c>
      <c r="B9" s="12" t="inlineStr">
        <is>
          <t>9, 10, 31, 47, 51</t>
        </is>
      </c>
      <c r="C9" s="12" t="inlineStr">
        <is>
          <t>Taux de cotisation individuel</t>
        </is>
      </c>
      <c r="D9" s="12" t="inlineStr">
        <is>
          <t>Précompte maladie (ou décès) du mois divisé par le salaire de base du même mois, pour chaque agent.</t>
        </is>
      </c>
      <c r="E9" s="12" t="inlineStr">
        <is>
          <t>montant 936 / salaire de base ; montant 8Z6 / salaire de base</t>
        </is>
      </c>
      <c r="F9" s="12" t="inlineStr">
        <is>
          <t>Fichiers 936 détaillés et 8Z6</t>
        </is>
      </c>
      <c r="G9" s="12" t="inlineStr">
        <is>
          <t>Solde : 3,77 % et 1,23 % (fichiers). Barème déclaré : 3,5 % et 1,5 % (entretien du 16/10/2026, à confirmer). Répartition renvoyée à la comptabilité (entretien du 19/10/2026)</t>
        </is>
      </c>
      <c r="H9" s="12" t="inlineStr">
        <is>
          <t>Aucun texte UEMOA ne fixe le taux : le barème relève des statuts ou d'une décision du FPPN (non transmis)</t>
        </is>
      </c>
      <c r="I9" s="12" t="inlineStr">
        <is>
          <t>Trois répartitions coexistent pour le même total de 5,00 %.</t>
        </is>
      </c>
      <c r="J9" s="12" t="inlineStr">
        <is>
          <t>Change la sinistralité de chaque garantie (F-04-05)</t>
        </is>
      </c>
      <c r="K9" s="12" t="inlineStr">
        <is>
          <t>Excédent par risque et réserve obligatoire incalculables sans clé unique</t>
        </is>
      </c>
      <c r="L9" s="12" t="inlineStr">
        <is>
          <t>Élevé</t>
        </is>
      </c>
      <c r="M9" s="12" t="inlineStr">
        <is>
          <t>Statuts ou décision du FPPN (à transmettre)</t>
        </is>
      </c>
      <c r="N9" s="12" t="inlineStr">
        <is>
          <t>analyses_fppn.py, onglet 2_taux_936</t>
        </is>
      </c>
      <c r="O9" s="12" t="inlineStr">
        <is>
          <t>En attente</t>
        </is>
      </c>
    </row>
    <row r="10">
      <c r="A10" s="9" t="inlineStr">
        <is>
          <t>F-04-04</t>
        </is>
      </c>
      <c r="B10" s="10" t="inlineStr">
        <is>
          <t>52</t>
        </is>
      </c>
      <c r="C10" s="10" t="inlineStr">
        <is>
          <t>Clé comptable maladie</t>
        </is>
      </c>
      <c r="D10" s="10" t="inlineStr">
        <is>
          <t>Part des cotisations maladie dans les cotisations maladie et décès, multipliée par 5 %.</t>
        </is>
      </c>
      <c r="E10" s="10" t="inlineStr">
        <is>
          <t>7010 / (7010 + 7021) × 5 %</t>
        </is>
      </c>
      <c r="F10" s="10" t="inlineStr">
        <is>
          <t>Balances des comptes (Sage 100), 2020 au 31/08/2026</t>
        </is>
      </c>
      <c r="G10" s="10" t="inlineStr">
        <is>
          <t>Clé propre à la comptabilité, non documentée</t>
        </is>
      </c>
      <c r="H10" s="10" t="inlineStr">
        <is>
          <t>Aucun texte : la clé doit découler du barème</t>
        </is>
      </c>
      <c r="I10" s="10" t="inlineStr">
        <is>
          <t>La comptabilité ne suit ni la Solde ni le barème déclaré.</t>
        </is>
      </c>
      <c r="J10" s="10" t="inlineStr">
        <is>
          <t>Écart avec la clé de la Solde mesuré en partie 4</t>
        </is>
      </c>
      <c r="K10" s="10" t="inlineStr">
        <is>
          <t>Résultat par garantie dépendant d'une écriture non documentée</t>
        </is>
      </c>
      <c r="L10" s="10" t="inlineStr">
        <is>
          <t>Élevé</t>
        </is>
      </c>
      <c r="M10" s="10" t="inlineStr">
        <is>
          <t>Statuts ou décision du FPPN (à transmettre)</t>
        </is>
      </c>
      <c r="N10" s="10" t="inlineStr">
        <is>
          <t>analyses_complements_fppn.py, onglet 8_sensibilite_cle</t>
        </is>
      </c>
      <c r="O10" s="10" t="inlineStr">
        <is>
          <t>En attente</t>
        </is>
      </c>
    </row>
    <row r="11">
      <c r="A11" s="9" t="inlineStr">
        <is>
          <t>F-04-05</t>
        </is>
      </c>
      <c r="B11" s="12" t="inlineStr">
        <is>
          <t>53</t>
        </is>
      </c>
      <c r="C11" s="12" t="inlineStr">
        <is>
          <t>Sinistralité selon la clé de répartition</t>
        </is>
      </c>
      <c r="D11" s="12" t="inlineStr">
        <is>
          <t>Prestations maladie divisées par les cotisations totales multipliées par la part maladie de la clé retenue.</t>
        </is>
      </c>
      <c r="E11" s="12" t="inlineStr">
        <is>
          <t>(601 + 6013 + 6018 + 60800007) / [(7010 + 7021) × part maladie]</t>
        </is>
      </c>
      <c r="F11" s="12" t="inlineStr">
        <is>
          <t>Balances des comptes (Sage 100), 2020 au 31/08/2026</t>
        </is>
      </c>
      <c r="G11" s="13" t="inlineStr">
        <is>
          <t>Non communiquée : aucun calcul du FPPN transmis</t>
        </is>
      </c>
      <c r="H11" s="12" t="inlineStr">
        <is>
          <t>Décision n° 05/2022/COM/UEMOA, annexe, § 1.2.1.2.5 (taux global) ; § 1.1.1 (excédent par risque)</t>
        </is>
      </c>
      <c r="I11" s="12" t="inlineStr">
        <is>
          <t>Sensibilité : seule l'affectation des cotisations change, pas les prestations.</t>
        </is>
      </c>
      <c r="J11" s="12" t="inlineStr">
        <is>
          <t>Écart de plusieurs points entre les clés (partie 4)</t>
        </is>
      </c>
      <c r="K11" s="12" t="inlineStr">
        <is>
          <t>Conclusion sur l'équilibre maladie incertaine</t>
        </is>
      </c>
      <c r="L11" s="12" t="inlineStr">
        <is>
          <t>Élevé</t>
        </is>
      </c>
      <c r="M11" s="12" t="inlineStr">
        <is>
          <t>Décision n° 05/2022/COM/UEMOA, annexe</t>
        </is>
      </c>
      <c r="N11" s="12" t="inlineStr">
        <is>
          <t>analyses_complements_fppn.py, onglet 8_sensibilite_cle</t>
        </is>
      </c>
      <c r="O11" s="12" t="inlineStr">
        <is>
          <t>Divergent, justifié</t>
        </is>
      </c>
    </row>
    <row r="12">
      <c r="A12" s="9" t="inlineStr">
        <is>
          <t>F-04-06</t>
        </is>
      </c>
      <c r="B12" s="10" t="inlineStr">
        <is>
          <t>54</t>
        </is>
      </c>
      <c r="C12" s="10" t="inlineStr">
        <is>
          <t>Valeur réelle</t>
        </is>
      </c>
      <c r="D12" s="10" t="inlineStr">
        <is>
          <t>Valeur nominale multipliée par 100 et divisée par l'indice des prix de l'année (base 100 en 2020).</t>
        </is>
      </c>
      <c r="E12" s="10" t="inlineStr">
        <is>
          <t>V_réelle(n) = V_nominale(n) × 100 / I(n) ; I(n) = I(n-1) × (1 + inflation(n))</t>
        </is>
      </c>
      <c r="F12" s="10" t="inlineStr">
        <is>
          <t>Banque mondiale, FP.CPI.TOTL.ZG</t>
        </is>
      </c>
      <c r="G12" s="10" t="inlineStr">
        <is>
          <t>Sans objet</t>
        </is>
      </c>
      <c r="H12" s="10" t="inlineStr">
        <is>
          <t>Aucun texte applicable</t>
        </is>
      </c>
      <c r="I12" s="10" t="inlineStr">
        <is>
          <t>Retire l'effet des prix pour comparer des montants d'années différentes.</t>
        </is>
      </c>
      <c r="J12" s="10" t="inlineStr">
        <is>
          <t>Hausse réelle des cotisations mesurée en partie 4</t>
        </is>
      </c>
      <c r="K12" s="10" t="inlineStr">
        <is>
          <t>Inflation générale différente de l'inflation médicale</t>
        </is>
      </c>
      <c r="L12" s="10" t="inlineStr">
        <is>
          <t>Faible</t>
        </is>
      </c>
      <c r="M12" s="10" t="inlineStr">
        <is>
          <t>Pratique de comptabilité nationale (déflation par un indice des prix)</t>
        </is>
      </c>
      <c r="N12" s="10" t="inlineStr">
        <is>
          <t>analyses_complements_fppn.py, onglet 8_reel</t>
        </is>
      </c>
      <c r="O12" s="10" t="inlineStr">
        <is>
          <t>Sans texte applicable</t>
        </is>
      </c>
    </row>
    <row r="13">
      <c r="A13" s="9" t="inlineStr">
        <is>
          <t>F-04-07</t>
        </is>
      </c>
      <c r="B13" s="12" t="inlineStr">
        <is>
          <t>5, 48, 55, 62, 69, 89, 90</t>
        </is>
      </c>
      <c r="C13" s="12" t="inlineStr">
        <is>
          <t>Taux de croissance annuel moyen (TCAM)</t>
        </is>
      </c>
      <c r="D13" s="12" t="inlineStr">
        <is>
          <t>Taux constant qui mène de la valeur de départ à la valeur d'arrivée en n années.</t>
        </is>
      </c>
      <c r="E13" s="12" t="inlineStr">
        <is>
          <t>TCAM = (V_fin / V_début)^(1/n) - 1</t>
        </is>
      </c>
      <c r="F13" s="12" t="inlineStr">
        <is>
          <t>Selon l'indicateur</t>
        </is>
      </c>
      <c r="G13" s="12" t="inlineStr">
        <is>
          <t>Sans objet</t>
        </is>
      </c>
      <c r="H13" s="12" t="inlineStr">
        <is>
          <t>Aucun texte applicable</t>
        </is>
      </c>
      <c r="I13" s="12" t="inlineStr">
        <is>
          <t>Mesure de croissance standard, sensible aux deux bornes choisies.</t>
        </is>
      </c>
      <c r="J13" s="12" t="inlineStr">
        <is>
          <t>Voir le tableau des TCAM (partie 5)</t>
        </is>
      </c>
      <c r="K13" s="12" t="inlineStr">
        <is>
          <t>Bornes atypiques (2021 bas, 2026 sur 8 mois)</t>
        </is>
      </c>
      <c r="L13" s="12" t="inlineStr">
        <is>
          <t>Faible</t>
        </is>
      </c>
      <c r="M13" s="12" t="inlineStr">
        <is>
          <t>Pratique statistique (moyenne géométrique)</t>
        </is>
      </c>
      <c r="N13" s="12" t="inlineStr">
        <is>
          <t>analyses_complements_fppn.py, onglet 8_tcam</t>
        </is>
      </c>
      <c r="O13" s="12" t="inlineStr">
        <is>
          <t>Sans texte applicable</t>
        </is>
      </c>
    </row>
    <row r="14">
      <c r="A14" s="9" t="inlineStr">
        <is>
          <t>F-04-08</t>
        </is>
      </c>
      <c r="B14" s="10" t="inlineStr">
        <is>
          <t>48, 62, 69, 73, 91</t>
        </is>
      </c>
      <c r="C14" s="10" t="inlineStr">
        <is>
          <t>Tendance et intervalle de confiance</t>
        </is>
      </c>
      <c r="D14" s="10" t="inlineStr">
        <is>
          <t>Droite des moindres carrés ajustée sur la série, avec un intervalle de confiance à 95 % sur la pente et un test de Student.</t>
        </is>
      </c>
      <c r="E14" s="10" t="inlineStr">
        <is>
          <t>y = a + b·t ; IC95 % = b ± t(0,975 ; n-2) × écart-type(b)</t>
        </is>
      </c>
      <c r="F14" s="10" t="inlineStr">
        <is>
          <t>Séries mensuelles ou annuelles</t>
        </is>
      </c>
      <c r="G14" s="10" t="inlineStr">
        <is>
          <t>Sans objet</t>
        </is>
      </c>
      <c r="H14" s="10" t="inlineStr">
        <is>
          <t>Aucun texte applicable</t>
        </is>
      </c>
      <c r="I14" s="10" t="inlineStr">
        <is>
          <t>Distingue une hausse réelle d'une variation due au hasard.</t>
        </is>
      </c>
      <c r="J14" s="10" t="inlineStr">
        <is>
          <t>Pentes significatives au seuil de 5 %</t>
        </is>
      </c>
      <c r="K14" s="10" t="inlineStr">
        <is>
          <t>Peu de points (six années)</t>
        </is>
      </c>
      <c r="L14" s="10" t="inlineStr">
        <is>
          <t>Faible</t>
        </is>
      </c>
      <c r="M14" s="10" t="inlineStr">
        <is>
          <t>Statistique classique (régression linéaire, loi de Student)</t>
        </is>
      </c>
      <c r="N14" s="10" t="inlineStr">
        <is>
          <t>analyses_complements_fppn.py, onglet 8_tendances</t>
        </is>
      </c>
      <c r="O14" s="10" t="inlineStr">
        <is>
          <t>Sans texte applicable</t>
        </is>
      </c>
    </row>
    <row r="15">
      <c r="A15" s="9" t="inlineStr">
        <is>
          <t>F-05-01</t>
        </is>
      </c>
      <c r="B15" s="12" t="inlineStr">
        <is>
          <t>15, 65, 159, 164</t>
        </is>
      </c>
      <c r="C15" s="12" t="inlineStr">
        <is>
          <t>Taux de sinistralité réglementaire</t>
        </is>
      </c>
      <c r="D15" s="12" t="inlineStr">
        <is>
          <t>Charges de prestations, provisions comprises, divisées par les cotisations acquises, provisions sur cotisations comprises.</t>
        </is>
      </c>
      <c r="E15" s="12" t="inlineStr">
        <is>
          <t>(60 + 6901 - 7901) / (70 + 7906 - 6906)</t>
        </is>
      </c>
      <c r="F15" s="12" t="inlineStr">
        <is>
          <t>Balances des comptes (Sage 100), 2020 au 31/08/2026</t>
        </is>
      </c>
      <c r="G15" s="12" t="inlineStr">
        <is>
          <t>Communiquée le 22/10/2026 (ETUDE DES RATIO MALADIE DECES 2.xlsx, feuille Notes) : prestations payées / cotisations payées, sans provisions ; taux global : 1 401 506 033 / 1 785 560 424 = 78,49 % au 30/06/2026</t>
        </is>
      </c>
      <c r="H15" s="12" t="inlineStr">
        <is>
          <t>Décision n° 05/2022/COM/UEMOA, annexe, § 1.2.1.2.5 et tableau 1, ligne 5 : même formule, norme de 70 % à 80 %</t>
        </is>
      </c>
      <c r="I15" s="12" t="inlineStr">
        <is>
          <t>Formule du texte appliquée telle quelle. Les comptes 6901, 7901, 7906 et 6906 n'existent pas au FPPN : la variation de provisions vaut zéro.</t>
        </is>
      </c>
      <c r="J15" s="12" t="inlineStr">
        <is>
          <t>Taux 2025 : 57,48 %</t>
        </is>
      </c>
      <c r="K15" s="12" t="inlineStr">
        <is>
          <t>Provision figée depuis 2020 : le taux n'intègre aucune variation de provision</t>
        </is>
      </c>
      <c r="L15" s="12" t="inlineStr">
        <is>
          <t>Élevé</t>
        </is>
      </c>
      <c r="M15" s="12" t="inlineStr">
        <is>
          <t>Décision n° 05/2022/COM/UEMOA, annexe</t>
        </is>
      </c>
      <c r="N15" s="12" t="inlineStr">
        <is>
          <t>provisions_fppn.py, onglet 12_sinistralite_variantes ; ratios_airms_fppn.py</t>
        </is>
      </c>
      <c r="O15" s="12" t="inlineStr">
        <is>
          <t>Conforme au texte</t>
        </is>
      </c>
    </row>
    <row r="16">
      <c r="A16" s="9" t="inlineStr">
        <is>
          <t>F-05-02</t>
        </is>
      </c>
      <c r="B16" s="10" t="inlineStr">
        <is>
          <t>9, 10, 11, 12, 13, 16, 27, 61, 62, 70, 164</t>
        </is>
      </c>
      <c r="C16" s="10" t="inlineStr">
        <is>
          <t>Sinistralité maladie par garantie</t>
        </is>
      </c>
      <c r="D16" s="10" t="inlineStr">
        <is>
          <t>Prestations maladie comptabilisées divisées par les cotisations maladie comptabilisées de la même année.</t>
        </is>
      </c>
      <c r="E16" s="10" t="inlineStr">
        <is>
          <t>(601 + 6013 + 6018 + 60800007) / 7010</t>
        </is>
      </c>
      <c r="F16" s="10" t="inlineStr">
        <is>
          <t>Balances des comptes (Sage 100), 2020 au 31/08/2026</t>
        </is>
      </c>
      <c r="G16" s="10" t="inlineStr">
        <is>
          <t>Communiquée le 22/10/2026 (ETUDE DES RATIO MALADIE DECES 2.xlsx, feuille Notes) : prestations payées / cotisations payées, sans provisions ; maladie : 1 345 906 033 / 1 356 344 706 = 99,23 % au 30/06/2026 (la note écrit aussi 107 %)</t>
        </is>
      </c>
      <c r="H16" s="10" t="inlineStr">
        <is>
          <t>Décision n° 05/2022/COM/UEMOA, annexe : taux global seulement ; le suivi par risque découle de l'excédent par risque (§ 1.1.1)</t>
        </is>
      </c>
      <c r="I16" s="10" t="inlineStr">
        <is>
          <t>Le texte ne fixe pas de taux par garantie, mais impose de calculer l'excédent de chaque risque : le taux par garantie en découle. La norme de 70 % à 80 % ne s'applique qu'au taux global.</t>
        </is>
      </c>
      <c r="J16" s="10" t="inlineStr">
        <is>
          <t>2025 : 73,53 % par garantie contre 57,48 % en global</t>
        </is>
      </c>
      <c r="K16" s="10" t="inlineStr">
        <is>
          <t>Clé de répartition des cotisations non documentée (F-04-04)</t>
        </is>
      </c>
      <c r="L16" s="10" t="inlineStr">
        <is>
          <t>Élevé</t>
        </is>
      </c>
      <c r="M16" s="10" t="inlineStr">
        <is>
          <t>Décision n° 05/2022/COM/UEMOA, annexe, § 1.1.1</t>
        </is>
      </c>
      <c r="N16" s="10" t="inlineStr">
        <is>
          <t>analyses_fppn.py, onglet 3_sinistralite_resultat</t>
        </is>
      </c>
      <c r="O16" s="10" t="inlineStr">
        <is>
          <t>Divergent, justifié</t>
        </is>
      </c>
    </row>
    <row r="17">
      <c r="A17" s="9" t="inlineStr">
        <is>
          <t>F-05-03</t>
        </is>
      </c>
      <c r="B17" s="12" t="inlineStr">
        <is>
          <t>27, 62</t>
        </is>
      </c>
      <c r="C17" s="12" t="inlineStr">
        <is>
          <t>Sinistralité décès par garantie</t>
        </is>
      </c>
      <c r="D17" s="12" t="inlineStr">
        <is>
          <t>Prestations décès (capitaux, allocations, frais funéraires) divisées par les cotisations décès.</t>
        </is>
      </c>
      <c r="E17" s="12" t="inlineStr">
        <is>
          <t>(6021 + 6024) / 7021 ; en 2020, + 65180000 (prime d'assurance décès)</t>
        </is>
      </c>
      <c r="F17" s="12" t="inlineStr">
        <is>
          <t>Balances des comptes (Sage 100), 2020 au 31/08/2026</t>
        </is>
      </c>
      <c r="G17" s="12" t="inlineStr">
        <is>
          <t>Communiquée le 22/10/2026 (ETUDE DES RATIO MALADIE DECES 2.xlsx, feuille Notes) : prestations payées / cotisations payées, sans provisions ; décès : 55 600 000 / 429 215 718 = 12,95 % au 30/06/2026 (la note écrit aussi 19,66 %) ; montants identiques aux comptes de 2022 à 2025</t>
        </is>
      </c>
      <c r="H17" s="12" t="inlineStr">
        <is>
          <t>Décision n° 05/2022/COM/UEMOA, annexe : taux global seulement ; suivi par risque exigé par § 1.1.1</t>
        </is>
      </c>
      <c r="I17" s="12" t="inlineStr">
        <is>
          <t>Même logique que la maladie. La prime d'assurance décès de 2020 est ajoutée, car un assureur portait alors la garantie.</t>
        </is>
      </c>
      <c r="J17" s="12" t="inlineStr">
        <is>
          <t>2025 : 19,16 %</t>
        </is>
      </c>
      <c r="K17" s="12" t="inlineStr">
        <is>
          <t>Garantie largement excédentaire, provision obsèques figée</t>
        </is>
      </c>
      <c r="L17" s="12" t="inlineStr">
        <is>
          <t>Moyen</t>
        </is>
      </c>
      <c r="M17" s="12" t="inlineStr">
        <is>
          <t>Décision n° 05/2022/COM/UEMOA, annexe, § 1.1.1</t>
        </is>
      </c>
      <c r="N17" s="12" t="inlineStr">
        <is>
          <t>analyses_fppn.py, onglet 3_sinistralite_resultat</t>
        </is>
      </c>
      <c r="O17" s="12" t="inlineStr">
        <is>
          <t>Divergent, justifié</t>
        </is>
      </c>
    </row>
    <row r="18">
      <c r="A18" s="9" t="inlineStr">
        <is>
          <t>F-05-04</t>
        </is>
      </c>
      <c r="B18" s="10" t="inlineStr">
        <is>
          <t>64</t>
        </is>
      </c>
      <c r="C18" s="10" t="inlineStr">
        <is>
          <t>Sinistralité sans MEDOC et sans bons de prise en charge</t>
        </is>
      </c>
      <c r="D18" s="10" t="inlineStr">
        <is>
          <t>Variantes du taux réglementaire : cotisations MEDOC retirées du dénominateur, ou bons de prise en charge et bons de caisse retirés du numérateur.</t>
        </is>
      </c>
      <c r="E18" s="10" t="inlineStr">
        <is>
          <t>(60 + 6901 - 7901) / (70 - 7022 + 7906 - 6906) ; (60 - 60800007 - 60800008 + 6901 - 7901) / (70 + 7906 - 6906)</t>
        </is>
      </c>
      <c r="F18" s="10" t="inlineStr">
        <is>
          <t>Balances des comptes (Sage 100), 2020 au 31/08/2026</t>
        </is>
      </c>
      <c r="G18" s="11" t="inlineStr">
        <is>
          <t>Non communiquée : aucun calcul du FPPN transmis</t>
        </is>
      </c>
      <c r="H18" s="10" t="inlineStr">
        <is>
          <t>Décision n° 05/2022/COM/UEMOA, annexe, § 1.2.1.2.5 (formule de base)</t>
        </is>
      </c>
      <c r="I18" s="10" t="inlineStr">
        <is>
          <t>Variantes de sensibilité : elles montrent l'effet de comptes dont la nature est à préciser.</t>
        </is>
      </c>
      <c r="J18" s="10" t="inlineStr">
        <is>
          <t>2025 : 57,49 % sans MEDOC ; 56,55 % sans bons</t>
        </is>
      </c>
      <c r="K18" s="10" t="inlineStr">
        <is>
          <t>Écarts faibles : la conclusion ne dépend pas de ces comptes</t>
        </is>
      </c>
      <c r="L18" s="10" t="inlineStr">
        <is>
          <t>Faible</t>
        </is>
      </c>
      <c r="M18" s="10" t="inlineStr">
        <is>
          <t>Décision n° 05/2022/COM/UEMOA, annexe</t>
        </is>
      </c>
      <c r="N18" s="10" t="inlineStr">
        <is>
          <t>provisions_fppn.py, onglet 12_sinistralite_variantes</t>
        </is>
      </c>
      <c r="O18" s="10" t="inlineStr">
        <is>
          <t>Divergent, justifié</t>
        </is>
      </c>
    </row>
    <row r="19">
      <c r="A19" s="9" t="inlineStr">
        <is>
          <t>F-05-05</t>
        </is>
      </c>
      <c r="B19" s="12" t="inlineStr">
        <is>
          <t>27, 71</t>
        </is>
      </c>
      <c r="C19" s="12" t="inlineStr">
        <is>
          <t>Taux de frais de gestion</t>
        </is>
      </c>
      <c r="D19" s="12" t="inlineStr">
        <is>
          <t>Frais de gestion (comptes 61 à 66, hors prime d'assurance décès) divisés par les cotisations maladie et décès.</t>
        </is>
      </c>
      <c r="E19" s="12" t="inlineStr">
        <is>
          <t>(61 + 62 + 63 + 64 + 65 + 66 - 6518) / (7010 + 7021)</t>
        </is>
      </c>
      <c r="F19" s="12" t="inlineStr">
        <is>
          <t>Balances des comptes (Sage 100), 2020 au 31/08/2026</t>
        </is>
      </c>
      <c r="G19" s="13" t="inlineStr">
        <is>
          <t>Non communiquée : aucun calcul du FPPN transmis</t>
        </is>
      </c>
      <c r="H19" s="12" t="inlineStr">
        <is>
          <t>Décision n° 05/2022/COM/UEMOA, annexe, tableau 1 : charges de fonctionnement = (612, 613, 618, 62 à 68) / cotisations acquises, au plus 20 %</t>
        </is>
      </c>
      <c r="I19" s="12" t="inlineStr">
        <is>
          <t>Le texte exclut 611 et inclut 67 et 68, et prend toutes les cotisations acquises (70). Le rapport présente les deux ; seule la formule du texte est comparée à la norme.</t>
        </is>
      </c>
      <c r="J19" s="12" t="inlineStr">
        <is>
          <t>2025 : 32,23 % (rapport) contre 36,34 % (texte)</t>
        </is>
      </c>
      <c r="K19" s="12" t="inlineStr">
        <is>
          <t>Classement des charges entre fonctionnement et prestations</t>
        </is>
      </c>
      <c r="L19" s="12" t="inlineStr">
        <is>
          <t>Moyen</t>
        </is>
      </c>
      <c r="M19" s="12" t="inlineStr">
        <is>
          <t>Décision n° 05/2022/COM/UEMOA, annexe</t>
        </is>
      </c>
      <c r="N19" s="12" t="inlineStr">
        <is>
          <t>analyses_fppn.py ; ratios_airms_fppn.py (CHF)</t>
        </is>
      </c>
      <c r="O19" s="12" t="inlineStr">
        <is>
          <t>Divergent, justifié</t>
        </is>
      </c>
    </row>
    <row r="20">
      <c r="A20" s="9" t="inlineStr">
        <is>
          <t>F-05-06</t>
        </is>
      </c>
      <c r="B20" s="10" t="inlineStr">
        <is>
          <t>27, 71, 144</t>
        </is>
      </c>
      <c r="C20" s="10" t="inlineStr">
        <is>
          <t>Résultat net</t>
        </is>
      </c>
      <c r="D20" s="10" t="inlineStr">
        <is>
          <t>Produits moins charges, plus le résultat hors activités ordinaires.</t>
        </is>
      </c>
      <c r="E20" s="10" t="inlineStr">
        <is>
          <t>classe 7 - classe 6 + classe 8</t>
        </is>
      </c>
      <c r="F20" s="10" t="inlineStr">
        <is>
          <t>Balances des comptes (Sage 100), 2020 au 31/08/2026</t>
        </is>
      </c>
      <c r="G20" s="10" t="inlineStr">
        <is>
          <t>Résultat des balances du FPPN</t>
        </is>
      </c>
      <c r="H20" s="10" t="inlineStr">
        <is>
          <t>PCMS (règlement n° 03/2012/CM/UEMOA) : résultat = produits - charges</t>
        </is>
      </c>
      <c r="I20" s="10" t="inlineStr">
        <is>
          <t>Même définition que le plan comptable.</t>
        </is>
      </c>
      <c r="J20" s="10" t="inlineStr">
        <is>
          <t>Résultat 2026 provisoire (8 mois)</t>
        </is>
      </c>
      <c r="K20" s="10" t="inlineStr">
        <is>
          <t>Écritures de fin d'année absentes en 2026</t>
        </is>
      </c>
      <c r="L20" s="10" t="inlineStr">
        <is>
          <t>Moyen</t>
        </is>
      </c>
      <c r="M20" s="10" t="inlineStr">
        <is>
          <t>PCMS</t>
        </is>
      </c>
      <c r="N20" s="10" t="inlineStr">
        <is>
          <t>analyses_fppn.py, onglet 3_sinistralite_resultat</t>
        </is>
      </c>
      <c r="O20" s="10" t="inlineStr">
        <is>
          <t>Conforme au texte</t>
        </is>
      </c>
    </row>
    <row r="21">
      <c r="A21" s="9" t="inlineStr">
        <is>
          <t>F-06-01</t>
        </is>
      </c>
      <c r="B21" s="12" t="inlineStr">
        <is>
          <t>9, 11, 76, 77, 78, 81, 133, 134, 149, 154</t>
        </is>
      </c>
      <c r="C21" s="12" t="inlineStr">
        <is>
          <t>Dette d'épargne</t>
        </is>
      </c>
      <c r="D21" s="12" t="inlineStr">
        <is>
          <t>Somme des comptes PEP et EFC dus aux mutualistes.</t>
        </is>
      </c>
      <c r="E21" s="12" t="inlineStr">
        <is>
          <t>41195100 + 41195200 (+ 47120000 depuis 2025)</t>
        </is>
      </c>
      <c r="F21" s="12" t="inlineStr">
        <is>
          <t>Balances des comptes (Sage 100), 2020 au 31/08/2026</t>
        </is>
      </c>
      <c r="G21" s="12" t="inlineStr">
        <is>
          <t>Comptes de dettes du FPPN</t>
        </is>
      </c>
      <c r="H21" s="12" t="inlineStr">
        <is>
          <t>Règlement d'exécution n° 004/2022/COM/UEMOA, art. 11 (provision mathématique) et art. 12 à 15 (risques longs)</t>
        </is>
      </c>
      <c r="I21" s="12" t="inlineStr">
        <is>
          <t>Le FPPN suit l'épargne en dettes. Si l'EFC promet plus que l'épargne versée, une provision mathématique est due (règlement de l'EFC non reçu).</t>
        </is>
      </c>
      <c r="J21" s="12" t="inlineStr">
        <is>
          <t>Non mesurable sans règlement de l'EFC</t>
        </is>
      </c>
      <c r="K21" s="12" t="inlineStr">
        <is>
          <t>Engagement sous-estimé si l'EFC garantit un capital</t>
        </is>
      </c>
      <c r="L21" s="12" t="inlineStr">
        <is>
          <t>Élevé</t>
        </is>
      </c>
      <c r="M21" s="12" t="inlineStr">
        <is>
          <t>Règlement d'exécution n° 004/2022/COM/UEMOA</t>
        </is>
      </c>
      <c r="N21" s="12" t="inlineStr">
        <is>
          <t>analyses_fppn.py, onglet 6_bilan</t>
        </is>
      </c>
      <c r="O21" s="12" t="inlineStr">
        <is>
          <t>En attente</t>
        </is>
      </c>
    </row>
    <row r="22">
      <c r="A22" s="9" t="inlineStr">
        <is>
          <t>F-06-02</t>
        </is>
      </c>
      <c r="B22" s="10" t="inlineStr">
        <is>
          <t>9, 10, 12, 13, 16, 76, 77, 81</t>
        </is>
      </c>
      <c r="C22" s="10" t="inlineStr">
        <is>
          <t>Couverture de l'épargne</t>
        </is>
      </c>
      <c r="D22" s="10" t="inlineStr">
        <is>
          <t>Actifs réservés à l'épargne divisés par la dette d'épargne.</t>
        </is>
      </c>
      <c r="E22" s="10" t="inlineStr">
        <is>
          <t>(banques et DAT dédiés + FCP) / (41195100 + 41195200)</t>
        </is>
      </c>
      <c r="F22" s="10" t="inlineStr">
        <is>
          <t>Balances des comptes (Sage 100), 2020 au 31/08/2026</t>
        </is>
      </c>
      <c r="G22" s="11" t="inlineStr">
        <is>
          <t>Non communiquée : aucun calcul du FPPN transmis</t>
        </is>
      </c>
      <c r="H22" s="10" t="inlineStr">
        <is>
          <t>Décision n° 05/2022/COM/UEMOA, annexe, section II : ratio de solvabilité de la branche épargne = actifs admis / engagements réglementés, au moins 1</t>
        </is>
      </c>
      <c r="I22" s="10" t="inlineStr">
        <is>
          <t>Même logique que le texte (RL1).</t>
        </is>
      </c>
      <c r="J22" s="10" t="inlineStr">
        <is>
          <t>Couverture très inférieure à 1</t>
        </is>
      </c>
      <c r="K22" s="10" t="inlineStr">
        <is>
          <t>Actifs non dédiés par écrit</t>
        </is>
      </c>
      <c r="L22" s="10" t="inlineStr">
        <is>
          <t>Élevé</t>
        </is>
      </c>
      <c r="M22" s="10" t="inlineStr">
        <is>
          <t>Décision n° 05/2022/COM/UEMOA, annexe</t>
        </is>
      </c>
      <c r="N22" s="10" t="inlineStr">
        <is>
          <t>analyses_fppn.py ; ratios_airms_fppn.py (RL1)</t>
        </is>
      </c>
      <c r="O22" s="10" t="inlineStr">
        <is>
          <t>Conforme au texte</t>
        </is>
      </c>
    </row>
    <row r="23">
      <c r="A23" s="9" t="inlineStr">
        <is>
          <t>F-06-03</t>
        </is>
      </c>
      <c r="B23" s="12" t="inlineStr">
        <is>
          <t>79, 97, 98</t>
        </is>
      </c>
      <c r="C23" s="12" t="inlineStr">
        <is>
          <t>Sensibilité aux retraits</t>
        </is>
      </c>
      <c r="D23" s="12" t="inlineStr">
        <is>
          <t>Part de l'épargne qui peut être retirée avant d'épuiser la trésorerie ou les actifs réservés.</t>
        </is>
      </c>
      <c r="E23" s="12" t="inlineStr">
        <is>
          <t>seuil = trésorerie / épargne ; couverture d'un retrait de 10 %</t>
        </is>
      </c>
      <c r="F23" s="12" t="inlineStr">
        <is>
          <t>Balances des comptes (Sage 100), 2020 au 31/08/2026</t>
        </is>
      </c>
      <c r="G23" s="12" t="inlineStr">
        <is>
          <t>Sans objet</t>
        </is>
      </c>
      <c r="H23" s="12" t="inlineStr">
        <is>
          <t>Règlement d'exécution n° 004/2022/COM/UEMOA, art. 15 (réserve de trésorerie d'un trimestre de prestations des risques longs)</t>
        </is>
      </c>
      <c r="I23" s="12" t="inlineStr">
        <is>
          <t>Test de résistance complémentaire au texte.</t>
        </is>
      </c>
      <c r="J23" s="12" t="inlineStr">
        <is>
          <t>Seuil de retrait mesuré en partie 6</t>
        </is>
      </c>
      <c r="K23" s="12" t="inlineStr">
        <is>
          <t>Retraits massifs non modélisés par ancienneté</t>
        </is>
      </c>
      <c r="L23" s="12" t="inlineStr">
        <is>
          <t>Moyen</t>
        </is>
      </c>
      <c r="M23" s="12" t="inlineStr">
        <is>
          <t>Pratique de gestion actif-passif (test de résistance)</t>
        </is>
      </c>
      <c r="N23" s="12" t="inlineStr">
        <is>
          <t>analyses_complements_fppn.py</t>
        </is>
      </c>
      <c r="O23" s="12" t="inlineStr">
        <is>
          <t>Sans texte applicable</t>
        </is>
      </c>
    </row>
    <row r="24">
      <c r="A24" s="9" t="inlineStr">
        <is>
          <t>F-07-01</t>
        </is>
      </c>
      <c r="B24" s="10" t="inlineStr">
        <is>
          <t>16, 91</t>
        </is>
      </c>
      <c r="C24" s="10" t="inlineStr">
        <is>
          <t>Portefeuille en retard (PAR30, PAR90)</t>
        </is>
      </c>
      <c r="D24" s="10" t="inlineStr">
        <is>
          <t>Encours des prêts en retard de plus de 30 (ou 90) jours divisé par l'encours total.</t>
        </is>
      </c>
      <c r="E24" s="10" t="inlineStr">
        <is>
          <t>Σ encours(retard &gt; 30 j) / Σ encours</t>
        </is>
      </c>
      <c r="F24" s="10" t="inlineStr">
        <is>
          <t>Balances âgées et production du Grenier reçues le 15/10/2026</t>
        </is>
      </c>
      <c r="G24" s="11" t="inlineStr">
        <is>
          <t>Non communiquée : aucun calcul du FPPN transmis</t>
        </is>
      </c>
      <c r="H24" s="10" t="inlineStr">
        <is>
          <t>Aucun texte de la mutualité. Référence technique : indicateurs de portefeuille à risque des systèmes financiers décentralisés (BCEAO)</t>
        </is>
      </c>
      <c r="I24" s="10" t="inlineStr">
        <is>
          <t>Indicateur standard du crédit, faute de texte de la mutualité.</t>
        </is>
      </c>
      <c r="J24" s="10" t="inlineStr">
        <is>
          <t>PAR30 de 1,83 % au 31/08/2026</t>
        </is>
      </c>
      <c r="K24" s="10" t="inlineStr">
        <is>
          <t>Retard mesuré sur l'export du logiciel, pas sur les précomptes</t>
        </is>
      </c>
      <c r="L24" s="10" t="inlineStr">
        <is>
          <t>Moyen</t>
        </is>
      </c>
      <c r="M24" s="10" t="inlineStr">
        <is>
          <t>BCEAO, instruction applicable aux SFD (texte à transmettre)</t>
        </is>
      </c>
      <c r="N24" s="10" t="inlineStr">
        <is>
          <t>analyses_fppn.py, onglet 5_grenier_retards</t>
        </is>
      </c>
      <c r="O24" s="10" t="inlineStr">
        <is>
          <t>Sans texte applicable</t>
        </is>
      </c>
    </row>
    <row r="25">
      <c r="A25" s="9" t="inlineStr">
        <is>
          <t>F-07-02</t>
        </is>
      </c>
      <c r="B25" s="12" t="inlineStr">
        <is>
          <t>91</t>
        </is>
      </c>
      <c r="C25" s="12" t="inlineStr">
        <is>
          <t>Intervalle de Wilson</t>
        </is>
      </c>
      <c r="D25" s="12" t="inlineStr">
        <is>
          <t>Encadrement à 95 % de la proportion de prêts en retard.</t>
        </is>
      </c>
      <c r="E25" s="12" t="inlineStr">
        <is>
          <t>(p + z²/2n ± z √(p(1-p)/n + z²/4n²)) / (1 + z²/n), z = 1,96</t>
        </is>
      </c>
      <c r="F25" s="12" t="inlineStr">
        <is>
          <t>Balances âgées et production du Grenier reçues le 15/10/2026</t>
        </is>
      </c>
      <c r="G25" s="12" t="inlineStr">
        <is>
          <t>Sans objet</t>
        </is>
      </c>
      <c r="H25" s="12" t="inlineStr">
        <is>
          <t>Aucun texte applicable</t>
        </is>
      </c>
      <c r="I25" s="12" t="inlineStr">
        <is>
          <t>Méthode adaptée aux proportions faibles.</t>
        </is>
      </c>
      <c r="J25" s="12" t="inlineStr">
        <is>
          <t>Intervalle publié en partie 7</t>
        </is>
      </c>
      <c r="K25" s="12" t="inlineStr">
        <is>
          <t>Indépendance des prêts supposée</t>
        </is>
      </c>
      <c r="L25" s="12" t="inlineStr">
        <is>
          <t>Faible</t>
        </is>
      </c>
      <c r="M25" s="12" t="inlineStr">
        <is>
          <t>Statistique classique (Wilson, 1927)</t>
        </is>
      </c>
      <c r="N25" s="12" t="inlineStr">
        <is>
          <t>analyses_complements_fppn.py, onglet 8_ic_grenier</t>
        </is>
      </c>
      <c r="O25" s="12" t="inlineStr">
        <is>
          <t>Sans texte applicable</t>
        </is>
      </c>
    </row>
    <row r="26">
      <c r="A26" s="9" t="inlineStr">
        <is>
          <t>F-07-03</t>
        </is>
      </c>
      <c r="B26" s="10" t="inlineStr">
        <is>
          <t>94</t>
        </is>
      </c>
      <c r="C26" s="10" t="inlineStr">
        <is>
          <t>Dépréciation des prêts en retard</t>
        </is>
      </c>
      <c r="D26" s="10" t="inlineStr">
        <is>
          <t>Encours de chaque tranche de retard multiplié par le taux de dépréciation de la tranche, puis additionné.</t>
        </is>
      </c>
      <c r="E26" s="10" t="inlineStr">
        <is>
          <t>Σ encours(tranche k) × taux(k)</t>
        </is>
      </c>
      <c r="F26" s="10" t="inlineStr">
        <is>
          <t>Balances âgées et production du Grenier reçues le 15/10/2026</t>
        </is>
      </c>
      <c r="G26" s="10" t="inlineStr">
        <is>
          <t>Aucune dépréciation passée depuis 2022 (compte 49 non mouvementé)</t>
        </is>
      </c>
      <c r="H26" s="10" t="inlineStr">
        <is>
          <t>PCMS et SYSCOHADA révisé : principe de prudence. Taux par tranche : barème BCEAO des SFD (texte à transmettre)</t>
        </is>
      </c>
      <c r="I26" s="10" t="inlineStr">
        <is>
          <t>La dépréciation réduit l'actif ; elle n'est pas une provision technique (Règlement d'exécution n° 004/2022/COM/UEMOA, art. 8). Calcul en attente du barème.</t>
        </is>
      </c>
      <c r="J26" s="10" t="inlineStr">
        <is>
          <t>Encours de plus de 90 jours connu par tranche (partie 9)</t>
        </is>
      </c>
      <c r="K26" s="10" t="inlineStr">
        <is>
          <t>Actif et fonds propres surévalués sans dépréciation</t>
        </is>
      </c>
      <c r="L26" s="10" t="inlineStr">
        <is>
          <t>Moyen</t>
        </is>
      </c>
      <c r="M26" s="10" t="inlineStr">
        <is>
          <t>PCMS ; BCEAO (instruction SFD, à transmettre)</t>
        </is>
      </c>
      <c r="N26" s="10" t="inlineStr">
        <is>
          <t>provisions_fppn.py, onglet 12_grenier_tranches</t>
        </is>
      </c>
      <c r="O26" s="10" t="inlineStr">
        <is>
          <t>En attente</t>
        </is>
      </c>
    </row>
    <row r="27">
      <c r="A27" s="9" t="inlineStr">
        <is>
          <t>F-07-04</t>
        </is>
      </c>
      <c r="B27" s="12" t="inlineStr">
        <is>
          <t>93</t>
        </is>
      </c>
      <c r="C27" s="12" t="inlineStr">
        <is>
          <t>Précomptes rapportés aux échéances</t>
        </is>
      </c>
      <c r="D27" s="12" t="inlineStr">
        <is>
          <t>Montant précompté au poste 9X4 divisé par les échéances dues des prêts en cours.</t>
        </is>
      </c>
      <c r="E27" s="12" t="inlineStr">
        <is>
          <t>précompte 9X4 du mois / Σ échéances du mois</t>
        </is>
      </c>
      <c r="F27" s="12" t="inlineStr">
        <is>
          <t>Fichiers de précomptes reçus le 15/10/2026 ; Balances âgées et production du Grenier reçues le 15/10/2026</t>
        </is>
      </c>
      <c r="G27" s="13" t="inlineStr">
        <is>
          <t>Non communiquée : aucun calcul du FPPN transmis</t>
        </is>
      </c>
      <c r="H27" s="12" t="inlineStr">
        <is>
          <t>Aucun texte applicable</t>
        </is>
      </c>
      <c r="I27" s="12" t="inlineStr">
        <is>
          <t>Contrôle de cohérence entre deux sources.</t>
        </is>
      </c>
      <c r="J27" s="12" t="inlineStr">
        <is>
          <t>76 à 85 % des échéances précomptées</t>
        </is>
      </c>
      <c r="K27" s="12" t="inlineStr">
        <is>
          <t>Paiements hors précompte non connus</t>
        </is>
      </c>
      <c r="L27" s="12" t="inlineStr">
        <is>
          <t>Moyen</t>
        </is>
      </c>
      <c r="M27" s="12" t="inlineStr">
        <is>
          <t>Rapprochement de sources (pratique d'audit)</t>
        </is>
      </c>
      <c r="N27" s="12" t="inlineStr">
        <is>
          <t>analyses_fppn.py, onglet 5_grenier_echeances</t>
        </is>
      </c>
      <c r="O27" s="12" t="inlineStr">
        <is>
          <t>Sans texte applicable</t>
        </is>
      </c>
    </row>
    <row r="28">
      <c r="A28" s="9" t="inlineStr">
        <is>
          <t>F-09-01</t>
        </is>
      </c>
      <c r="B28" s="10" t="inlineStr">
        <is>
          <t>104, 105, 106</t>
        </is>
      </c>
      <c r="C28" s="10" t="inlineStr">
        <is>
          <t>PSAP en mois de prestations</t>
        </is>
      </c>
      <c r="D28" s="10" t="inlineStr">
        <is>
          <t>Provision pour sinistres à payer divisée par les prestations mensuelles moyennes de l'année.</t>
        </is>
      </c>
      <c r="E28" s="10" t="inlineStr">
        <is>
          <t>PSAP / (prestations de l'année / nombre de mois)</t>
        </is>
      </c>
      <c r="F28" s="10" t="inlineStr">
        <is>
          <t>Balances des comptes (Sage 100), 2020 au 31/08/2026</t>
        </is>
      </c>
      <c r="G28" s="10" t="inlineStr">
        <is>
          <t>Aucune provision maladie calculée ; montants hérités d'environ 2004, jamais recalculés (chef comptable, 19/10/2026, à confirmer)</t>
        </is>
      </c>
      <c r="H28" s="10" t="inlineStr">
        <is>
          <t>Règlement d'exécution n° 004/2022/COM/UEMOA, art. 10 : PSAP calculée exercice par exercice, dossier par dossier, plus les sinistres non déclarés</t>
        </is>
      </c>
      <c r="I28" s="10" t="inlineStr">
        <is>
          <t>Indicateur de cohérence, pas une norme : une provision figée ne suit pas les prestations.</t>
        </is>
      </c>
      <c r="J28" s="10" t="inlineStr">
        <is>
          <t>Maladie : 19,42 mois de prestations en 2025 ; décès : 121,88 mois</t>
        </is>
      </c>
      <c r="K28" s="10" t="inlineStr">
        <is>
          <t>Provision ni suffisante ni excessive démontrable sans base de prestations</t>
        </is>
      </c>
      <c r="L28" s="10" t="inlineStr">
        <is>
          <t>Élevé</t>
        </is>
      </c>
      <c r="M28" s="10" t="inlineStr">
        <is>
          <t>Règlement d'exécution n° 004/2022/COM/UEMOA</t>
        </is>
      </c>
      <c r="N28" s="10" t="inlineStr">
        <is>
          <t>provisions_fppn.py, onglet 12_psap_rapprochement</t>
        </is>
      </c>
      <c r="O28" s="10" t="inlineStr">
        <is>
          <t>En attente</t>
        </is>
      </c>
    </row>
    <row r="29">
      <c r="A29" s="9" t="inlineStr">
        <is>
          <t>F-09-02</t>
        </is>
      </c>
      <c r="B29" s="12" t="inlineStr">
        <is>
          <t>106</t>
        </is>
      </c>
      <c r="C29" s="12" t="inlineStr">
        <is>
          <t>PSAP et dettes envers les cliniques</t>
        </is>
      </c>
      <c r="D29" s="12" t="inlineStr">
        <is>
          <t>Provision maladie comparée aux factures des cliniques déjà enregistrées et non payées.</t>
        </is>
      </c>
      <c r="E29" s="12" t="inlineStr">
        <is>
          <t>PSAP maladie / 40110000</t>
        </is>
      </c>
      <c r="F29" s="12" t="inlineStr">
        <is>
          <t>Balances des comptes (Sage 100), 2020 au 31/08/2026</t>
        </is>
      </c>
      <c r="G29" s="12" t="inlineStr">
        <is>
          <t>Aucune provision maladie calculée ; montants hérités d'environ 2004, jamais recalculés (chef comptable, 19/10/2026, à confirmer)</t>
        </is>
      </c>
      <c r="H29" s="12" t="inlineStr">
        <is>
          <t>Règlement d'exécution n° 004/2022/COM/UEMOA, art. 10 (dossiers connus + tardifs) ; PCMS (dettes fournisseurs en classe 4)</t>
        </is>
      </c>
      <c r="I29" s="12" t="inlineStr">
        <is>
          <t>Une facture enregistrée en dette n'a plus à être provisionnée : la PSAP doit couvrir les soins survenus et non encore facturés.</t>
        </is>
      </c>
      <c r="J29" s="12" t="inlineStr">
        <is>
          <t>Rapport mesuré chaque année (partie 9)</t>
        </is>
      </c>
      <c r="K29" s="12" t="inlineStr">
        <is>
          <t>Double compte possible entre dettes et provision</t>
        </is>
      </c>
      <c r="L29" s="12" t="inlineStr">
        <is>
          <t>Élevé</t>
        </is>
      </c>
      <c r="M29" s="12" t="inlineStr">
        <is>
          <t>Règlement d'exécution n° 004/2022/COM/UEMOA ; PCMS</t>
        </is>
      </c>
      <c r="N29" s="12" t="inlineStr">
        <is>
          <t>provisions_fppn.py, onglet 12_psap_rapprochement</t>
        </is>
      </c>
      <c r="O29" s="12" t="inlineStr">
        <is>
          <t>En attente</t>
        </is>
      </c>
    </row>
    <row r="30">
      <c r="A30" s="9" t="inlineStr">
        <is>
          <t>F-09-03</t>
        </is>
      </c>
      <c r="B30" s="10" t="inlineStr"/>
      <c r="C30" s="10" t="inlineStr">
        <is>
          <t>Sinistres tardifs (méthode CIMA)</t>
        </is>
      </c>
      <c r="D30" s="10" t="inlineStr">
        <is>
          <t>Coefficients de déclaration tardive observés, multipliés par les sinistres déclarés l'année de survenance et par le coût moyen.</t>
        </is>
      </c>
      <c r="E30" s="10" t="inlineStr">
        <is>
          <t>IBNR = Σ_n coef(n) × N_déclarés(n, n) × coût moyen(n) ; coef = Σ_k moyenne[N(n, n+k) / N(n, n)]</t>
        </is>
      </c>
      <c r="F30" s="10" t="inlineStr">
        <is>
          <t>Bases de prestations avec dates de survenance et de déclaration (non reçues)</t>
        </is>
      </c>
      <c r="G30" s="11" t="inlineStr">
        <is>
          <t>Non communiquée : aucun calcul du FPPN transmis</t>
        </is>
      </c>
      <c r="H30" s="10" t="inlineStr">
        <is>
          <t>Règlement d'exécution n° 004/2022/COM/UEMOA, art. 10 (estimation des sinistres non déclarés, sans méthode fixée) ; Code CIMA (méthode de référence, article à citer)</t>
        </is>
      </c>
      <c r="I30" s="10" t="inlineStr">
        <is>
          <t>Le texte UEMOA impose l'estimation sans dire comment : la méthode CIMA sert de référence technique.</t>
        </is>
      </c>
      <c r="J30" s="10" t="inlineStr">
        <is>
          <t>Non calculable sans les bases</t>
        </is>
      </c>
      <c r="K30" s="10" t="inlineStr">
        <is>
          <t>Peu d'années d'historique</t>
        </is>
      </c>
      <c r="L30" s="10" t="inlineStr">
        <is>
          <t>Élevé</t>
        </is>
      </c>
      <c r="M30" s="10" t="inlineStr">
        <is>
          <t>Code CIMA (référence technique, texte à transmettre)</t>
        </is>
      </c>
      <c r="N30" s="10" t="inlineStr">
        <is>
          <t>À produire à réception des bases</t>
        </is>
      </c>
      <c r="O30" s="10" t="inlineStr">
        <is>
          <t>En attente</t>
        </is>
      </c>
    </row>
    <row r="31">
      <c r="A31" s="9" t="inlineStr">
        <is>
          <t>F-09-04</t>
        </is>
      </c>
      <c r="B31" s="12" t="inlineStr"/>
      <c r="C31" s="12" t="inlineStr">
        <is>
          <t>Provision mathématique</t>
        </is>
      </c>
      <c r="D31" s="12" t="inlineStr">
        <is>
          <t>Valeur actuelle des prestations promises moins valeur actuelle des cotisations futures.</t>
        </is>
      </c>
      <c r="E31" s="12" t="inlineStr">
        <is>
          <t>PM = Σ_t prestation(t) × p(t) × v^t - Σ_t cotisation(t) × p(t) × v^t ; v = 1 / (1 + i)</t>
        </is>
      </c>
      <c r="F31" s="12" t="inlineStr">
        <is>
          <t>Règlements de l'EFC et de la santé des retraités, âges (non reçus)</t>
        </is>
      </c>
      <c r="G31" s="12" t="inlineStr">
        <is>
          <t>Aucune provision mathématique au bilan</t>
        </is>
      </c>
      <c r="H31" s="12" t="inlineStr">
        <is>
          <t>Règlement d'exécution n° 004/2022/COM/UEMOA, art. 11 : table de mortalité, taux d'intérêt technique, chargements de gestion</t>
        </is>
      </c>
      <c r="I31" s="12" t="inlineStr">
        <is>
          <t>Due si l'EFC garantit un capital ou si la santé est garantie à vie aux retraités.</t>
        </is>
      </c>
      <c r="J31" s="12" t="inlineStr">
        <is>
          <t>Non calculable sans règlements et âges</t>
        </is>
      </c>
      <c r="K31" s="12" t="inlineStr">
        <is>
          <t>Engagement long absent du bilan</t>
        </is>
      </c>
      <c r="L31" s="12" t="inlineStr">
        <is>
          <t>Élevé</t>
        </is>
      </c>
      <c r="M31" s="12" t="inlineStr">
        <is>
          <t>Règlement d'exécution n° 004/2022/COM/UEMOA, art. 11 ; Code CIMA, art. 338 (tables, taux de 3,5 %)</t>
        </is>
      </c>
      <c r="N31" s="12" t="inlineStr">
        <is>
          <t>À produire à réception des documents</t>
        </is>
      </c>
      <c r="O31" s="12" t="inlineStr">
        <is>
          <t>En attente</t>
        </is>
      </c>
    </row>
    <row r="32">
      <c r="A32" s="9" t="inlineStr">
        <is>
          <t>F-09-05</t>
        </is>
      </c>
      <c r="B32" s="10" t="inlineStr"/>
      <c r="C32" s="10" t="inlineStr">
        <is>
          <t>Provision pour risques en cours</t>
        </is>
      </c>
      <c r="D32" s="10" t="inlineStr">
        <is>
          <t>Coût des risques entre la date d'inventaire et la prochaine échéance de cotisation.</t>
        </is>
      </c>
      <c r="E32" s="10" t="inlineStr">
        <is>
          <t>PREC = coût estimé des risques de la période non couverte par les cotisations acquises</t>
        </is>
      </c>
      <c r="F32" s="10" t="inlineStr">
        <is>
          <t>Balances des comptes (Sage 100), 2020 au 31/08/2026</t>
        </is>
      </c>
      <c r="G32" s="10" t="inlineStr">
        <is>
          <t>Aucune provision pour risques en cours</t>
        </is>
      </c>
      <c r="H32" s="10" t="inlineStr">
        <is>
          <t>Règlement d'exécution n° 004/2022/COM/UEMOA, art. 9</t>
        </is>
      </c>
      <c r="I32" s="10" t="inlineStr">
        <is>
          <t>Cotisations mensuelles précomptées : la période non couverte est au plus d'un mois. Provision probablement faible.</t>
        </is>
      </c>
      <c r="J32" s="10" t="inlineStr">
        <is>
          <t>Non chiffrée</t>
        </is>
      </c>
      <c r="K32" s="10" t="inlineStr">
        <is>
          <t>Faible tant que la cotisation reste mensuelle</t>
        </is>
      </c>
      <c r="L32" s="10" t="inlineStr">
        <is>
          <t>Faible</t>
        </is>
      </c>
      <c r="M32" s="10" t="inlineStr">
        <is>
          <t>Règlement d'exécution n° 004/2022/COM/UEMOA, art. 9</t>
        </is>
      </c>
      <c r="N32" s="10" t="inlineStr">
        <is>
          <t>À apprécier</t>
        </is>
      </c>
      <c r="O32" s="10" t="inlineStr">
        <is>
          <t>En attente</t>
        </is>
      </c>
    </row>
    <row r="33">
      <c r="A33" s="9" t="inlineStr">
        <is>
          <t>F-09-06</t>
        </is>
      </c>
      <c r="B33" s="12" t="inlineStr">
        <is>
          <t>105, 117, 118, 119, 120, 121, 122, 123, 124, 125, 126, 127, 128</t>
        </is>
      </c>
      <c r="C33" s="12" t="inlineStr">
        <is>
          <t>Indemnités de départ à la retraite du personnel</t>
        </is>
      </c>
      <c r="D33" s="12" t="inlineStr">
        <is>
          <t>Somme, pour chaque salarié, de l'indemnité prévue par la convention collective à son départ, pondérée par la probabilité d'être présent et actualisée, au prorata de l'ancienneté acquise.</t>
        </is>
      </c>
      <c r="E33" s="12" t="inlineStr">
        <is>
          <t>PIDR = Σ_i IDR_i × p_i × v^(t_i) × ancienneté acquise_i / ancienneté au départ_i ; IDR = salaire × (30 % par année jusqu'à 5 ans, 35 % de 6 à 10, 40 % au-delà) ; charges patronales : fiscales 2,80 %, retraite 7,70 % (plafond 3 375 000 FCFA), prestations familiales 5,75 % et risques professionnels 2 % (plafond 75 000 FCFA)</t>
        </is>
      </c>
      <c r="F33" s="12" t="inlineStr">
        <is>
          <t>DISA 2021, 2022, 2023 et 2025 (CNPS) ; récapitulatifs de salaires 2024 (CMP) et 2025 (Grenier) ; décret n° 2017-210 ; convention collective du 19/07/1977, art. 40</t>
        </is>
      </c>
      <c r="G33" s="12" t="inlineStr">
        <is>
          <t>Convention collective appliquée à l'ancienneté acquise ; provision reprise et dotée en totalité chaque année (chef comptable, 19/10/2026) ; proche des droits acquis recalculés</t>
        </is>
      </c>
      <c r="H33" s="12" t="inlineStr">
        <is>
          <t>SYSCOHADA révisé (engagements de retraite, méthode actuarielle) ; convention collective interprofessionnelle de Côte d'Ivoire (barème, à confirmer par le texte)</t>
        </is>
      </c>
      <c r="I33" s="12" t="inlineStr">
        <is>
          <t>Recalcul agent par agent (unités de crédit projetées) dans les onglets 14a à 14c du classeur v9 ; comparaison au compte 196 et aux droits acquis.</t>
        </is>
      </c>
      <c r="J33" s="12" t="inlineStr">
        <is>
          <t>Provision 2025 du FPPN : 43 666 678 FCFA</t>
        </is>
      </c>
      <c r="K33" s="12" t="inlineStr">
        <is>
          <t>Âge de départ, dates d'embauche et entités à confirmer</t>
        </is>
      </c>
      <c r="L33" s="12" t="inlineStr">
        <is>
          <t>Moyen</t>
        </is>
      </c>
      <c r="M33" s="12" t="inlineStr">
        <is>
          <t>Décret n° 2017-210, art. 4 et 5 ; convention collective du 19/07/1977, art. 40 ; IAS 19, § 67, 83 et 145 (bonne pratique)</t>
        </is>
      </c>
      <c r="N33" s="12" t="inlineStr">
        <is>
          <t>donnees_v9_fppn.py, onglets 14a à 14c</t>
        </is>
      </c>
      <c r="O33" s="12" t="inlineStr">
        <is>
          <t>Divergent, justifié</t>
        </is>
      </c>
    </row>
    <row r="34">
      <c r="A34" s="9" t="inlineStr">
        <is>
          <t>F-09-10</t>
        </is>
      </c>
      <c r="B34" s="10" t="inlineStr"/>
      <c r="C34" s="10" t="inlineStr">
        <is>
          <t>Allocations décès restant à payer (méthode du FPPN)</t>
        </is>
      </c>
      <c r="D34" s="10" t="inlineStr">
        <is>
          <t>Décès de l'année dont l'allocation n'est pas payée, valorisés au barème par grade.</t>
        </is>
      </c>
      <c r="E34" s="10" t="inlineStr">
        <is>
          <t>Σ dossiers non payés × allocation du grade (sous-officier 1 000 000 FCFA, officier à confirmer, commissaire 2 000 000 FCFA)</t>
        </is>
      </c>
      <c r="F34" s="10" t="inlineStr">
        <is>
          <t>Liste des décès de la direction du personnel ; allocations payées</t>
        </is>
      </c>
      <c r="G34" s="10" t="inlineStr">
        <is>
          <t>Liste des décès moins allocations payées, valorisée au barème (chef comptable, 19/10/2026, à confirmer) ; compte de comptabilisation non précisé</t>
        </is>
      </c>
      <c r="H34" s="10" t="inlineStr">
        <is>
          <t>Règlement d'exécution n° 004/2022/COM/UEMOA, art. 10 : dossier par dossier, plus les sinistres non déclarés</t>
        </is>
      </c>
      <c r="I34" s="10" t="inlineStr">
        <is>
          <t>Méthode proche du dossier par dossier, sans les sinistres tardifs (décès d'ayants droit non déclarés). Le compte utilisé est à préciser : le compte 15802000 ne bouge pas.</t>
        </is>
      </c>
      <c r="J34" s="10" t="inlineStr">
        <is>
          <t>Non mesurable sans les fichiers des décès (PBC, item 92)</t>
        </is>
      </c>
      <c r="K34" s="10" t="inlineStr">
        <is>
          <t>Allocations restant à payer peut-être non comptabilisées</t>
        </is>
      </c>
      <c r="L34" s="10" t="inlineStr">
        <is>
          <t>Élevé</t>
        </is>
      </c>
      <c r="M34" s="10" t="inlineStr">
        <is>
          <t>Règlement d'exécution n° 004/2022/COM/UEMOA, art. 10</t>
        </is>
      </c>
      <c r="N34" s="10" t="inlineStr">
        <is>
          <t>À produire à réception des fichiers</t>
        </is>
      </c>
      <c r="O34" s="10" t="inlineStr">
        <is>
          <t>En attente</t>
        </is>
      </c>
    </row>
    <row r="35">
      <c r="A35" s="9" t="inlineStr">
        <is>
          <t>F-09-07</t>
        </is>
      </c>
      <c r="B35" s="12" t="inlineStr">
        <is>
          <t>133</t>
        </is>
      </c>
      <c r="C35" s="12" t="inlineStr">
        <is>
          <t>Adossement par échéance</t>
        </is>
      </c>
      <c r="D35" s="12" t="inlineStr">
        <is>
          <t>Actif mobilisable dans chaque tranche de délai comparé au passif exigible dans la même tranche.</t>
        </is>
      </c>
      <c r="E35" s="12" t="inlineStr">
        <is>
          <t>Écart(tranche) = actif(tranche) - passif(tranche)</t>
        </is>
      </c>
      <c r="F35" s="12" t="inlineStr">
        <is>
          <t>Balances des comptes (Sage 100), 2020 au 31/08/2026</t>
        </is>
      </c>
      <c r="G35" s="13" t="inlineStr">
        <is>
          <t>Non communiquée : aucun calcul du FPPN transmis</t>
        </is>
      </c>
      <c r="H35" s="12" t="inlineStr">
        <is>
          <t>Décision n° 05/2022/COM/UEMOA, annexe (liquidité, équilibre stable) ; Règlement d'exécution n° 004/2022/COM/UEMOA, art. 15</t>
        </is>
      </c>
      <c r="I35" s="12" t="inlineStr">
        <is>
          <t>Lecture par échéance plus fine que les ratios globaux.</t>
        </is>
      </c>
      <c r="J35" s="12" t="inlineStr">
        <is>
          <t>Écart à moins d'un an mesuré en partie 9</t>
        </is>
      </c>
      <c r="K35" s="12" t="inlineStr">
        <is>
          <t>Classement des comptes par jugement</t>
        </is>
      </c>
      <c r="L35" s="12" t="inlineStr">
        <is>
          <t>Moyen</t>
        </is>
      </c>
      <c r="M35" s="12" t="inlineStr">
        <is>
          <t>Pratique de gestion actif-passif</t>
        </is>
      </c>
      <c r="N35" s="12" t="inlineStr">
        <is>
          <t>ratios_airms_fppn.py, onglet 10_mobilisation</t>
        </is>
      </c>
      <c r="O35" s="12" t="inlineStr">
        <is>
          <t>Sans texte applicable</t>
        </is>
      </c>
    </row>
    <row r="36">
      <c r="A36" s="9" t="inlineStr">
        <is>
          <t>F-09-11</t>
        </is>
      </c>
      <c r="B36" s="10" t="inlineStr">
        <is>
          <t>136</t>
        </is>
      </c>
      <c r="C36" s="10" t="inlineStr">
        <is>
          <t>Couverture des engagements connus selon le scénario</t>
        </is>
      </c>
      <c r="D36" s="10" t="inlineStr">
        <is>
          <t>Actif retenu dans le scénario divisé par les engagements connus (passif à moins d'un an et épargne).</t>
        </is>
      </c>
      <c r="E36" s="10" t="inlineStr">
        <is>
          <t>Couverture(s) = actif retenu(s) / (passif &lt; 1 an + 41195100 + 41195200) ; scénario 2 : actif - 47111100 - 47111105 ; scénario 3 : scénario 2 - 47111104 - 22200000 ; scénario 4 : actif à un an / passif à un an</t>
        </is>
      </c>
      <c r="F36" s="10" t="inlineStr">
        <is>
          <t>Balances des comptes (Sage 100), 2020 au 31/08/2026</t>
        </is>
      </c>
      <c r="G36" s="11" t="inlineStr">
        <is>
          <t>Non communiquée : aucun calcul du FPPN transmis</t>
        </is>
      </c>
      <c r="H36" s="10" t="inlineStr">
        <is>
          <t>Règlement d'exécution n° 004/2022/COM/UEMOA, art. 17, 20, 21 et 27 ; Décision n° 05/2022/COM/UEMOA, annexe, section II, § 2.1 (actifs admis / engagements réglementés)</t>
        </is>
      </c>
      <c r="I36" s="10" t="inlineStr">
        <is>
          <t>Les scénarios appliquent des règles tirées des textes (valeur de marché, actifs admis, activités sanitaires séparées, valeur liquidative), et non des taux de décote. Les engagements non provisionnés ne sont pas au dénominateur : chaque couverture est un maximum.</t>
        </is>
      </c>
      <c r="J36" s="10" t="inlineStr">
        <is>
          <t>Voir la partie 9 (scénarios de couverture)</t>
        </is>
      </c>
      <c r="K36" s="10" t="inlineStr">
        <is>
          <t>Liste officielle des actifs admis non reçue (décision ministérielle, PBC, item 54)</t>
        </is>
      </c>
      <c r="L36" s="10" t="inlineStr">
        <is>
          <t>Élevé</t>
        </is>
      </c>
      <c r="M36" s="10" t="inlineStr">
        <is>
          <t>Règlement d'exécution n° 004/2022/COM/UEMOA, art. 20 ; PCMS</t>
        </is>
      </c>
      <c r="N36" s="10" t="inlineStr">
        <is>
          <t>rapport_v7_fppn.py (scénarios) ; ratios_airms_fppn.py, onglet 10_mobilisation</t>
        </is>
      </c>
      <c r="O36" s="10" t="inlineStr">
        <is>
          <t>Conforme au texte</t>
        </is>
      </c>
    </row>
    <row r="37">
      <c r="A37" s="9" t="inlineStr">
        <is>
          <t>F-09-12</t>
        </is>
      </c>
      <c r="B37" s="12" t="inlineStr">
        <is>
          <t>49, 78</t>
        </is>
      </c>
      <c r="C37" s="12" t="inlineStr">
        <is>
          <t>Sorties d'épargne observées</t>
        </is>
      </c>
      <c r="D37" s="12" t="inlineStr">
        <is>
          <t>Débits annuels des comptes d'épargne PEP et EFC, utilisés comme ordre de grandeur des sorties futures.</t>
        </is>
      </c>
      <c r="E37" s="12" t="inlineStr">
        <is>
          <t>Sorties(n) = débits 41195100(n) + débits 41195200(n) ; trimestre = max des sorties annuelles / 4</t>
        </is>
      </c>
      <c r="F37" s="12" t="inlineStr">
        <is>
          <t>Balances des comptes (Sage 100), 2020 au 31/08/2026</t>
        </is>
      </c>
      <c r="G37" s="13" t="inlineStr">
        <is>
          <t>Non communiquée : aucun calcul du FPPN transmis</t>
        </is>
      </c>
      <c r="H37" s="12" t="inlineStr">
        <is>
          <t>Règlement d'exécution n° 004/2022/COM/UEMOA, art. 19 (réserve de trésorerie d'un trimestre d'engagements) et art. 21 (prestations des deux derniers exercices)</t>
        </is>
      </c>
      <c r="I37" s="12" t="inlineStr">
        <is>
          <t>Approximation provisoire, cohérente avec les mesures des textes fondées sur les sorties passées ; l'échéancier réel demande les âges et les règlements.</t>
        </is>
      </c>
      <c r="J37" s="12" t="inlineStr">
        <is>
          <t>Sorties annuelles publiées en partie 9</t>
        </is>
      </c>
      <c r="K37" s="12" t="inlineStr">
        <is>
          <t>Les débits comprennent d'autres mouvements que les retraits</t>
        </is>
      </c>
      <c r="L37" s="12" t="inlineStr">
        <is>
          <t>Moyen</t>
        </is>
      </c>
      <c r="M37" s="12" t="inlineStr">
        <is>
          <t>Règlement d'exécution n° 004/2022/COM/UEMOA, art. 19 et 21</t>
        </is>
      </c>
      <c r="N37" s="12" t="inlineStr">
        <is>
          <t>rapport_v7_fppn.py (sorties d'épargne)</t>
        </is>
      </c>
      <c r="O37" s="12" t="inlineStr">
        <is>
          <t>Sans texte applicable</t>
        </is>
      </c>
    </row>
    <row r="38">
      <c r="A38" s="9" t="inlineStr">
        <is>
          <t>F-09-08</t>
        </is>
      </c>
      <c r="B38" s="10" t="inlineStr">
        <is>
          <t>9, 12, 14, 144, 145</t>
        </is>
      </c>
      <c r="C38" s="10" t="inlineStr">
        <is>
          <t>Fonds propres</t>
        </is>
      </c>
      <c r="D38" s="10" t="inlineStr">
        <is>
          <t>Réserves, report à nouveau, pertes reportées et résultat de l'exercice.</t>
        </is>
      </c>
      <c r="E38" s="10" t="inlineStr">
        <is>
          <t>10 + 11 + 12 + 13 + 14 + résultat</t>
        </is>
      </c>
      <c r="F38" s="10" t="inlineStr">
        <is>
          <t>Balances des comptes (Sage 100), 2020 au 31/08/2026</t>
        </is>
      </c>
      <c r="G38" s="10" t="inlineStr">
        <is>
          <t>Fonds propres des balances</t>
        </is>
      </c>
      <c r="H38" s="10" t="inlineStr">
        <is>
          <t>PCMS ; Décision n° 05/2022/COM/UEMOA, annexe, § 1.1.1 (marge de solvabilité)</t>
        </is>
      </c>
      <c r="I38" s="10" t="inlineStr">
        <is>
          <t>Même définition que le plan comptable.</t>
        </is>
      </c>
      <c r="J38" s="10" t="inlineStr">
        <is>
          <t>Fonds propres négatifs de 2020 à 2026</t>
        </is>
      </c>
      <c r="K38" s="10" t="inlineStr">
        <is>
          <t>Bilan reconstitué (non transmis)</t>
        </is>
      </c>
      <c r="L38" s="10" t="inlineStr">
        <is>
          <t>Élevé</t>
        </is>
      </c>
      <c r="M38" s="10" t="inlineStr">
        <is>
          <t>PCMS</t>
        </is>
      </c>
      <c r="N38" s="10" t="inlineStr">
        <is>
          <t>analyses_fppn.py, onglet 6_bilan</t>
        </is>
      </c>
      <c r="O38" s="10" t="inlineStr">
        <is>
          <t>Conforme au texte</t>
        </is>
      </c>
    </row>
    <row r="39">
      <c r="A39" s="9" t="inlineStr">
        <is>
          <t>F-09-09</t>
        </is>
      </c>
      <c r="B39" s="12" t="inlineStr">
        <is>
          <t>149</t>
        </is>
      </c>
      <c r="C39" s="12" t="inlineStr">
        <is>
          <t>Rendement des placements</t>
        </is>
      </c>
      <c r="D39" s="12" t="inlineStr">
        <is>
          <t>Produits financiers divisés par les placements moyens de l'année.</t>
        </is>
      </c>
      <c r="E39" s="12" t="inlineStr">
        <is>
          <t>77 / moyenne(placements début, placements fin)</t>
        </is>
      </c>
      <c r="F39" s="12" t="inlineStr">
        <is>
          <t>Balances des comptes (Sage 100), 2020 au 31/08/2026</t>
        </is>
      </c>
      <c r="G39" s="13" t="inlineStr">
        <is>
          <t>Non communiquée : aucun calcul du FPPN transmis</t>
        </is>
      </c>
      <c r="H39" s="12" t="inlineStr">
        <is>
          <t>Décision n° 05/2022/COM/UEMOA, annexe, section II : taux brut de rentabilité = intérêts perçus / capital investi</t>
        </is>
      </c>
      <c r="I39" s="12" t="inlineStr">
        <is>
          <t>Même logique que le texte (RL6).</t>
        </is>
      </c>
      <c r="J39" s="12" t="inlineStr">
        <is>
          <t>Rendement moyen publié en partie 9</t>
        </is>
      </c>
      <c r="K39" s="12" t="inlineStr">
        <is>
          <t>Placements moyens estimés sur deux dates</t>
        </is>
      </c>
      <c r="L39" s="12" t="inlineStr">
        <is>
          <t>Faible</t>
        </is>
      </c>
      <c r="M39" s="12" t="inlineStr">
        <is>
          <t>Décision n° 05/2022/COM/UEMOA, annexe</t>
        </is>
      </c>
      <c r="N39" s="12" t="inlineStr">
        <is>
          <t>analyses_fppn.py, onglet 7_placements</t>
        </is>
      </c>
      <c r="O39" s="12" t="inlineStr">
        <is>
          <t>Conforme au texte</t>
        </is>
      </c>
    </row>
    <row r="40">
      <c r="A40" s="9" t="inlineStr">
        <is>
          <t>F-10-01</t>
        </is>
      </c>
      <c r="B40" s="10" t="inlineStr">
        <is>
          <t>15, 65, 159, 164</t>
        </is>
      </c>
      <c r="C40" s="10" t="inlineStr">
        <is>
          <t>Taux de sinistralité (SIN)</t>
        </is>
      </c>
      <c r="D40" s="10" t="inlineStr">
        <is>
          <t>Charges de prestations (avec provisions) / Cotisations acquises.</t>
        </is>
      </c>
      <c r="E40" s="10" t="inlineStr">
        <is>
          <t>60 + 6901 - 7901 / 70 + 7906 - 6906</t>
        </is>
      </c>
      <c r="F40" s="10" t="inlineStr">
        <is>
          <t>Balances des comptes (Sage 100), 2020 au 31/08/2026</t>
        </is>
      </c>
      <c r="G40" s="11" t="inlineStr">
        <is>
          <t>Non communiquée : aucun calcul du FPPN transmis</t>
        </is>
      </c>
      <c r="H40" s="10" t="inlineStr">
        <is>
          <t>Décision n° 05/2022/COM/UEMOA, annexe, tableau 1, ligne 5 et § 1.2.1.2.5 : Charges de prestations (avec provisions) / Cotisations acquises, norme : Entre 70 % et 80 %</t>
        </is>
      </c>
      <c r="I40" s="10" t="inlineStr">
        <is>
          <t>Formule du texte appliquée telle quelle. Les états éventuellement transmis par le FPPN à l'AIRMS permettront la comparaison.</t>
        </is>
      </c>
      <c r="J40" s="10" t="inlineStr">
        <is>
          <t>Statut 2022 à 2025 : Non conforme</t>
        </is>
      </c>
      <c r="K40" s="10" t="inlineStr">
        <is>
          <t>Balances 2026 provisoires ; classement de certains comptes par jugement</t>
        </is>
      </c>
      <c r="L40" s="10" t="inlineStr">
        <is>
          <t>Élevé</t>
        </is>
      </c>
      <c r="M40" s="10" t="inlineStr">
        <is>
          <t>Décision n° 05/2022/COM/UEMOA, annexe, tableau 1, ligne 5 et § 1.2.1.2.5</t>
        </is>
      </c>
      <c r="N40" s="10" t="inlineStr">
        <is>
          <t>ratios_airms_fppn.py, onglet 10_ratios</t>
        </is>
      </c>
      <c r="O40" s="10" t="inlineStr">
        <is>
          <t>Conforme au texte</t>
        </is>
      </c>
    </row>
    <row r="41">
      <c r="A41" s="9" t="inlineStr">
        <is>
          <t>F-10-02</t>
        </is>
      </c>
      <c r="B41" s="12" t="inlineStr">
        <is>
          <t>15, 159, 165</t>
        </is>
      </c>
      <c r="C41" s="12" t="inlineStr">
        <is>
          <t>Marge de solvabilité disponible / exigée (MSE)</t>
        </is>
      </c>
      <c r="D41" s="12" t="inlineStr">
        <is>
          <t>(Réserve obligatoire + fonds d'établissement + réserves libres + droits d'adhésion + dons et legs) / max(18 % des cotisations acquises n-1 ; 26 % des prestations maladie moyennes des 3 derniers exercices).</t>
        </is>
      </c>
      <c r="E41" s="12" t="inlineStr">
        <is>
          <t>111 + 1188 + 106 / 70 (n-1) et 601, 608</t>
        </is>
      </c>
      <c r="F41" s="12" t="inlineStr">
        <is>
          <t>Balances des comptes (Sage 100), 2020 au 31/08/2026</t>
        </is>
      </c>
      <c r="G41" s="13" t="inlineStr">
        <is>
          <t>Non communiquée : aucun calcul du FPPN transmis</t>
        </is>
      </c>
      <c r="H41" s="12" t="inlineStr">
        <is>
          <t>Décision n° 05/2022/COM/UEMOA, annexe, § 1.1.1 (fonds d'établissement) ; Règlement d'exécution n° 004/2022/COM/UEMOA, art. 23 : (Réserve obligatoire + fonds d'établissement + réserves libres + droits d'adhésion + dons et legs) / max(18 % des cotisations acquises n-1 ; 26 % des prestations maladie moyennes des 3 derniers exercices), norme : Au moins 1 (marge disponible au moins égale à la marge exigée)</t>
        </is>
      </c>
      <c r="I41" s="12" t="inlineStr">
        <is>
          <t>Formule du texte appliquée telle quelle. Les états éventuellement transmis par le FPPN à l'AIRMS permettront la comparaison.</t>
        </is>
      </c>
      <c r="J41" s="12" t="inlineStr">
        <is>
          <t>Statut 2022 à 2025 : Conforme</t>
        </is>
      </c>
      <c r="K41" s="12" t="inlineStr">
        <is>
          <t>Balances 2026 provisoires ; classement de certains comptes par jugement</t>
        </is>
      </c>
      <c r="L41" s="12" t="inlineStr">
        <is>
          <t>Faible</t>
        </is>
      </c>
      <c r="M41" s="12" t="inlineStr">
        <is>
          <t>Décision n° 05/2022/COM/UEMOA, annexe, § 1.1.1 (fonds d'établissement) ; Règlement d'exécution n° 004/2022/COM/UEMOA, art. 23</t>
        </is>
      </c>
      <c r="N41" s="12" t="inlineStr">
        <is>
          <t>ratios_airms_fppn.py, onglet 10_ratios</t>
        </is>
      </c>
      <c r="O41" s="12" t="inlineStr">
        <is>
          <t>Conforme au texte</t>
        </is>
      </c>
    </row>
    <row r="42">
      <c r="A42" s="9" t="inlineStr">
        <is>
          <t>F-10-03</t>
        </is>
      </c>
      <c r="B42" s="10" t="inlineStr">
        <is>
          <t>15, 159, 166, 180</t>
        </is>
      </c>
      <c r="C42" s="10" t="inlineStr">
        <is>
          <t>Ratio de réserve obligatoire (ROB)</t>
        </is>
      </c>
      <c r="D42" s="10" t="inlineStr">
        <is>
          <t>Réserves obligatoires x 12 / Charges de prestations.</t>
        </is>
      </c>
      <c r="E42" s="10" t="inlineStr">
        <is>
          <t>111 x 12 / 60 + 6901 - 7901</t>
        </is>
      </c>
      <c r="F42" s="10" t="inlineStr">
        <is>
          <t>Balances des comptes (Sage 100), 2020 au 31/08/2026</t>
        </is>
      </c>
      <c r="G42" s="11" t="inlineStr">
        <is>
          <t>Non communiquée : aucun calcul du FPPN transmis</t>
        </is>
      </c>
      <c r="H42" s="10" t="inlineStr">
        <is>
          <t>Décision n° 05/2022/COM/UEMOA, annexe, tableau 1, ligne 10 et § 1.2.2.5.4 : Réserves obligatoires x 12 / Charges de prestations, norme : Entre 6 et 9 mois (tableau 1) ; 9 mois au § 1.2.2.5.4</t>
        </is>
      </c>
      <c r="I42" s="10" t="inlineStr">
        <is>
          <t>Formule du texte appliquée telle quelle. Les états éventuellement transmis par le FPPN à l'AIRMS permettront la comparaison.</t>
        </is>
      </c>
      <c r="J42" s="10" t="inlineStr">
        <is>
          <t>Statut 2022 à 2025 : Non conforme</t>
        </is>
      </c>
      <c r="K42" s="10" t="inlineStr">
        <is>
          <t>Balances 2026 provisoires ; classement de certains comptes par jugement</t>
        </is>
      </c>
      <c r="L42" s="10" t="inlineStr">
        <is>
          <t>Élevé</t>
        </is>
      </c>
      <c r="M42" s="10" t="inlineStr">
        <is>
          <t>Décision n° 05/2022/COM/UEMOA, annexe, tableau 1, ligne 10 et § 1.2.2.5.4</t>
        </is>
      </c>
      <c r="N42" s="10" t="inlineStr">
        <is>
          <t>ratios_airms_fppn.py, onglet 10_ratios</t>
        </is>
      </c>
      <c r="O42" s="10" t="inlineStr">
        <is>
          <t>Conforme au texte</t>
        </is>
      </c>
    </row>
    <row r="43">
      <c r="A43" s="9" t="inlineStr">
        <is>
          <t>F-10-04</t>
        </is>
      </c>
      <c r="B43" s="12" t="inlineStr">
        <is>
          <t>15, 145, 159, 167, 180</t>
        </is>
      </c>
      <c r="C43" s="12" t="inlineStr">
        <is>
          <t>Ratio des fonds propres et assimilés (FEP)</t>
        </is>
      </c>
      <c r="D43" s="12" t="inlineStr">
        <is>
          <t>Fonds propres et assimilés / Dettes (y compris provisions techniques).</t>
        </is>
      </c>
      <c r="E43" s="12" t="inlineStr">
        <is>
          <t>10 + 11 + 12 + 13 + 14 + 190 + 15 / classe 4 créditrice + 16 + 190 + 15 + 5 créditeur</t>
        </is>
      </c>
      <c r="F43" s="12" t="inlineStr">
        <is>
          <t>Balances des comptes (Sage 100), 2020 au 31/08/2026</t>
        </is>
      </c>
      <c r="G43" s="13" t="inlineStr">
        <is>
          <t>Non communiquée : aucun calcul du FPPN transmis</t>
        </is>
      </c>
      <c r="H43" s="12" t="inlineStr">
        <is>
          <t>Décision n° 05/2022/COM/UEMOA, annexe, tableau 2, ligne 9 et § 1.2.2.5.3 : Fonds propres et assimilés / Dettes (y compris provisions techniques), norme : Au moins 1</t>
        </is>
      </c>
      <c r="I43" s="12" t="inlineStr">
        <is>
          <t>Formule du texte appliquée telle quelle. Les états éventuellement transmis par le FPPN à l'AIRMS permettront la comparaison.</t>
        </is>
      </c>
      <c r="J43" s="12" t="inlineStr">
        <is>
          <t>Statut 2022 à 2025 : Non conforme</t>
        </is>
      </c>
      <c r="K43" s="12" t="inlineStr">
        <is>
          <t>Balances 2026 provisoires ; classement de certains comptes par jugement</t>
        </is>
      </c>
      <c r="L43" s="12" t="inlineStr">
        <is>
          <t>Élevé</t>
        </is>
      </c>
      <c r="M43" s="12" t="inlineStr">
        <is>
          <t>Décision n° 05/2022/COM/UEMOA, annexe, tableau 2, ligne 9 et § 1.2.2.5.3</t>
        </is>
      </c>
      <c r="N43" s="12" t="inlineStr">
        <is>
          <t>ratios_airms_fppn.py, onglet 10_ratios</t>
        </is>
      </c>
      <c r="O43" s="12" t="inlineStr">
        <is>
          <t>Conforme au texte</t>
        </is>
      </c>
    </row>
    <row r="44">
      <c r="A44" s="9" t="inlineStr">
        <is>
          <t>F-10-05</t>
        </is>
      </c>
      <c r="B44" s="10" t="inlineStr">
        <is>
          <t>15, 159, 163, 168</t>
        </is>
      </c>
      <c r="C44" s="10" t="inlineStr">
        <is>
          <t>Ratio de liquidité (LIQ)</t>
        </is>
      </c>
      <c r="D44" s="10" t="inlineStr">
        <is>
          <t>Trésorerie actif / (Dettes à court terme + variation des provisions techniques).</t>
        </is>
      </c>
      <c r="E44" s="10" t="inlineStr">
        <is>
          <t>classe 5 débitrice / classe 4 créditrice + classe 5 créditrice + variation de 190 et 158</t>
        </is>
      </c>
      <c r="F44" s="10" t="inlineStr">
        <is>
          <t>Balances des comptes (Sage 100), 2020 au 31/08/2026</t>
        </is>
      </c>
      <c r="G44" s="11" t="inlineStr">
        <is>
          <t>Non communiquée : aucun calcul du FPPN transmis</t>
        </is>
      </c>
      <c r="H44" s="10" t="inlineStr">
        <is>
          <t>Décision n° 05/2022/COM/UEMOA, annexe, tableau 2, ligne 8 et § 1.2.2.5.2 : Trésorerie actif / (Dettes à court terme + variation des provisions techniques), norme : Au moins 1</t>
        </is>
      </c>
      <c r="I44" s="10" t="inlineStr">
        <is>
          <t>Formule du texte appliquée telle quelle. Les états éventuellement transmis par le FPPN à l'AIRMS permettront la comparaison.</t>
        </is>
      </c>
      <c r="J44" s="10" t="inlineStr">
        <is>
          <t>Statut 2022 à 2025 : Non conforme</t>
        </is>
      </c>
      <c r="K44" s="10" t="inlineStr">
        <is>
          <t>Balances 2026 provisoires ; classement de certains comptes par jugement</t>
        </is>
      </c>
      <c r="L44" s="10" t="inlineStr">
        <is>
          <t>Élevé</t>
        </is>
      </c>
      <c r="M44" s="10" t="inlineStr">
        <is>
          <t>Décision n° 05/2022/COM/UEMOA, annexe, tableau 2, ligne 8 et § 1.2.2.5.2</t>
        </is>
      </c>
      <c r="N44" s="10" t="inlineStr">
        <is>
          <t>ratios_airms_fppn.py, onglet 10_ratios</t>
        </is>
      </c>
      <c r="O44" s="10" t="inlineStr">
        <is>
          <t>Conforme au texte</t>
        </is>
      </c>
    </row>
    <row r="45">
      <c r="A45" s="9" t="inlineStr">
        <is>
          <t>F-10-06</t>
        </is>
      </c>
      <c r="B45" s="12" t="inlineStr">
        <is>
          <t>15, 159, 163, 169</t>
        </is>
      </c>
      <c r="C45" s="12" t="inlineStr">
        <is>
          <t>Ratio d'équilibre stable (EQS)</t>
        </is>
      </c>
      <c r="D45" s="12" t="inlineStr">
        <is>
          <t>Emplois moyens et longs / Ressources moyennes et longues.</t>
        </is>
      </c>
      <c r="E45" s="12" t="inlineStr">
        <is>
          <t>classe 2 nette / classes 10 à 19</t>
        </is>
      </c>
      <c r="F45" s="12" t="inlineStr">
        <is>
          <t>Balances des comptes (Sage 100), 2020 au 31/08/2026</t>
        </is>
      </c>
      <c r="G45" s="13" t="inlineStr">
        <is>
          <t>Non communiquée : aucun calcul du FPPN transmis</t>
        </is>
      </c>
      <c r="H45" s="12" t="inlineStr">
        <is>
          <t>Décision n° 05/2022/COM/UEMOA, annexe, tableau 1, ligne 11 et § 1.2.3.1 : Emplois moyens et longs / Ressources moyennes et longues, norme : Au plus 1</t>
        </is>
      </c>
      <c r="I45" s="12" t="inlineStr">
        <is>
          <t>Formule du texte appliquée telle quelle. Les états éventuellement transmis par le FPPN à l'AIRMS permettront la comparaison.</t>
        </is>
      </c>
      <c r="J45" s="12" t="inlineStr">
        <is>
          <t>Statut 2022 à 2025 : Non conforme</t>
        </is>
      </c>
      <c r="K45" s="12" t="inlineStr">
        <is>
          <t>Balances 2026 provisoires ; classement de certains comptes par jugement</t>
        </is>
      </c>
      <c r="L45" s="12" t="inlineStr">
        <is>
          <t>Élevé</t>
        </is>
      </c>
      <c r="M45" s="12" t="inlineStr">
        <is>
          <t>Décision n° 05/2022/COM/UEMOA, annexe, tableau 1, ligne 11 et § 1.2.3.1</t>
        </is>
      </c>
      <c r="N45" s="12" t="inlineStr">
        <is>
          <t>ratios_airms_fppn.py, onglet 10_ratios</t>
        </is>
      </c>
      <c r="O45" s="12" t="inlineStr">
        <is>
          <t>Conforme au texte</t>
        </is>
      </c>
    </row>
    <row r="46">
      <c r="A46" s="9" t="inlineStr">
        <is>
          <t>F-10-07</t>
        </is>
      </c>
      <c r="B46" s="10" t="inlineStr">
        <is>
          <t>159</t>
        </is>
      </c>
      <c r="C46" s="10" t="inlineStr">
        <is>
          <t>Ratio d'autonomie financière (AUT)</t>
        </is>
      </c>
      <c r="D46" s="10" t="inlineStr">
        <is>
          <t>Cotisations acquises / Total des charges.</t>
        </is>
      </c>
      <c r="E46" s="10" t="inlineStr">
        <is>
          <t>70 + 7906 - 6906 / classe 6 + 81 + 83 + 85</t>
        </is>
      </c>
      <c r="F46" s="10" t="inlineStr">
        <is>
          <t>Balances des comptes (Sage 100), 2020 au 31/08/2026</t>
        </is>
      </c>
      <c r="G46" s="11" t="inlineStr">
        <is>
          <t>Non communiquée : aucun calcul du FPPN transmis</t>
        </is>
      </c>
      <c r="H46" s="10" t="inlineStr">
        <is>
          <t>Décision n° 05/2022/COM/UEMOA, annexe, tableau 1, ligne 9 et § 1.2.2.5.1 : Cotisations acquises / Total des charges, norme : Au moins 1</t>
        </is>
      </c>
      <c r="I46" s="10" t="inlineStr">
        <is>
          <t>Formule du texte appliquée telle quelle. Les états éventuellement transmis par le FPPN à l'AIRMS permettront la comparaison.</t>
        </is>
      </c>
      <c r="J46" s="10" t="inlineStr">
        <is>
          <t>Statut 2022 à 2025 : Conforme</t>
        </is>
      </c>
      <c r="K46" s="10" t="inlineStr">
        <is>
          <t>Balances 2026 provisoires ; classement de certains comptes par jugement</t>
        </is>
      </c>
      <c r="L46" s="10" t="inlineStr">
        <is>
          <t>Faible</t>
        </is>
      </c>
      <c r="M46" s="10" t="inlineStr">
        <is>
          <t>Décision n° 05/2022/COM/UEMOA, annexe, tableau 1, ligne 9 et § 1.2.2.5.1</t>
        </is>
      </c>
      <c r="N46" s="10" t="inlineStr">
        <is>
          <t>ratios_airms_fppn.py, onglet 10_ratios</t>
        </is>
      </c>
      <c r="O46" s="10" t="inlineStr">
        <is>
          <t>Conforme au texte</t>
        </is>
      </c>
    </row>
    <row r="47">
      <c r="A47" s="9" t="inlineStr">
        <is>
          <t>F-10-08</t>
        </is>
      </c>
      <c r="B47" s="12" t="inlineStr">
        <is>
          <t>159, 170</t>
        </is>
      </c>
      <c r="C47" s="12" t="inlineStr">
        <is>
          <t>Taux d'excédent net (EXN)</t>
        </is>
      </c>
      <c r="D47" s="12" t="inlineStr">
        <is>
          <t>Excédent net de l'exercice / Cotisations acquises.</t>
        </is>
      </c>
      <c r="E47" s="12" t="inlineStr">
        <is>
          <t>résultat net / 70 + 7906 - 6906</t>
        </is>
      </c>
      <c r="F47" s="12" t="inlineStr">
        <is>
          <t>Balances des comptes (Sage 100), 2020 au 31/08/2026</t>
        </is>
      </c>
      <c r="G47" s="13" t="inlineStr">
        <is>
          <t>Non communiquée : aucun calcul du FPPN transmis</t>
        </is>
      </c>
      <c r="H47" s="12" t="inlineStr">
        <is>
          <t>Décision n° 05/2022/COM/UEMOA, annexe, tableau 2, ligne 10 et § 1.2.2.5.5 : Excédent net de l'exercice / Cotisations acquises, norme : Au plus 5 %</t>
        </is>
      </c>
      <c r="I47" s="12" t="inlineStr">
        <is>
          <t>Formule du texte appliquée telle quelle. Les états éventuellement transmis par le FPPN à l'AIRMS permettront la comparaison.</t>
        </is>
      </c>
      <c r="J47" s="12" t="inlineStr">
        <is>
          <t>Statut 2022 à 2025 : Non conforme</t>
        </is>
      </c>
      <c r="K47" s="12" t="inlineStr">
        <is>
          <t>Balances 2026 provisoires ; classement de certains comptes par jugement</t>
        </is>
      </c>
      <c r="L47" s="12" t="inlineStr">
        <is>
          <t>Élevé</t>
        </is>
      </c>
      <c r="M47" s="12" t="inlineStr">
        <is>
          <t>Décision n° 05/2022/COM/UEMOA, annexe, tableau 2, ligne 10 et § 1.2.2.5.5</t>
        </is>
      </c>
      <c r="N47" s="12" t="inlineStr">
        <is>
          <t>ratios_airms_fppn.py, onglet 10_ratios</t>
        </is>
      </c>
      <c r="O47" s="12" t="inlineStr">
        <is>
          <t>Conforme au texte</t>
        </is>
      </c>
    </row>
    <row r="48">
      <c r="A48" s="9" t="inlineStr">
        <is>
          <t>F-10-09</t>
        </is>
      </c>
      <c r="B48" s="10" t="inlineStr">
        <is>
          <t>159</t>
        </is>
      </c>
      <c r="C48" s="10" t="inlineStr">
        <is>
          <t>Taux de financement propre (TFP)</t>
        </is>
      </c>
      <c r="D48" s="10" t="inlineStr">
        <is>
          <t>Total des produits avant subventions / Total des charges.</t>
        </is>
      </c>
      <c r="E48" s="10" t="inlineStr">
        <is>
          <t>produits (liste de l'annexe) - 75 et 88 / charges</t>
        </is>
      </c>
      <c r="F48" s="10" t="inlineStr">
        <is>
          <t>Balances des comptes (Sage 100), 2020 au 31/08/2026</t>
        </is>
      </c>
      <c r="G48" s="11" t="inlineStr">
        <is>
          <t>Non communiquée : aucun calcul du FPPN transmis</t>
        </is>
      </c>
      <c r="H48" s="10" t="inlineStr">
        <is>
          <t>Décision n° 05/2022/COM/UEMOA, annexe, tableau 2, ligne 11 et § 1.2.3.2 : Total des produits avant subventions / Total des charges, norme : Au moins 100 %</t>
        </is>
      </c>
      <c r="I48" s="10" t="inlineStr">
        <is>
          <t>Formule du texte appliquée telle quelle. Les états éventuellement transmis par le FPPN à l'AIRMS permettront la comparaison.</t>
        </is>
      </c>
      <c r="J48" s="10" t="inlineStr">
        <is>
          <t>Statut 2022 à 2025 : Conforme</t>
        </is>
      </c>
      <c r="K48" s="10" t="inlineStr">
        <is>
          <t>Balances 2026 provisoires ; classement de certains comptes par jugement</t>
        </is>
      </c>
      <c r="L48" s="10" t="inlineStr">
        <is>
          <t>Faible</t>
        </is>
      </c>
      <c r="M48" s="10" t="inlineStr">
        <is>
          <t>Décision n° 05/2022/COM/UEMOA, annexe, tableau 2, ligne 11 et § 1.2.3.2</t>
        </is>
      </c>
      <c r="N48" s="10" t="inlineStr">
        <is>
          <t>ratios_airms_fppn.py, onglet 10_ratios</t>
        </is>
      </c>
      <c r="O48" s="10" t="inlineStr">
        <is>
          <t>Conforme au texte</t>
        </is>
      </c>
    </row>
    <row r="49">
      <c r="A49" s="9" t="inlineStr">
        <is>
          <t>F-10-10</t>
        </is>
      </c>
      <c r="B49" s="12" t="inlineStr">
        <is>
          <t>15, 160</t>
        </is>
      </c>
      <c r="C49" s="12" t="inlineStr">
        <is>
          <t>Ratio de solvabilité de la branche épargne (risques longs) (RL1)</t>
        </is>
      </c>
      <c r="D49" s="12" t="inlineStr">
        <is>
          <t>Actifs admis / Engagements réglementés.</t>
        </is>
      </c>
      <c r="E49" s="12" t="inlineStr">
        <is>
          <t>banques et DAT dédiés, FCP / 41195100 + 41195200</t>
        </is>
      </c>
      <c r="F49" s="12" t="inlineStr">
        <is>
          <t>Balances des comptes (Sage 100), 2020 au 31/08/2026</t>
        </is>
      </c>
      <c r="G49" s="13" t="inlineStr">
        <is>
          <t>Non communiquée : aucun calcul du FPPN transmis</t>
        </is>
      </c>
      <c r="H49" s="12" t="inlineStr">
        <is>
          <t>Décision n° 05/2022/COM/UEMOA, annexe, section II, § 2.1 : Actifs admis / Engagements réglementés, norme : Au moins 1</t>
        </is>
      </c>
      <c r="I49" s="12" t="inlineStr">
        <is>
          <t>Formule du texte appliquée telle quelle. Les états éventuellement transmis par le FPPN à l'AIRMS permettront la comparaison.</t>
        </is>
      </c>
      <c r="J49" s="12" t="inlineStr">
        <is>
          <t>Statut 2022 à 2025 : Non conforme</t>
        </is>
      </c>
      <c r="K49" s="12" t="inlineStr">
        <is>
          <t>Balances 2026 provisoires ; classement de certains comptes par jugement</t>
        </is>
      </c>
      <c r="L49" s="12" t="inlineStr">
        <is>
          <t>Élevé</t>
        </is>
      </c>
      <c r="M49" s="12" t="inlineStr">
        <is>
          <t>Décision n° 05/2022/COM/UEMOA, annexe, section II, § 2.1</t>
        </is>
      </c>
      <c r="N49" s="12" t="inlineStr">
        <is>
          <t>ratios_airms_fppn.py, onglet 10_ratios</t>
        </is>
      </c>
      <c r="O49" s="12" t="inlineStr">
        <is>
          <t>Conforme au texte</t>
        </is>
      </c>
    </row>
    <row r="50">
      <c r="A50" s="9" t="inlineStr">
        <is>
          <t>F-10-11</t>
        </is>
      </c>
      <c r="B50" s="10" t="inlineStr">
        <is>
          <t>160, 168</t>
        </is>
      </c>
      <c r="C50" s="10" t="inlineStr">
        <is>
          <t>Ratio de trésorerie à échéance (risques longs) (RL2)</t>
        </is>
      </c>
      <c r="D50" s="10" t="inlineStr">
        <is>
          <t>(Valeurs réalisables + disponibles) / Dettes à court terme.</t>
        </is>
      </c>
      <c r="E50" s="10" t="inlineStr">
        <is>
          <t>créances court terme + classe 5 débitrice / dettes court terme</t>
        </is>
      </c>
      <c r="F50" s="10" t="inlineStr">
        <is>
          <t>Balances des comptes (Sage 100), 2020 au 31/08/2026</t>
        </is>
      </c>
      <c r="G50" s="11" t="inlineStr">
        <is>
          <t>Non communiquée : aucun calcul du FPPN transmis</t>
        </is>
      </c>
      <c r="H50" s="10" t="inlineStr">
        <is>
          <t>Décision n° 05/2022/COM/UEMOA, annexe, section II, § 2.2 : (Valeurs réalisables + disponibles) / Dettes à court terme, norme : Supérieur à 1</t>
        </is>
      </c>
      <c r="I50" s="10" t="inlineStr">
        <is>
          <t>Formule du texte appliquée telle quelle. Les états éventuellement transmis par le FPPN à l'AIRMS permettront la comparaison.</t>
        </is>
      </c>
      <c r="J50" s="10" t="inlineStr">
        <is>
          <t>Statut 2022 à 2025 : Non conforme</t>
        </is>
      </c>
      <c r="K50" s="10" t="inlineStr">
        <is>
          <t>Balances 2026 provisoires ; classement de certains comptes par jugement</t>
        </is>
      </c>
      <c r="L50" s="10" t="inlineStr">
        <is>
          <t>Élevé</t>
        </is>
      </c>
      <c r="M50" s="10" t="inlineStr">
        <is>
          <t>Décision n° 05/2022/COM/UEMOA, annexe, section II, § 2.2</t>
        </is>
      </c>
      <c r="N50" s="10" t="inlineStr">
        <is>
          <t>ratios_airms_fppn.py, onglet 10_ratios</t>
        </is>
      </c>
      <c r="O50" s="10" t="inlineStr">
        <is>
          <t>Conforme au texte</t>
        </is>
      </c>
    </row>
    <row r="51">
      <c r="A51" s="9" t="inlineStr">
        <is>
          <t>F-10-12</t>
        </is>
      </c>
      <c r="B51" s="12" t="inlineStr">
        <is>
          <t>160</t>
        </is>
      </c>
      <c r="C51" s="12" t="inlineStr">
        <is>
          <t>Ratio de trésorerie immédiate (risques longs) (RL3)</t>
        </is>
      </c>
      <c r="D51" s="12" t="inlineStr">
        <is>
          <t>Valeurs disponibles / Dettes à court terme.</t>
        </is>
      </c>
      <c r="E51" s="12" t="inlineStr">
        <is>
          <t>classe 5 débitrice / dettes court terme</t>
        </is>
      </c>
      <c r="F51" s="12" t="inlineStr">
        <is>
          <t>Balances des comptes (Sage 100), 2020 au 31/08/2026</t>
        </is>
      </c>
      <c r="G51" s="13" t="inlineStr">
        <is>
          <t>Non communiquée : aucun calcul du FPPN transmis</t>
        </is>
      </c>
      <c r="H51" s="12" t="inlineStr">
        <is>
          <t>Décision n° 05/2022/COM/UEMOA, annexe, section II, § 2.3 : Valeurs disponibles / Dettes à court terme, norme : Au moins 1</t>
        </is>
      </c>
      <c r="I51" s="12" t="inlineStr">
        <is>
          <t>Formule du texte appliquée telle quelle. Les états éventuellement transmis par le FPPN à l'AIRMS permettront la comparaison.</t>
        </is>
      </c>
      <c r="J51" s="12" t="inlineStr">
        <is>
          <t>Statut 2022 à 2025 : Non conforme</t>
        </is>
      </c>
      <c r="K51" s="12" t="inlineStr">
        <is>
          <t>Balances 2026 provisoires ; classement de certains comptes par jugement</t>
        </is>
      </c>
      <c r="L51" s="12" t="inlineStr">
        <is>
          <t>Élevé</t>
        </is>
      </c>
      <c r="M51" s="12" t="inlineStr">
        <is>
          <t>Décision n° 05/2022/COM/UEMOA, annexe, section II, § 2.3</t>
        </is>
      </c>
      <c r="N51" s="12" t="inlineStr">
        <is>
          <t>ratios_airms_fppn.py, onglet 10_ratios</t>
        </is>
      </c>
      <c r="O51" s="12" t="inlineStr">
        <is>
          <t>Conforme au texte</t>
        </is>
      </c>
    </row>
    <row r="52">
      <c r="A52" s="9" t="inlineStr">
        <is>
          <t>F-10-13</t>
        </is>
      </c>
      <c r="B52" s="10" t="inlineStr">
        <is>
          <t>160, 172</t>
        </is>
      </c>
      <c r="C52" s="10" t="inlineStr">
        <is>
          <t>Réserve de trésorerie des risques longs (un trimestre d'engagements et de frais) (RL4)</t>
        </is>
      </c>
      <c r="D52" s="10" t="inlineStr">
        <is>
          <t>Réserve de trésorerie constituée / (sorties d'épargne + frais de fonctionnement au prorata) / 4.</t>
        </is>
      </c>
      <c r="E52" s="10" t="inlineStr">
        <is>
          <t>aucun compte de réserve de trésorerie identifié</t>
        </is>
      </c>
      <c r="F52" s="10" t="inlineStr">
        <is>
          <t>Balances des comptes (Sage 100), 2020 au 31/08/2026</t>
        </is>
      </c>
      <c r="G52" s="11" t="inlineStr">
        <is>
          <t>Non communiquée : aucun calcul du FPPN transmis</t>
        </is>
      </c>
      <c r="H52" s="10" t="inlineStr">
        <is>
          <t>Règlement d'exécution n° 004/2022/COM/UEMOA, art. 19, alinéa 3 : Réserve de trésorerie constituée / (sorties d'épargne + frais de fonctionnement au prorata) / 4, norme : Au moins 1 trimestre</t>
        </is>
      </c>
      <c r="I52" s="10" t="inlineStr">
        <is>
          <t>Formule du texte appliquée telle quelle. Les états éventuellement transmis par le FPPN à l'AIRMS permettront la comparaison.</t>
        </is>
      </c>
      <c r="J52" s="10" t="inlineStr">
        <is>
          <t>Statut 2022 à 2025 : Non conforme</t>
        </is>
      </c>
      <c r="K52" s="10" t="inlineStr">
        <is>
          <t>Balances 2026 provisoires ; classement de certains comptes par jugement</t>
        </is>
      </c>
      <c r="L52" s="10" t="inlineStr">
        <is>
          <t>Élevé</t>
        </is>
      </c>
      <c r="M52" s="10" t="inlineStr">
        <is>
          <t>Règlement d'exécution n° 004/2022/COM/UEMOA, art. 19, alinéa 3</t>
        </is>
      </c>
      <c r="N52" s="10" t="inlineStr">
        <is>
          <t>ratios_airms_fppn.py, onglet 10_ratios</t>
        </is>
      </c>
      <c r="O52" s="10" t="inlineStr">
        <is>
          <t>Conforme au texte</t>
        </is>
      </c>
    </row>
    <row r="53">
      <c r="A53" s="9" t="inlineStr">
        <is>
          <t>F-10-14</t>
        </is>
      </c>
      <c r="B53" s="12" t="inlineStr">
        <is>
          <t>160, 172</t>
        </is>
      </c>
      <c r="C53" s="12" t="inlineStr">
        <is>
          <t>Fonds propres / prestations des risques longs des deux derniers exercices (RL5)</t>
        </is>
      </c>
      <c r="D53" s="12" t="inlineStr">
        <is>
          <t>Fonds propres / sorties d'épargne des exercices n et n-1.</t>
        </is>
      </c>
      <c r="E53" s="12" t="inlineStr">
        <is>
          <t>10 à 14 + résultat / débits de 41195100 et 41195200</t>
        </is>
      </c>
      <c r="F53" s="12" t="inlineStr">
        <is>
          <t>Balances des comptes (Sage 100), 2020 au 31/08/2026</t>
        </is>
      </c>
      <c r="G53" s="13" t="inlineStr">
        <is>
          <t>Non communiquée : aucun calcul du FPPN transmis</t>
        </is>
      </c>
      <c r="H53" s="12" t="inlineStr">
        <is>
          <t>Règlement d'exécution n° 004/2022/COM/UEMOA, art. 21 : Fonds propres / sorties d'épargne des exercices n et n-1, norme : Au moins 1</t>
        </is>
      </c>
      <c r="I53" s="12" t="inlineStr">
        <is>
          <t>Formule du texte appliquée telle quelle. Les états éventuellement transmis par le FPPN à l'AIRMS permettront la comparaison.</t>
        </is>
      </c>
      <c r="J53" s="12" t="inlineStr">
        <is>
          <t>Statut 2022 à 2025 : Non conforme</t>
        </is>
      </c>
      <c r="K53" s="12" t="inlineStr">
        <is>
          <t>Balances 2026 provisoires ; classement de certains comptes par jugement</t>
        </is>
      </c>
      <c r="L53" s="12" t="inlineStr">
        <is>
          <t>Élevé</t>
        </is>
      </c>
      <c r="M53" s="12" t="inlineStr">
        <is>
          <t>Règlement d'exécution n° 004/2022/COM/UEMOA, art. 21</t>
        </is>
      </c>
      <c r="N53" s="12" t="inlineStr">
        <is>
          <t>ratios_airms_fppn.py, onglet 10_ratios</t>
        </is>
      </c>
      <c r="O53" s="12" t="inlineStr">
        <is>
          <t>Conforme au texte</t>
        </is>
      </c>
    </row>
    <row r="54">
      <c r="A54" s="9" t="inlineStr">
        <is>
          <t>F-10-15</t>
        </is>
      </c>
      <c r="B54" s="10" t="inlineStr">
        <is>
          <t>160</t>
        </is>
      </c>
      <c r="C54" s="10" t="inlineStr">
        <is>
          <t>Taux brut de rentabilité des placements (RL6)</t>
        </is>
      </c>
      <c r="D54" s="10" t="inlineStr">
        <is>
          <t>Intérêts perçus / Capital investi.</t>
        </is>
      </c>
      <c r="E54" s="10" t="inlineStr">
        <is>
          <t>77 / DAT et FCP moyens</t>
        </is>
      </c>
      <c r="F54" s="10" t="inlineStr">
        <is>
          <t>Balances des comptes (Sage 100), 2020 au 31/08/2026</t>
        </is>
      </c>
      <c r="G54" s="11" t="inlineStr">
        <is>
          <t>Non communiquée : aucun calcul du FPPN transmis</t>
        </is>
      </c>
      <c r="H54" s="10" t="inlineStr">
        <is>
          <t>Décision n° 05/2022/COM/UEMOA, annexe, section II, § 2.4 : Intérêts perçus / Capital investi, norme : Au moins le taux moyen du marché</t>
        </is>
      </c>
      <c r="I54" s="10" t="inlineStr">
        <is>
          <t>Formule du texte appliquée telle quelle. Les états éventuellement transmis par le FPPN à l'AIRMS permettront la comparaison.</t>
        </is>
      </c>
      <c r="J54" s="10" t="inlineStr">
        <is>
          <t>Statut 2022 à 2025 : À apprécier</t>
        </is>
      </c>
      <c r="K54" s="10" t="inlineStr">
        <is>
          <t>Comparé au taux directeur de la BCEAO (partie 9) : appréciation, pas de seuil chiffré.</t>
        </is>
      </c>
      <c r="L54" s="10" t="inlineStr">
        <is>
          <t>Faible</t>
        </is>
      </c>
      <c r="M54" s="10" t="inlineStr">
        <is>
          <t>Décision n° 05/2022/COM/UEMOA, annexe, section II, § 2.4</t>
        </is>
      </c>
      <c r="N54" s="10" t="inlineStr">
        <is>
          <t>ratios_airms_fppn.py, onglet 10_ratios</t>
        </is>
      </c>
      <c r="O54" s="10" t="inlineStr">
        <is>
          <t>À apprécier</t>
        </is>
      </c>
    </row>
    <row r="55">
      <c r="A55" s="9" t="inlineStr">
        <is>
          <t>F-10-16</t>
        </is>
      </c>
      <c r="B55" s="12" t="inlineStr">
        <is>
          <t>160</t>
        </is>
      </c>
      <c r="C55" s="12" t="inlineStr">
        <is>
          <t>Solde moyen des comptes courants non rémunérés (RL7)</t>
        </is>
      </c>
      <c r="D55" s="12" t="inlineStr">
        <is>
          <t>Somme des soldes des comptes courants / nombre de comptes.</t>
        </is>
      </c>
      <c r="E55" s="12" t="inlineStr">
        <is>
          <t>521 (soldes aux clôtures)</t>
        </is>
      </c>
      <c r="F55" s="12" t="inlineStr">
        <is>
          <t>Balances des comptes (Sage 100), 2020 au 31/08/2026</t>
        </is>
      </c>
      <c r="G55" s="13" t="inlineStr">
        <is>
          <t>Non communiquée : aucun calcul du FPPN transmis</t>
        </is>
      </c>
      <c r="H55" s="12" t="inlineStr">
        <is>
          <t>Décision n° 05/2022/COM/UEMOA, annexe, section II, § 2.5 : Somme des soldes des comptes courants / nombre de comptes, norme : Avoisinant zéro</t>
        </is>
      </c>
      <c r="I55" s="12" t="inlineStr">
        <is>
          <t>Formule du texte appliquée telle quelle. Les états éventuellement transmis par le FPPN à l'AIRMS permettront la comparaison.</t>
        </is>
      </c>
      <c r="J55" s="12" t="inlineStr">
        <is>
          <t>Statut 2022 à 2025 : À apprécier</t>
        </is>
      </c>
      <c r="K55" s="12" t="inlineStr">
        <is>
          <t>Norme non chiffrée : appréciation.</t>
        </is>
      </c>
      <c r="L55" s="12" t="inlineStr">
        <is>
          <t>Faible</t>
        </is>
      </c>
      <c r="M55" s="12" t="inlineStr">
        <is>
          <t>Décision n° 05/2022/COM/UEMOA, annexe, section II, § 2.5</t>
        </is>
      </c>
      <c r="N55" s="12" t="inlineStr">
        <is>
          <t>ratios_airms_fppn.py, onglet 10_ratios</t>
        </is>
      </c>
      <c r="O55" s="12" t="inlineStr">
        <is>
          <t>À apprécier</t>
        </is>
      </c>
    </row>
    <row r="56">
      <c r="A56" s="9" t="inlineStr">
        <is>
          <t>F-10-17</t>
        </is>
      </c>
      <c r="B56" s="10" t="inlineStr">
        <is>
          <t>15, 161, 171, 180</t>
        </is>
      </c>
      <c r="C56" s="10" t="inlineStr">
        <is>
          <t>Taux des charges de fonctionnement (CHF)</t>
        </is>
      </c>
      <c r="D56" s="10" t="inlineStr">
        <is>
          <t>Charges de fonctionnement / Cotisations acquises.</t>
        </is>
      </c>
      <c r="E56" s="10" t="inlineStr">
        <is>
          <t>612, 613, 618, 62 à 68 / 70 + 7906 - 6906</t>
        </is>
      </c>
      <c r="F56" s="10" t="inlineStr">
        <is>
          <t>Balances des comptes (Sage 100), 2020 au 31/08/2026</t>
        </is>
      </c>
      <c r="G56" s="11" t="inlineStr">
        <is>
          <t>Non communiquée : aucun calcul du FPPN transmis</t>
        </is>
      </c>
      <c r="H56" s="10" t="inlineStr">
        <is>
          <t>Décision n° 05/2022/COM/UEMOA, annexe, tableau 1, ligne 2 et § 1.2.1.2.1 : Charges de fonctionnement / Cotisations acquises, norme : Au plus 20 %</t>
        </is>
      </c>
      <c r="I56" s="10" t="inlineStr">
        <is>
          <t>Formule du texte appliquée telle quelle. Les états éventuellement transmis par le FPPN à l'AIRMS permettront la comparaison.</t>
        </is>
      </c>
      <c r="J56" s="10" t="inlineStr">
        <is>
          <t>Statut 2022 à 2025 : Non conforme</t>
        </is>
      </c>
      <c r="K56" s="10" t="inlineStr">
        <is>
          <t>Balances 2026 provisoires ; classement de certains comptes par jugement</t>
        </is>
      </c>
      <c r="L56" s="10" t="inlineStr">
        <is>
          <t>Moyen</t>
        </is>
      </c>
      <c r="M56" s="10" t="inlineStr">
        <is>
          <t>Décision n° 05/2022/COM/UEMOA, annexe, tableau 1, ligne 2 et § 1.2.1.2.1</t>
        </is>
      </c>
      <c r="N56" s="10" t="inlineStr">
        <is>
          <t>ratios_airms_fppn.py, onglet 10_ratios</t>
        </is>
      </c>
      <c r="O56" s="10" t="inlineStr">
        <is>
          <t>Conforme au texte</t>
        </is>
      </c>
    </row>
    <row r="57">
      <c r="A57" s="9" t="inlineStr">
        <is>
          <t>F-10-18</t>
        </is>
      </c>
      <c r="B57" s="12" t="inlineStr">
        <is>
          <t>161, 171</t>
        </is>
      </c>
      <c r="C57" s="12" t="inlineStr">
        <is>
          <t>Taux des charges de fonctionnement brut (CHB)</t>
        </is>
      </c>
      <c r="D57" s="12" t="inlineStr">
        <is>
          <t>Charges de fonctionnement brut / Total des produits.</t>
        </is>
      </c>
      <c r="E57" s="12" t="inlineStr">
        <is>
          <t>61 à 68, 691, 697 / produits (liste de l'annexe)</t>
        </is>
      </c>
      <c r="F57" s="12" t="inlineStr">
        <is>
          <t>Balances des comptes (Sage 100), 2020 au 31/08/2026</t>
        </is>
      </c>
      <c r="G57" s="13" t="inlineStr">
        <is>
          <t>Non communiquée : aucun calcul du FPPN transmis</t>
        </is>
      </c>
      <c r="H57" s="12" t="inlineStr">
        <is>
          <t>Décision n° 05/2022/COM/UEMOA, annexe, tableau 1, ligne 3 et § 1.2.1.2.2 : Charges de fonctionnement brut / Total des produits, norme : Au plus 15 %</t>
        </is>
      </c>
      <c r="I57" s="12" t="inlineStr">
        <is>
          <t>Formule du texte appliquée telle quelle. Les états éventuellement transmis par le FPPN à l'AIRMS permettront la comparaison.</t>
        </is>
      </c>
      <c r="J57" s="12" t="inlineStr">
        <is>
          <t>Statut 2022 à 2025 : Non conforme</t>
        </is>
      </c>
      <c r="K57" s="12" t="inlineStr">
        <is>
          <t>Balances 2026 provisoires ; classement de certains comptes par jugement</t>
        </is>
      </c>
      <c r="L57" s="12" t="inlineStr">
        <is>
          <t>Moyen</t>
        </is>
      </c>
      <c r="M57" s="12" t="inlineStr">
        <is>
          <t>Décision n° 05/2022/COM/UEMOA, annexe, tableau 1, ligne 3 et § 1.2.1.2.2</t>
        </is>
      </c>
      <c r="N57" s="12" t="inlineStr">
        <is>
          <t>ratios_airms_fppn.py, onglet 10_ratios</t>
        </is>
      </c>
      <c r="O57" s="12" t="inlineStr">
        <is>
          <t>Conforme au texte</t>
        </is>
      </c>
    </row>
    <row r="58">
      <c r="A58" s="9" t="inlineStr">
        <is>
          <t>F-10-19</t>
        </is>
      </c>
      <c r="B58" s="10" t="inlineStr">
        <is>
          <t>161, 171</t>
        </is>
      </c>
      <c r="C58" s="10" t="inlineStr">
        <is>
          <t>Coût par unité monétaire prestée (CUP)</t>
        </is>
      </c>
      <c r="D58" s="10" t="inlineStr">
        <is>
          <t>Charges de fonctionnement / Charges de prestations.</t>
        </is>
      </c>
      <c r="E58" s="10" t="inlineStr">
        <is>
          <t>612, 613, 618, 62 à 68 / 60 + 6901 - 7901</t>
        </is>
      </c>
      <c r="F58" s="10" t="inlineStr">
        <is>
          <t>Balances des comptes (Sage 100), 2020 au 31/08/2026</t>
        </is>
      </c>
      <c r="G58" s="11" t="inlineStr">
        <is>
          <t>Non communiquée : aucun calcul du FPPN transmis</t>
        </is>
      </c>
      <c r="H58" s="10" t="inlineStr">
        <is>
          <t>Décision n° 05/2022/COM/UEMOA, annexe, tableau 2, ligne 5 et § 1.2.1.2.3 : Charges de fonctionnement / Charges de prestations, norme : Au plus 15 %</t>
        </is>
      </c>
      <c r="I58" s="10" t="inlineStr">
        <is>
          <t>Formule du texte appliquée telle quelle. Les états éventuellement transmis par le FPPN à l'AIRMS permettront la comparaison.</t>
        </is>
      </c>
      <c r="J58" s="10" t="inlineStr">
        <is>
          <t>Statut 2022 à 2025 : Non conforme</t>
        </is>
      </c>
      <c r="K58" s="10" t="inlineStr">
        <is>
          <t>Balances 2026 provisoires ; classement de certains comptes par jugement</t>
        </is>
      </c>
      <c r="L58" s="10" t="inlineStr">
        <is>
          <t>Moyen</t>
        </is>
      </c>
      <c r="M58" s="10" t="inlineStr">
        <is>
          <t>Décision n° 05/2022/COM/UEMOA, annexe, tableau 2, ligne 5 et § 1.2.1.2.3</t>
        </is>
      </c>
      <c r="N58" s="10" t="inlineStr">
        <is>
          <t>ratios_airms_fppn.py, onglet 10_ratios</t>
        </is>
      </c>
      <c r="O58" s="10" t="inlineStr">
        <is>
          <t>Conforme au texte</t>
        </is>
      </c>
    </row>
    <row r="59">
      <c r="A59" s="9" t="inlineStr">
        <is>
          <t>F-10-20</t>
        </is>
      </c>
      <c r="B59" s="12" t="inlineStr">
        <is>
          <t>161, 171</t>
        </is>
      </c>
      <c r="C59" s="12" t="inlineStr">
        <is>
          <t>Taux de charges de personnel (CHP)</t>
        </is>
      </c>
      <c r="D59" s="12" t="inlineStr">
        <is>
          <t>Charges de personnel / Charges de fonctionnement brut.</t>
        </is>
      </c>
      <c r="E59" s="12" t="inlineStr">
        <is>
          <t>66 / 61 à 68, 691, 697</t>
        </is>
      </c>
      <c r="F59" s="12" t="inlineStr">
        <is>
          <t>Balances des comptes (Sage 100), 2020 au 31/08/2026</t>
        </is>
      </c>
      <c r="G59" s="13" t="inlineStr">
        <is>
          <t>Non communiquée : aucun calcul du FPPN transmis</t>
        </is>
      </c>
      <c r="H59" s="12" t="inlineStr">
        <is>
          <t>Décision n° 05/2022/COM/UEMOA, annexe, tableau 1, ligne 4 et § 1.2.1.2.4 : Charges de personnel / Charges de fonctionnement brut, norme : Au plus 85 %</t>
        </is>
      </c>
      <c r="I59" s="12" t="inlineStr">
        <is>
          <t>Formule du texte appliquée telle quelle. Les états éventuellement transmis par le FPPN à l'AIRMS permettront la comparaison.</t>
        </is>
      </c>
      <c r="J59" s="12" t="inlineStr">
        <is>
          <t>Statut 2022 à 2025 : Conforme</t>
        </is>
      </c>
      <c r="K59" s="12" t="inlineStr">
        <is>
          <t>Balances 2026 provisoires ; classement de certains comptes par jugement</t>
        </is>
      </c>
      <c r="L59" s="12" t="inlineStr">
        <is>
          <t>Faible</t>
        </is>
      </c>
      <c r="M59" s="12" t="inlineStr">
        <is>
          <t>Décision n° 05/2022/COM/UEMOA, annexe, tableau 1, ligne 4 et § 1.2.1.2.4</t>
        </is>
      </c>
      <c r="N59" s="12" t="inlineStr">
        <is>
          <t>ratios_airms_fppn.py, onglet 10_ratios</t>
        </is>
      </c>
      <c r="O59" s="12" t="inlineStr">
        <is>
          <t>Conforme au texte</t>
        </is>
      </c>
    </row>
    <row r="60">
      <c r="A60" s="9" t="inlineStr">
        <is>
          <t>F-10-21</t>
        </is>
      </c>
      <c r="B60" s="10" t="inlineStr">
        <is>
          <t>161</t>
        </is>
      </c>
      <c r="C60" s="10" t="inlineStr">
        <is>
          <t>Taux de recouvrement des cotisations (REC)</t>
        </is>
      </c>
      <c r="D60" s="10" t="inlineStr">
        <is>
          <t>Cotisations recouvrées / Cotisations émises.</t>
        </is>
      </c>
      <c r="E60" s="10" t="inlineStr">
        <is>
          <t>fichiers retour / fichiers aller</t>
        </is>
      </c>
      <c r="F60" s="10" t="inlineStr">
        <is>
          <t>Balances des comptes (Sage 100), 2020 au 31/08/2026</t>
        </is>
      </c>
      <c r="G60" s="11" t="inlineStr">
        <is>
          <t>Non communiquée : aucun calcul du FPPN transmis</t>
        </is>
      </c>
      <c r="H60" s="10" t="inlineStr">
        <is>
          <t>Décision n° 05/2022/COM/UEMOA, annexe, tableau 2, ligne 13 et § 1.2.2.3.1 : Cotisations recouvrées / Cotisations émises, norme : Au moins 90 %</t>
        </is>
      </c>
      <c r="I60" s="10" t="inlineStr">
        <is>
          <t>Formule du texte appliquée telle quelle. Les états éventuellement transmis par le FPPN à l'AIRMS permettront la comparaison.</t>
        </is>
      </c>
      <c r="J60" s="10" t="inlineStr">
        <is>
          <t>Statut 2022 à 2025 : Conforme</t>
        </is>
      </c>
      <c r="K60" s="10" t="inlineStr">
        <is>
          <t>Fichiers aller des postes 936 et 8Z6 non reçus. Calculable seulement pour les retraités CGRAE.</t>
        </is>
      </c>
      <c r="L60" s="10" t="inlineStr">
        <is>
          <t>Faible</t>
        </is>
      </c>
      <c r="M60" s="10" t="inlineStr">
        <is>
          <t>Décision n° 05/2022/COM/UEMOA, annexe, tableau 2, ligne 13 et § 1.2.2.3.1</t>
        </is>
      </c>
      <c r="N60" s="10" t="inlineStr">
        <is>
          <t>ratios_airms_fppn.py, onglet 10_ratios</t>
        </is>
      </c>
      <c r="O60" s="10" t="inlineStr">
        <is>
          <t>Conforme au texte</t>
        </is>
      </c>
    </row>
    <row r="61">
      <c r="A61" s="9" t="inlineStr">
        <is>
          <t>F-10-22</t>
        </is>
      </c>
      <c r="B61" s="12" t="inlineStr">
        <is>
          <t>161</t>
        </is>
      </c>
      <c r="C61" s="12" t="inlineStr">
        <is>
          <t>Taux de fidélisation (FID)</t>
        </is>
      </c>
      <c r="D61" s="12" t="inlineStr">
        <is>
          <t>Renouvellements d'adhésion n / Adhérents n-1.</t>
        </is>
      </c>
      <c r="E61" s="12" t="inlineStr">
        <is>
          <t>matricules du poste 936 présents en n et n-1</t>
        </is>
      </c>
      <c r="F61" s="12" t="inlineStr">
        <is>
          <t>Balances des comptes (Sage 100), 2020 au 31/08/2026</t>
        </is>
      </c>
      <c r="G61" s="13" t="inlineStr">
        <is>
          <t>Non communiquée : aucun calcul du FPPN transmis</t>
        </is>
      </c>
      <c r="H61" s="12" t="inlineStr">
        <is>
          <t>Décision n° 05/2022/COM/UEMOA, annexe, tableau 2, ligne 4 et § 1.2.1.1.4 : Renouvellements d'adhésion n / Adhérents n-1, norme : Au moins 80 %</t>
        </is>
      </c>
      <c r="I61" s="12" t="inlineStr">
        <is>
          <t>Formule du texte appliquée telle quelle. Les états éventuellement transmis par le FPPN à l'AIRMS permettront la comparaison.</t>
        </is>
      </c>
      <c r="J61" s="12" t="inlineStr">
        <is>
          <t>Statut 2022 à 2025 : Conforme</t>
        </is>
      </c>
      <c r="K61" s="12" t="inlineStr">
        <is>
          <t>Balances 2026 provisoires ; classement de certains comptes par jugement</t>
        </is>
      </c>
      <c r="L61" s="12" t="inlineStr">
        <is>
          <t>Faible</t>
        </is>
      </c>
      <c r="M61" s="12" t="inlineStr">
        <is>
          <t>Décision n° 05/2022/COM/UEMOA, annexe, tableau 2, ligne 4 et § 1.2.1.1.4</t>
        </is>
      </c>
      <c r="N61" s="12" t="inlineStr">
        <is>
          <t>ratios_airms_fppn.py, onglet 10_ratios</t>
        </is>
      </c>
      <c r="O61" s="12" t="inlineStr">
        <is>
          <t>Conforme au texte</t>
        </is>
      </c>
    </row>
    <row r="62">
      <c r="A62" s="9" t="inlineStr">
        <is>
          <t>F-10-23</t>
        </is>
      </c>
      <c r="B62" s="10" t="inlineStr">
        <is>
          <t>161</t>
        </is>
      </c>
      <c r="C62" s="10" t="inlineStr">
        <is>
          <t>Délai moyen de paiement des prestataires de soins (DPP)</t>
        </is>
      </c>
      <c r="D62" s="10" t="inlineStr">
        <is>
          <t>Dettes envers les prestataires x 365 / Prestations prises en charge.</t>
        </is>
      </c>
      <c r="E62" s="10" t="inlineStr">
        <is>
          <t>40110000 x 365 / 60</t>
        </is>
      </c>
      <c r="F62" s="10" t="inlineStr">
        <is>
          <t>Balances des comptes (Sage 100), 2020 au 31/08/2026</t>
        </is>
      </c>
      <c r="G62" s="11" t="inlineStr">
        <is>
          <t>Non communiquée : aucun calcul du FPPN transmis</t>
        </is>
      </c>
      <c r="H62" s="10" t="inlineStr">
        <is>
          <t>Décision n° 05/2022/COM/UEMOA, annexe, tableau 2, ligne 7 et § 1.2.2.3.2 : Dettes envers les prestataires x 365 / Prestations prises en charge, norme : Délai contractuel</t>
        </is>
      </c>
      <c r="I62" s="10" t="inlineStr">
        <is>
          <t>Formule du texte appliquée telle quelle. Les états éventuellement transmis par le FPPN à l'AIRMS permettront la comparaison.</t>
        </is>
      </c>
      <c r="J62" s="10" t="inlineStr">
        <is>
          <t>Statut 2022 à 2025 : À apprécier</t>
        </is>
      </c>
      <c r="K62" s="10" t="inlineStr">
        <is>
          <t>Délai contractuel des conventions non transmis.</t>
        </is>
      </c>
      <c r="L62" s="10" t="inlineStr">
        <is>
          <t>Faible</t>
        </is>
      </c>
      <c r="M62" s="10" t="inlineStr">
        <is>
          <t>Décision n° 05/2022/COM/UEMOA, annexe, tableau 2, ligne 7 et § 1.2.2.3.2</t>
        </is>
      </c>
      <c r="N62" s="10" t="inlineStr">
        <is>
          <t>ratios_airms_fppn.py, onglet 10_ratios</t>
        </is>
      </c>
      <c r="O62" s="10" t="inlineStr">
        <is>
          <t>À apprécier</t>
        </is>
      </c>
    </row>
    <row r="63">
      <c r="A63" s="9" t="inlineStr">
        <is>
          <t>F-10-24</t>
        </is>
      </c>
      <c r="B63" s="12" t="inlineStr">
        <is>
          <t>161</t>
        </is>
      </c>
      <c r="C63" s="12" t="inlineStr">
        <is>
          <t>Taux d'investissement brut en formation (FOR)</t>
        </is>
      </c>
      <c r="D63" s="12" t="inlineStr">
        <is>
          <t>Coût total de formation / Total des produits.</t>
        </is>
      </c>
      <c r="E63" s="12" t="inlineStr">
        <is>
          <t>6391 / produits</t>
        </is>
      </c>
      <c r="F63" s="12" t="inlineStr">
        <is>
          <t>Balances des comptes (Sage 100), 2020 au 31/08/2026</t>
        </is>
      </c>
      <c r="G63" s="13" t="inlineStr">
        <is>
          <t>Non communiquée : aucun calcul du FPPN transmis</t>
        </is>
      </c>
      <c r="H63" s="12" t="inlineStr">
        <is>
          <t>Décision n° 05/2022/COM/UEMOA, annexe, tableau 2, ligne 6 et § 1.2.2.1.1.2 : Coût total de formation / Total des produits, norme : Au plus 3 %</t>
        </is>
      </c>
      <c r="I63" s="12" t="inlineStr">
        <is>
          <t>Formule du texte appliquée telle quelle. Les états éventuellement transmis par le FPPN à l'AIRMS permettront la comparaison.</t>
        </is>
      </c>
      <c r="J63" s="12" t="inlineStr">
        <is>
          <t>Statut 2022 à 2025 : Conforme</t>
        </is>
      </c>
      <c r="K63" s="12" t="inlineStr">
        <is>
          <t>Balances 2026 provisoires ; classement de certains comptes par jugement</t>
        </is>
      </c>
      <c r="L63" s="12" t="inlineStr">
        <is>
          <t>Faible</t>
        </is>
      </c>
      <c r="M63" s="12" t="inlineStr">
        <is>
          <t>Décision n° 05/2022/COM/UEMOA, annexe, tableau 2, ligne 6 et § 1.2.2.1.1.2</t>
        </is>
      </c>
      <c r="N63" s="12" t="inlineStr">
        <is>
          <t>ratios_airms_fppn.py, onglet 10_ratios</t>
        </is>
      </c>
      <c r="O63" s="12" t="inlineStr">
        <is>
          <t>Conforme au texte</t>
        </is>
      </c>
    </row>
    <row r="64">
      <c r="A64" s="9" t="inlineStr">
        <is>
          <t>F-10-25</t>
        </is>
      </c>
      <c r="B64" s="10" t="inlineStr">
        <is>
          <t>161</t>
        </is>
      </c>
      <c r="C64" s="10" t="inlineStr">
        <is>
          <t>Taux de croissance brute des bénéficiaires (CRB)</t>
        </is>
      </c>
      <c r="D64" s="10" t="inlineStr">
        <is>
          <t>(Bénéficiaires n - n-1) / Bénéficiaires n-1.</t>
        </is>
      </c>
      <c r="E64" s="10" t="inlineStr">
        <is>
          <t>adhérents du poste 936 (ayants droit non transmis)</t>
        </is>
      </c>
      <c r="F64" s="10" t="inlineStr">
        <is>
          <t>Balances des comptes (Sage 100), 2020 au 31/08/2026</t>
        </is>
      </c>
      <c r="G64" s="11" t="inlineStr">
        <is>
          <t>Non communiquée : aucun calcul du FPPN transmis</t>
        </is>
      </c>
      <c r="H64" s="10" t="inlineStr">
        <is>
          <t>Décision n° 05/2022/COM/UEMOA, annexe, tableau 2, ligne 1 : (Bénéficiaires n - n-1) / Bénéficiaires n-1, norme : Objectif du plan de développement stratégique</t>
        </is>
      </c>
      <c r="I64" s="10" t="inlineStr">
        <is>
          <t>Formule du texte appliquée telle quelle. Les états éventuellement transmis par le FPPN à l'AIRMS permettront la comparaison.</t>
        </is>
      </c>
      <c r="J64" s="10" t="inlineStr">
        <is>
          <t>Statut 2022 à 2025 : À apprécier</t>
        </is>
      </c>
      <c r="K64" s="10" t="inlineStr">
        <is>
          <t>Plan de développement stratégique non transmis.</t>
        </is>
      </c>
      <c r="L64" s="10" t="inlineStr">
        <is>
          <t>Faible</t>
        </is>
      </c>
      <c r="M64" s="10" t="inlineStr">
        <is>
          <t>Décision n° 05/2022/COM/UEMOA, annexe, tableau 2, ligne 1</t>
        </is>
      </c>
      <c r="N64" s="10" t="inlineStr">
        <is>
          <t>ratios_airms_fppn.py, onglet 10_ratios</t>
        </is>
      </c>
      <c r="O64" s="10" t="inlineStr">
        <is>
          <t>À apprécier</t>
        </is>
      </c>
    </row>
    <row r="65">
      <c r="A65" s="9" t="inlineStr">
        <is>
          <t>F-10-26</t>
        </is>
      </c>
      <c r="B65" s="12" t="inlineStr"/>
      <c r="C65" s="12" t="inlineStr">
        <is>
          <t>Ratio bénéficiaire-adhérent (RBA)</t>
        </is>
      </c>
      <c r="D65" s="12" t="inlineStr">
        <is>
          <t>Bénéficiaires / Adhérents.</t>
        </is>
      </c>
      <c r="E65" s="12" t="inlineStr">
        <is>
          <t>fichier des ayants droit</t>
        </is>
      </c>
      <c r="F65" s="12" t="inlineStr">
        <is>
          <t>Documents demandés (PBC)</t>
        </is>
      </c>
      <c r="G65" s="13" t="inlineStr">
        <is>
          <t>Non communiquée : aucun calcul du FPPN transmis</t>
        </is>
      </c>
      <c r="H65" s="12" t="inlineStr">
        <is>
          <t>Décision n° 05/2022/COM/UEMOA, annexe, tableau 2, ligne 2 : Bénéficiaires / Adhérents, norme : Objectif du plan de développement stratégique</t>
        </is>
      </c>
      <c r="I65" s="12" t="inlineStr">
        <is>
          <t>Calcul impossible sans les documents demandés. Les états éventuellement transmis par le FPPN à l'AIRMS permettront la comparaison.</t>
        </is>
      </c>
      <c r="J65" s="12" t="inlineStr">
        <is>
          <t>Statut 2022 à 2025 : En attente</t>
        </is>
      </c>
      <c r="K65" s="12" t="inlineStr">
        <is>
          <t>Fichier des ayants droit non transmis.</t>
        </is>
      </c>
      <c r="L65" s="12" t="inlineStr">
        <is>
          <t>Moyen</t>
        </is>
      </c>
      <c r="M65" s="12" t="inlineStr">
        <is>
          <t>Décision n° 05/2022/COM/UEMOA, annexe, tableau 2, ligne 2</t>
        </is>
      </c>
      <c r="N65" s="12" t="inlineStr">
        <is>
          <t>ratios_airms_fppn.py, onglet 10_ratios</t>
        </is>
      </c>
      <c r="O65" s="12" t="inlineStr">
        <is>
          <t>En attente</t>
        </is>
      </c>
    </row>
    <row r="66">
      <c r="A66" s="9" t="inlineStr">
        <is>
          <t>F-10-27</t>
        </is>
      </c>
      <c r="B66" s="10" t="inlineStr"/>
      <c r="C66" s="10" t="inlineStr">
        <is>
          <t>Taux de pénétration (PEN)</t>
        </is>
      </c>
      <c r="D66" s="10" t="inlineStr">
        <is>
          <t>Bénéficiaires / Population cible.</t>
        </is>
      </c>
      <c r="E66" s="10" t="inlineStr">
        <is>
          <t>effectif de la Police nationale</t>
        </is>
      </c>
      <c r="F66" s="10" t="inlineStr">
        <is>
          <t>Documents demandés (PBC)</t>
        </is>
      </c>
      <c r="G66" s="11" t="inlineStr">
        <is>
          <t>Non communiquée : aucun calcul du FPPN transmis</t>
        </is>
      </c>
      <c r="H66" s="10" t="inlineStr">
        <is>
          <t>Décision n° 05/2022/COM/UEMOA, annexe, tableau 2, ligne 3 : Bénéficiaires / Population cible, norme : Objectif du plan de développement stratégique</t>
        </is>
      </c>
      <c r="I66" s="10" t="inlineStr">
        <is>
          <t>Calcul impossible sans les documents demandés. Les états éventuellement transmis par le FPPN à l'AIRMS permettront la comparaison.</t>
        </is>
      </c>
      <c r="J66" s="10" t="inlineStr">
        <is>
          <t>Statut 2022 à 2025 : En attente</t>
        </is>
      </c>
      <c r="K66" s="10" t="inlineStr">
        <is>
          <t>Effectif total de la Police nationale non transmis.</t>
        </is>
      </c>
      <c r="L66" s="10" t="inlineStr">
        <is>
          <t>Moyen</t>
        </is>
      </c>
      <c r="M66" s="10" t="inlineStr">
        <is>
          <t>Décision n° 05/2022/COM/UEMOA, annexe, tableau 2, ligne 3</t>
        </is>
      </c>
      <c r="N66" s="10" t="inlineStr">
        <is>
          <t>ratios_airms_fppn.py, onglet 10_ratios</t>
        </is>
      </c>
      <c r="O66" s="10" t="inlineStr">
        <is>
          <t>En attente</t>
        </is>
      </c>
    </row>
    <row r="67">
      <c r="A67" s="9" t="inlineStr">
        <is>
          <t>F-10-28</t>
        </is>
      </c>
      <c r="B67" s="12" t="inlineStr"/>
      <c r="C67" s="12" t="inlineStr">
        <is>
          <t>Taux de prestations indues (IND)</t>
        </is>
      </c>
      <c r="D67" s="12" t="inlineStr">
        <is>
          <t>Prestations indûment payées / Prestations payées.</t>
        </is>
      </c>
      <c r="E67" s="12" t="inlineStr">
        <is>
          <t>rapports de contrôle a posteriori</t>
        </is>
      </c>
      <c r="F67" s="12" t="inlineStr">
        <is>
          <t>Documents demandés (PBC)</t>
        </is>
      </c>
      <c r="G67" s="13" t="inlineStr">
        <is>
          <t>Non communiquée : aucun calcul du FPPN transmis</t>
        </is>
      </c>
      <c r="H67" s="12" t="inlineStr">
        <is>
          <t>Décision n° 05/2022/COM/UEMOA, annexe, tableau 2, ligne 12 et § 1.2.2.3.3 : Prestations indûment payées / Prestations payées, norme : Au plus 2 %</t>
        </is>
      </c>
      <c r="I67" s="12" t="inlineStr">
        <is>
          <t>Calcul impossible sans les documents demandés. Les états éventuellement transmis par le FPPN à l'AIRMS permettront la comparaison.</t>
        </is>
      </c>
      <c r="J67" s="12" t="inlineStr">
        <is>
          <t>Statut 2022 à 2025 : En attente</t>
        </is>
      </c>
      <c r="K67" s="12" t="inlineStr">
        <is>
          <t>Rapports de contrôle a posteriori non transmis.</t>
        </is>
      </c>
      <c r="L67" s="12" t="inlineStr">
        <is>
          <t>Moyen</t>
        </is>
      </c>
      <c r="M67" s="12" t="inlineStr">
        <is>
          <t>Décision n° 05/2022/COM/UEMOA, annexe, tableau 2, ligne 12 et § 1.2.2.3.3</t>
        </is>
      </c>
      <c r="N67" s="12" t="inlineStr">
        <is>
          <t>ratios_airms_fppn.py, onglet 10_ratios</t>
        </is>
      </c>
      <c r="O67" s="12" t="inlineStr">
        <is>
          <t>En attente</t>
        </is>
      </c>
    </row>
    <row r="68">
      <c r="A68" s="9" t="inlineStr">
        <is>
          <t>F-10-29</t>
        </is>
      </c>
      <c r="B68" s="10" t="inlineStr"/>
      <c r="C68" s="10" t="inlineStr">
        <is>
          <t>Ratio de contrôle a posteriori (CAP)</t>
        </is>
      </c>
      <c r="D68" s="10" t="inlineStr">
        <is>
          <t>Factures contrôlées / Factures traitées.</t>
        </is>
      </c>
      <c r="E68" s="10" t="inlineStr">
        <is>
          <t>registre des contrôles</t>
        </is>
      </c>
      <c r="F68" s="10" t="inlineStr">
        <is>
          <t>Documents demandés (PBC)</t>
        </is>
      </c>
      <c r="G68" s="11" t="inlineStr">
        <is>
          <t>Non communiquée : aucun calcul du FPPN transmis</t>
        </is>
      </c>
      <c r="H68" s="10" t="inlineStr">
        <is>
          <t>Décision n° 05/2022/COM/UEMOA, annexe, § 1.2.2.4 et section II, § 2.9 : Factures contrôlées / Factures traitées, norme : Au moins 5 % (10 % pour les risques longs)</t>
        </is>
      </c>
      <c r="I68" s="10" t="inlineStr">
        <is>
          <t>Calcul impossible sans les documents demandés. Les états éventuellement transmis par le FPPN à l'AIRMS permettront la comparaison.</t>
        </is>
      </c>
      <c r="J68" s="10" t="inlineStr">
        <is>
          <t>Statut 2022 à 2025 : En attente</t>
        </is>
      </c>
      <c r="K68" s="10" t="inlineStr">
        <is>
          <t>Registre des contrôles non transmis.</t>
        </is>
      </c>
      <c r="L68" s="10" t="inlineStr">
        <is>
          <t>Moyen</t>
        </is>
      </c>
      <c r="M68" s="10" t="inlineStr">
        <is>
          <t>Décision n° 05/2022/COM/UEMOA, annexe, § 1.2.2.4 et section II, § 2.9</t>
        </is>
      </c>
      <c r="N68" s="10" t="inlineStr">
        <is>
          <t>ratios_airms_fppn.py, onglet 10_ratios</t>
        </is>
      </c>
      <c r="O68" s="10" t="inlineStr">
        <is>
          <t>En attente</t>
        </is>
      </c>
    </row>
    <row r="69">
      <c r="A69" s="9" t="inlineStr">
        <is>
          <t>F-10-30</t>
        </is>
      </c>
      <c r="B69" s="12" t="inlineStr"/>
      <c r="C69" s="12" t="inlineStr">
        <is>
          <t>Délai de liquidation des premières demandes (risques longs) (DLQ)</t>
        </is>
      </c>
      <c r="D69" s="12" t="inlineStr">
        <is>
          <t>Durée maximale de liquidation.</t>
        </is>
      </c>
      <c r="E69" s="12" t="inlineStr">
        <is>
          <t>dossiers avec dates</t>
        </is>
      </c>
      <c r="F69" s="12" t="inlineStr">
        <is>
          <t>Documents demandés (PBC)</t>
        </is>
      </c>
      <c r="G69" s="13" t="inlineStr">
        <is>
          <t>Non communiquée : aucun calcul du FPPN transmis</t>
        </is>
      </c>
      <c r="H69" s="12" t="inlineStr">
        <is>
          <t>Décision n° 05/2022/COM/UEMOA, annexe, section II, § 2.7 : Durée maximale de liquidation, norme : Au plus 30 jours</t>
        </is>
      </c>
      <c r="I69" s="12" t="inlineStr">
        <is>
          <t>Calcul impossible sans les documents demandés. Les états éventuellement transmis par le FPPN à l'AIRMS permettront la comparaison.</t>
        </is>
      </c>
      <c r="J69" s="12" t="inlineStr">
        <is>
          <t>Statut 2022 à 2025 : En attente</t>
        </is>
      </c>
      <c r="K69" s="12" t="inlineStr">
        <is>
          <t>Dossiers de prestations avec dates non transmis.</t>
        </is>
      </c>
      <c r="L69" s="12" t="inlineStr">
        <is>
          <t>Moyen</t>
        </is>
      </c>
      <c r="M69" s="12" t="inlineStr">
        <is>
          <t>Décision n° 05/2022/COM/UEMOA, annexe, section II, § 2.7</t>
        </is>
      </c>
      <c r="N69" s="12" t="inlineStr">
        <is>
          <t>ratios_airms_fppn.py, onglet 10_ratios</t>
        </is>
      </c>
      <c r="O69" s="12" t="inlineStr">
        <is>
          <t>En attente</t>
        </is>
      </c>
    </row>
    <row r="70">
      <c r="A70" s="9" t="inlineStr">
        <is>
          <t>F-10-31</t>
        </is>
      </c>
      <c r="B70" s="10" t="inlineStr"/>
      <c r="C70" s="10" t="inlineStr">
        <is>
          <t>Restes à traiter en fin de période (risques longs) (RAT)</t>
        </is>
      </c>
      <c r="D70" s="10" t="inlineStr">
        <is>
          <t>Dossiers en instance / Dossiers reçus.</t>
        </is>
      </c>
      <c r="E70" s="10" t="inlineStr">
        <is>
          <t>dossiers avec statut</t>
        </is>
      </c>
      <c r="F70" s="10" t="inlineStr">
        <is>
          <t>Documents demandés (PBC)</t>
        </is>
      </c>
      <c r="G70" s="11" t="inlineStr">
        <is>
          <t>Non communiquée : aucun calcul du FPPN transmis</t>
        </is>
      </c>
      <c r="H70" s="10" t="inlineStr">
        <is>
          <t>Décision n° 05/2022/COM/UEMOA, annexe, section II, § 2.8 : Dossiers en instance / Dossiers reçus, norme : Au plus 5 %</t>
        </is>
      </c>
      <c r="I70" s="10" t="inlineStr">
        <is>
          <t>Calcul impossible sans les documents demandés. Les états éventuellement transmis par le FPPN à l'AIRMS permettront la comparaison.</t>
        </is>
      </c>
      <c r="J70" s="10" t="inlineStr">
        <is>
          <t>Statut 2022 à 2025 : En attente</t>
        </is>
      </c>
      <c r="K70" s="10" t="inlineStr">
        <is>
          <t>Dossiers de prestations avec statut non transmis.</t>
        </is>
      </c>
      <c r="L70" s="10" t="inlineStr">
        <is>
          <t>Moyen</t>
        </is>
      </c>
      <c r="M70" s="10" t="inlineStr">
        <is>
          <t>Décision n° 05/2022/COM/UEMOA, annexe, section II, § 2.8</t>
        </is>
      </c>
      <c r="N70" s="10" t="inlineStr">
        <is>
          <t>ratios_airms_fppn.py, onglet 10_ratios</t>
        </is>
      </c>
      <c r="O70" s="10" t="inlineStr">
        <is>
          <t>En attente</t>
        </is>
      </c>
    </row>
    <row r="71">
      <c r="A71" s="9" t="inlineStr">
        <is>
          <t>F-10-32</t>
        </is>
      </c>
      <c r="B71" s="12" t="inlineStr"/>
      <c r="C71" s="12" t="inlineStr">
        <is>
          <t>Délai de remise en banque des titres de paiement (risques longs) (DRB)</t>
        </is>
      </c>
      <c r="D71" s="12" t="inlineStr">
        <is>
          <t>Délai de dépôt.</t>
        </is>
      </c>
      <c r="E71" s="12" t="inlineStr">
        <is>
          <t>registre des encaissements</t>
        </is>
      </c>
      <c r="F71" s="12" t="inlineStr">
        <is>
          <t>Documents demandés (PBC)</t>
        </is>
      </c>
      <c r="G71" s="13" t="inlineStr">
        <is>
          <t>Non communiquée : aucun calcul du FPPN transmis</t>
        </is>
      </c>
      <c r="H71" s="12" t="inlineStr">
        <is>
          <t>Décision n° 05/2022/COM/UEMOA, annexe, section II, § 2.6 : Délai de dépôt, norme : Au plus 1 jour</t>
        </is>
      </c>
      <c r="I71" s="12" t="inlineStr">
        <is>
          <t>Calcul impossible sans les documents demandés. Les états éventuellement transmis par le FPPN à l'AIRMS permettront la comparaison.</t>
        </is>
      </c>
      <c r="J71" s="12" t="inlineStr">
        <is>
          <t>Statut 2022 à 2025 : En attente</t>
        </is>
      </c>
      <c r="K71" s="12" t="inlineStr">
        <is>
          <t>Registre des encaissements non transmis.</t>
        </is>
      </c>
      <c r="L71" s="12" t="inlineStr">
        <is>
          <t>Moyen</t>
        </is>
      </c>
      <c r="M71" s="12" t="inlineStr">
        <is>
          <t>Décision n° 05/2022/COM/UEMOA, annexe, section II, § 2.6</t>
        </is>
      </c>
      <c r="N71" s="12" t="inlineStr">
        <is>
          <t>ratios_airms_fppn.py, onglet 10_ratios</t>
        </is>
      </c>
      <c r="O71" s="12" t="inlineStr">
        <is>
          <t>En attente</t>
        </is>
      </c>
    </row>
    <row r="72">
      <c r="A72" s="9" t="inlineStr">
        <is>
          <t>F-10-33</t>
        </is>
      </c>
      <c r="B72" s="10" t="inlineStr"/>
      <c r="C72" s="10" t="inlineStr">
        <is>
          <t>Taux de règlement de la cotisation au Fonds national de garantie (FNG)</t>
        </is>
      </c>
      <c r="D72" s="10" t="inlineStr">
        <is>
          <t>Montant payé à l'échéance / Cotisation due.</t>
        </is>
      </c>
      <c r="E72" s="10" t="inlineStr">
        <is>
          <t>44100000 (aucun compte au FPPN)</t>
        </is>
      </c>
      <c r="F72" s="10" t="inlineStr">
        <is>
          <t>Documents demandés (PBC)</t>
        </is>
      </c>
      <c r="G72" s="11" t="inlineStr">
        <is>
          <t>Non communiquée : aucun calcul du FPPN transmis</t>
        </is>
      </c>
      <c r="H72" s="10" t="inlineStr">
        <is>
          <t>Décision n° 05/2022/COM/UEMOA, annexe, tableau 1, ligne 1 ; Règlement n° 07/2009, art. 63 : Montant payé à l'échéance / Cotisation due, norme : 100 %</t>
        </is>
      </c>
      <c r="I72" s="10" t="inlineStr">
        <is>
          <t>Calcul impossible sans les documents demandés. Les états éventuellement transmis par le FPPN à l'AIRMS permettront la comparaison.</t>
        </is>
      </c>
      <c r="J72" s="10" t="inlineStr">
        <is>
          <t>Statut 2022 à 2025 : En attente</t>
        </is>
      </c>
      <c r="K72" s="10" t="inlineStr">
        <is>
          <t>Aucun compte FNG (FOMUS-CI) dans les balances : adhésion et cotisation à confirmer.</t>
        </is>
      </c>
      <c r="L72" s="10" t="inlineStr">
        <is>
          <t>Moyen</t>
        </is>
      </c>
      <c r="M72" s="10" t="inlineStr">
        <is>
          <t>Décision n° 05/2022/COM/UEMOA, annexe, tableau 1, ligne 1 ; Règlement n° 07/2009, art. 63</t>
        </is>
      </c>
      <c r="N72" s="10" t="inlineStr">
        <is>
          <t>ratios_airms_fppn.py, onglet 10_ratios</t>
        </is>
      </c>
      <c r="O72" s="10" t="inlineStr">
        <is>
          <t>En attente</t>
        </is>
      </c>
    </row>
    <row r="73">
      <c r="A73" s="9" t="inlineStr">
        <is>
          <t>F-10-34</t>
        </is>
      </c>
      <c r="B73" s="12" t="inlineStr"/>
      <c r="C73" s="12" t="inlineStr">
        <is>
          <t>Taux de tenue des réunions des organes (TTR)</t>
        </is>
      </c>
      <c r="D73" s="12" t="inlineStr">
        <is>
          <t>Réunions tenues / Réunions statutaires.</t>
        </is>
      </c>
      <c r="E73" s="12" t="inlineStr">
        <is>
          <t>procès-verbaux</t>
        </is>
      </c>
      <c r="F73" s="12" t="inlineStr">
        <is>
          <t>Documents demandés (PBC)</t>
        </is>
      </c>
      <c r="G73" s="13" t="inlineStr">
        <is>
          <t>Non communiquée : aucun calcul du FPPN transmis</t>
        </is>
      </c>
      <c r="H73" s="12" t="inlineStr">
        <is>
          <t>Décision n° 05/2022/COM/UEMOA, annexe, tableau 1, ligne 6 : Réunions tenues / Réunions statutaires, norme : 100 %</t>
        </is>
      </c>
      <c r="I73" s="12" t="inlineStr">
        <is>
          <t>Calcul impossible sans les documents demandés. Les états éventuellement transmis par le FPPN à l'AIRMS permettront la comparaison.</t>
        </is>
      </c>
      <c r="J73" s="12" t="inlineStr">
        <is>
          <t>Statut 2022 à 2025 : En attente</t>
        </is>
      </c>
      <c r="K73" s="12" t="inlineStr">
        <is>
          <t>Procès-verbaux non transmis.</t>
        </is>
      </c>
      <c r="L73" s="12" t="inlineStr">
        <is>
          <t>Moyen</t>
        </is>
      </c>
      <c r="M73" s="12" t="inlineStr">
        <is>
          <t>Décision n° 05/2022/COM/UEMOA, annexe, tableau 1, ligne 6</t>
        </is>
      </c>
      <c r="N73" s="12" t="inlineStr">
        <is>
          <t>ratios_airms_fppn.py, onglet 10_ratios</t>
        </is>
      </c>
      <c r="O73" s="12" t="inlineStr">
        <is>
          <t>En attente</t>
        </is>
      </c>
    </row>
    <row r="74">
      <c r="A74" s="9" t="inlineStr">
        <is>
          <t>F-10-35</t>
        </is>
      </c>
      <c r="B74" s="10" t="inlineStr"/>
      <c r="C74" s="10" t="inlineStr">
        <is>
          <t>Existence et tenue des outils de suivi administratif (OSA)</t>
        </is>
      </c>
      <c r="D74" s="10" t="inlineStr">
        <is>
          <t>Contrôle sur place et sur pièce.</t>
        </is>
      </c>
      <c r="E74" s="10" t="inlineStr">
        <is>
          <t>registres</t>
        </is>
      </c>
      <c r="F74" s="10" t="inlineStr">
        <is>
          <t>Documents demandés (PBC)</t>
        </is>
      </c>
      <c r="G74" s="11" t="inlineStr">
        <is>
          <t>Non communiquée : aucun calcul du FPPN transmis</t>
        </is>
      </c>
      <c r="H74" s="10" t="inlineStr">
        <is>
          <t>Décision n° 05/2022/COM/UEMOA, annexe, tableau 1, ligne 7 : Contrôle sur place et sur pièce, norme : Existence et tenue</t>
        </is>
      </c>
      <c r="I74" s="10" t="inlineStr">
        <is>
          <t>Calcul impossible sans les documents demandés. Les états éventuellement transmis par le FPPN à l'AIRMS permettront la comparaison.</t>
        </is>
      </c>
      <c r="J74" s="10" t="inlineStr">
        <is>
          <t>Statut 2022 à 2025 : En attente</t>
        </is>
      </c>
      <c r="K74" s="10" t="inlineStr">
        <is>
          <t>Contrôle sur place, hors du champ des données reçues.</t>
        </is>
      </c>
      <c r="L74" s="10" t="inlineStr">
        <is>
          <t>Moyen</t>
        </is>
      </c>
      <c r="M74" s="10" t="inlineStr">
        <is>
          <t>Décision n° 05/2022/COM/UEMOA, annexe, tableau 1, ligne 7</t>
        </is>
      </c>
      <c r="N74" s="10" t="inlineStr">
        <is>
          <t>ratios_airms_fppn.py, onglet 10_ratios</t>
        </is>
      </c>
      <c r="O74" s="10" t="inlineStr">
        <is>
          <t>En attente</t>
        </is>
      </c>
    </row>
    <row r="75">
      <c r="A75" s="9" t="inlineStr">
        <is>
          <t>F-10-36</t>
        </is>
      </c>
      <c r="B75" s="12" t="inlineStr"/>
      <c r="C75" s="12" t="inlineStr">
        <is>
          <t>Existence et tenue des outils de suivi comptable et financier (OSF)</t>
        </is>
      </c>
      <c r="D75" s="12" t="inlineStr">
        <is>
          <t>Contrôle sur place et sur pièce.</t>
        </is>
      </c>
      <c r="E75" s="12" t="inlineStr">
        <is>
          <t>registres</t>
        </is>
      </c>
      <c r="F75" s="12" t="inlineStr">
        <is>
          <t>Documents demandés (PBC)</t>
        </is>
      </c>
      <c r="G75" s="13" t="inlineStr">
        <is>
          <t>Non communiquée : aucun calcul du FPPN transmis</t>
        </is>
      </c>
      <c r="H75" s="12" t="inlineStr">
        <is>
          <t>Décision n° 05/2022/COM/UEMOA, annexe, tableau 1, ligne 8 : Contrôle sur place et sur pièce, norme : Existence et tenue</t>
        </is>
      </c>
      <c r="I75" s="12" t="inlineStr">
        <is>
          <t>Calcul impossible sans les documents demandés. Les états éventuellement transmis par le FPPN à l'AIRMS permettront la comparaison.</t>
        </is>
      </c>
      <c r="J75" s="12" t="inlineStr">
        <is>
          <t>Statut 2022 à 2025 : En attente</t>
        </is>
      </c>
      <c r="K75" s="12" t="inlineStr">
        <is>
          <t>Contrôle sur place, hors du champ des données reçues.</t>
        </is>
      </c>
      <c r="L75" s="12" t="inlineStr">
        <is>
          <t>Moyen</t>
        </is>
      </c>
      <c r="M75" s="12" t="inlineStr">
        <is>
          <t>Décision n° 05/2022/COM/UEMOA, annexe, tableau 1, ligne 8</t>
        </is>
      </c>
      <c r="N75" s="12" t="inlineStr">
        <is>
          <t>ratios_airms_fppn.py, onglet 10_ratios</t>
        </is>
      </c>
      <c r="O75" s="12" t="inlineStr">
        <is>
          <t>En attente</t>
        </is>
      </c>
    </row>
    <row r="76">
      <c r="A76" s="9" t="inlineStr">
        <is>
          <t>F-10-90</t>
        </is>
      </c>
      <c r="B76" s="10" t="inlineStr">
        <is>
          <t>174</t>
        </is>
      </c>
      <c r="C76" s="10" t="inlineStr">
        <is>
          <t>Excédent par risque</t>
        </is>
      </c>
      <c r="D76" s="10" t="inlineStr">
        <is>
          <t>Cotisations du risque moins ses prestations et sa part des frais, répartie au prorata des cotisations.</t>
        </is>
      </c>
      <c r="E76" s="10" t="inlineStr">
        <is>
          <t>Excédent(r) = cotisations(r) - prestations(r) - frais × cotisations(r) / cotisations totales</t>
        </is>
      </c>
      <c r="F76" s="10" t="inlineStr">
        <is>
          <t>Balances des comptes (Sage 100), 2020 au 31/08/2026</t>
        </is>
      </c>
      <c r="G76" s="11" t="inlineStr">
        <is>
          <t>Non communiquée : aucun calcul du FPPN transmis</t>
        </is>
      </c>
      <c r="H76" s="10" t="inlineStr">
        <is>
          <t>Décision n° 05/2022/COM/UEMOA, annexe, § 1.1.1 : réserve obligatoire dotée d'au moins 30 % de l'excédent maladie et 50 % des autres risques</t>
        </is>
      </c>
      <c r="I76" s="10" t="inlineStr">
        <is>
          <t>Le texte ne fixe pas la clé des frais : Adenka retient le prorata des cotisations, à défaut de clé du FPPN.</t>
        </is>
      </c>
      <c r="J76" s="10" t="inlineStr">
        <is>
          <t>Excédents 2025 publiés en partie 10</t>
        </is>
      </c>
      <c r="K76" s="10" t="inlineStr">
        <is>
          <t>Dépend de la clé maladie et décès (F-04-04)</t>
        </is>
      </c>
      <c r="L76" s="10" t="inlineStr">
        <is>
          <t>Élevé</t>
        </is>
      </c>
      <c r="M76" s="10" t="inlineStr">
        <is>
          <t>Décision n° 05/2022/COM/UEMOA, annexe, § 1.1.1</t>
        </is>
      </c>
      <c r="N76" s="10" t="inlineStr">
        <is>
          <t>ratios_airms_fppn.py, onglet 10_excedent_par_risque</t>
        </is>
      </c>
      <c r="O76" s="10" t="inlineStr">
        <is>
          <t>Divergent, justifié</t>
        </is>
      </c>
    </row>
    <row r="77">
      <c r="A77" s="9" t="inlineStr">
        <is>
          <t>F-10-91</t>
        </is>
      </c>
      <c r="B77" s="12" t="inlineStr">
        <is>
          <t>175</t>
        </is>
      </c>
      <c r="C77" s="12" t="inlineStr">
        <is>
          <t>Affectation de l'excédent</t>
        </is>
      </c>
      <c r="D77" s="12" t="inlineStr">
        <is>
          <t>Dotation à la réserve obligatoire comparée au minimum exigé.</t>
        </is>
      </c>
      <c r="E77" s="12" t="inlineStr">
        <is>
          <t>écart = dotation - max(20 % excédent ; 30 % excédent maladie + 50 % excédent autres)</t>
        </is>
      </c>
      <c r="F77" s="12" t="inlineStr">
        <is>
          <t>Balances (compte 111)</t>
        </is>
      </c>
      <c r="G77" s="13" t="inlineStr">
        <is>
          <t>Non communiquée : aucun calcul du FPPN transmis</t>
        </is>
      </c>
      <c r="H77" s="12" t="inlineStr">
        <is>
          <t>Décision n° 05/2022/COM/UEMOA, annexe, § 1.1.1 ; règlement n° 07/2009/CM/UEMOA</t>
        </is>
      </c>
      <c r="I77" s="12" t="inlineStr">
        <is>
          <t>Formule du texte.</t>
        </is>
      </c>
      <c r="J77" s="12" t="inlineStr">
        <is>
          <t>Écarts 2023 à 2025 publiés en partie 10</t>
        </is>
      </c>
      <c r="K77" s="12" t="inlineStr">
        <is>
          <t>PV d'AG non reçus</t>
        </is>
      </c>
      <c r="L77" s="12" t="inlineStr">
        <is>
          <t>Élevé</t>
        </is>
      </c>
      <c r="M77" s="12" t="inlineStr">
        <is>
          <t>Décision n° 05/2022/COM/UEMOA, annexe</t>
        </is>
      </c>
      <c r="N77" s="12" t="inlineStr">
        <is>
          <t>ratios_airms_fppn.py, onglet 10_affectation</t>
        </is>
      </c>
      <c r="O77" s="12" t="inlineStr">
        <is>
          <t>Conforme au texte</t>
        </is>
      </c>
    </row>
    <row r="78">
      <c r="A78" s="9" t="inlineStr">
        <is>
          <t>F-10-92</t>
        </is>
      </c>
      <c r="B78" s="10" t="inlineStr">
        <is>
          <t>184, 194</t>
        </is>
      </c>
      <c r="C78" s="10" t="inlineStr">
        <is>
          <t>Montant à combler</t>
        </is>
      </c>
      <c r="D78" s="10" t="inlineStr">
        <is>
          <t>Montant qui ramène le ratio sur la borne la plus proche du texte, les autres termes restant inchangés.</t>
        </is>
      </c>
      <c r="E78" s="10" t="inlineStr">
        <is>
          <t>Ratio plancher : max(0 ; borne × dénominateur - numérateur). Ratio plafond : max(0 ; numérateur - borne × dénominateur). Sinistralité : borne × cotisations - prestations.</t>
        </is>
      </c>
      <c r="F78" s="10" t="inlineStr">
        <is>
          <t>Balances des comptes (Sage 100), 2020 au 31/08/2026 ; numérateurs et dénominateurs des ratios</t>
        </is>
      </c>
      <c r="G78" s="11" t="inlineStr">
        <is>
          <t>Non communiquée : aucun calcul du FPPN transmis</t>
        </is>
      </c>
      <c r="H78" s="10" t="inlineStr">
        <is>
          <t>Décision n° 05/2022/COM/UEMOA, annexe, tableaux 1 et 2 (formule inversée)</t>
        </is>
      </c>
      <c r="I78" s="10" t="inlineStr">
        <is>
          <t>Formule du texte inversée, une hypothèse à la fois (IAS 19, § 145).</t>
        </is>
      </c>
      <c r="J78" s="10" t="inlineStr">
        <is>
          <t>Écarts 2020 au 31/08/2026 publiés en partie 10</t>
        </is>
      </c>
      <c r="K78" s="10" t="inlineStr">
        <is>
          <t>Ignore les effets croisés entre ratios</t>
        </is>
      </c>
      <c r="L78" s="10" t="inlineStr">
        <is>
          <t>Moyen</t>
        </is>
      </c>
      <c r="M78" s="10" t="inlineStr">
        <is>
          <t>Décision n° 05/2022/COM/UEMOA, annexe ; IAS 19, § 145</t>
        </is>
      </c>
      <c r="N78" s="10" t="inlineStr">
        <is>
          <t>sensibilites_fppn.py, onglet 13d_ecarts</t>
        </is>
      </c>
      <c r="O78" s="10" t="inlineStr">
        <is>
          <t>Conforme au texte</t>
        </is>
      </c>
    </row>
    <row r="79">
      <c r="A79" s="9" t="inlineStr">
        <is>
          <t>F-10-93</t>
        </is>
      </c>
      <c r="B79" s="12" t="inlineStr">
        <is>
          <t>186</t>
        </is>
      </c>
      <c r="C79" s="12" t="inlineStr">
        <is>
          <t>Qualification des écarts</t>
        </is>
      </c>
      <c r="D79" s="12" t="inlineStr">
        <is>
          <t>Structurel si le ratio est non conforme toutes les années mesurées ; récurrent s'il l'est au moins deux exercices de 2022 à 2025.</t>
        </is>
      </c>
      <c r="E79" s="12" t="inlineStr">
        <is>
          <t>Structurel : NB.SI(statuts ; "Non*") = années mesurées ; Récurrent : NB.SI(statuts 2022 à 2025 ; "Non*") ≥ 2</t>
        </is>
      </c>
      <c r="F79" s="12" t="inlineStr">
        <is>
          <t>Statuts des ratios (onglet 13d)</t>
        </is>
      </c>
      <c r="G79" s="13" t="inlineStr">
        <is>
          <t>Non communiquée : aucun calcul du FPPN transmis</t>
        </is>
      </c>
      <c r="H79" s="12" t="inlineStr">
        <is>
          <t>Règlement n° 07/2009/CM/UEMOA, art. 83 et 84 ; arrêté n° 00115/MEPS/CAB du 12/12/2023, ligne 13</t>
        </is>
      </c>
      <c r="I79" s="12" t="inlineStr">
        <is>
          <t>Seuil de deux exercices repris du texte ; « structurel » est une convention de lecture d'Adenka.</t>
        </is>
      </c>
      <c r="J79" s="12" t="inlineStr">
        <is>
          <t>13 ratios structurels sur 14</t>
        </is>
      </c>
      <c r="K79" s="12" t="inlineStr">
        <is>
          <t>2020, 2021 et 2026 indicatifs</t>
        </is>
      </c>
      <c r="L79" s="12" t="inlineStr">
        <is>
          <t>Faible</t>
        </is>
      </c>
      <c r="M79" s="12" t="inlineStr">
        <is>
          <t>Règlement n° 07/2009, art. 84</t>
        </is>
      </c>
      <c r="N79" s="12" t="inlineStr">
        <is>
          <t>sensibilites_fppn.py, onglet 13d_ecarts</t>
        </is>
      </c>
      <c r="O79" s="12" t="inlineStr">
        <is>
          <t>Conforme au texte</t>
        </is>
      </c>
    </row>
    <row r="80">
      <c r="A80" s="9" t="inlineStr">
        <is>
          <t>F-10-94</t>
        </is>
      </c>
      <c r="B80" s="10" t="inlineStr">
        <is>
          <t>186, 187, 188, 189, 194</t>
        </is>
      </c>
      <c r="C80" s="10" t="inlineStr">
        <is>
          <t>Montant d'équilibre d'un levier</t>
        </is>
      </c>
      <c r="D80" s="10" t="inlineStr">
        <is>
          <t>Montant du levier (cotisations, prestations, charges, réserve, placements, fonds propres) qui ramène un ratio sur sa borne.</t>
        </is>
      </c>
      <c r="E80" s="10" t="inlineStr">
        <is>
          <t>Cotisations pour la sinistralité : prestations / borne - cotisations ; taux équivalent = 5 % × (cotisations + variation) / cotisations ; excédent net : (borne × cotisations - excédent) / (1 - borne)</t>
        </is>
      </c>
      <c r="F80" s="10" t="inlineStr">
        <is>
          <t>Onglets 13c et 13d</t>
        </is>
      </c>
      <c r="G80" s="11" t="inlineStr">
        <is>
          <t>Non communiquée : aucun calcul du FPPN transmis</t>
        </is>
      </c>
      <c r="H80" s="10" t="inlineStr">
        <is>
          <t>Statuts, art. 17, 79, 81, 85, 90 et 93 ; Règlement d'exécution n° 004/2022/COM/UEMOA, art. 17, 19 et 21</t>
        </is>
      </c>
      <c r="I80" s="10" t="inlineStr">
        <is>
          <t>Leviers prévus par les textes ; assiette et recouvrement inchangés.</t>
        </is>
      </c>
      <c r="J80" s="10" t="inlineStr">
        <is>
          <t>Montants 2025 publiés en partie 10</t>
        </is>
      </c>
      <c r="K80" s="10" t="inlineStr">
        <is>
          <t>Réactions des adhérents et effets croisés non modélisés</t>
        </is>
      </c>
      <c r="L80" s="10" t="inlineStr">
        <is>
          <t>Moyen</t>
        </is>
      </c>
      <c r="M80" s="10" t="inlineStr">
        <is>
          <t>Statuts du FPPN ; IAS 19, § 145</t>
        </is>
      </c>
      <c r="N80" s="10" t="inlineStr">
        <is>
          <t>sensibilites_fppn.py, onglet 13f_leviers</t>
        </is>
      </c>
      <c r="O80" s="10" t="inlineStr">
        <is>
          <t>Conforme au texte</t>
        </is>
      </c>
    </row>
    <row r="81">
      <c r="A81" s="9" t="inlineStr">
        <is>
          <t>F-10-95</t>
        </is>
      </c>
      <c r="B81" s="12" t="inlineStr"/>
      <c r="C81" s="12" t="inlineStr">
        <is>
          <t>Effet d'un choc de 100 000 000 FCFA</t>
        </is>
      </c>
      <c r="D81" s="12" t="inlineStr">
        <is>
          <t>Sens de l'effet d'un choc enregistré en partie double sur chaque ratio de l'exercice de référence.</t>
        </is>
      </c>
      <c r="E81" s="12" t="inlineStr">
        <is>
          <t>Distance = max(borne basse - ratio ; 0) + max(ratio - borne haute ; 0) ; « améliore » si la distance diminue après le choc</t>
        </is>
      </c>
      <c r="F81" s="12" t="inlineStr">
        <is>
          <t>Onglet 13c (exercice 2025)</t>
        </is>
      </c>
      <c r="G81" s="13" t="inlineStr">
        <is>
          <t>Non communiquée : aucun calcul du FPPN transmis</t>
        </is>
      </c>
      <c r="H81" s="12" t="inlineStr">
        <is>
          <t>IFRS 17, § 128 a) ; IFRS 7, § 40 (sensibilité du résultat et des fonds propres)</t>
        </is>
      </c>
      <c r="I81" s="12" t="inlineStr">
        <is>
          <t>Convention de présentation : le montant du choc est modifiable (onglet 13b).</t>
        </is>
      </c>
      <c r="J81" s="12" t="inlineStr">
        <is>
          <t>Matrice publiée en partie 10</t>
        </is>
      </c>
      <c r="K81" s="12" t="inlineStr">
        <is>
          <t>Effet linéaire, une hypothèse à la fois</t>
        </is>
      </c>
      <c r="L81" s="12" t="inlineStr">
        <is>
          <t>Faible</t>
        </is>
      </c>
      <c r="M81" s="12" t="inlineStr">
        <is>
          <t>IFRS 17, § 128 ; IAS 19, § 145</t>
        </is>
      </c>
      <c r="N81" s="12" t="inlineStr">
        <is>
          <t>sensibilites_fppn.py, onglet 13h_synthese</t>
        </is>
      </c>
      <c r="O81" s="12" t="inlineStr">
        <is>
          <t>Sans texte applicable</t>
        </is>
      </c>
    </row>
    <row r="82">
      <c r="A82" s="9" t="inlineStr">
        <is>
          <t>F-10-96</t>
        </is>
      </c>
      <c r="B82" s="10" t="inlineStr">
        <is>
          <t>190</t>
        </is>
      </c>
      <c r="C82" s="10" t="inlineStr">
        <is>
          <t>Faisabilité conjointe des normes de flux</t>
        </is>
      </c>
      <c r="D82" s="10" t="inlineStr">
        <is>
          <t>Les autres éléments du résultat doivent être une charge d'au moins 3 % des cotisations pour respecter ensemble sinistralité, coût par unité prestée et excédent net.</t>
        </is>
      </c>
      <c r="E82" s="10" t="inlineStr">
        <is>
          <t>A = excédent - cotisations + prestations + charges ; seuil = 5 % - 100 % + 80 % × (1 + 15 %) = -3,00 % des cotisations</t>
        </is>
      </c>
      <c r="F82" s="10" t="inlineStr">
        <is>
          <t>Onglet 13c</t>
        </is>
      </c>
      <c r="G82" s="11" t="inlineStr">
        <is>
          <t>Non communiquée : aucun calcul du FPPN transmis</t>
        </is>
      </c>
      <c r="H82" s="10" t="inlineStr">
        <is>
          <t>Décision n° 05/2022/COM/UEMOA, annexe, tableau 1, lignes 2 et 5 ; tableau 2, lignes 5 et 10</t>
        </is>
      </c>
      <c r="I82" s="10" t="inlineStr">
        <is>
          <t>Démonstration algébrique à partir des formules du texte.</t>
        </is>
      </c>
      <c r="J82" s="10" t="inlineStr">
        <is>
          <t>Non conciliables de 2020 au 31/08/2026</t>
        </is>
      </c>
      <c r="K82" s="10" t="inlineStr">
        <is>
          <t>Dépend du classement des comptes dans les charges de fonctionnement</t>
        </is>
      </c>
      <c r="L82" s="10" t="inlineStr">
        <is>
          <t>Moyen</t>
        </is>
      </c>
      <c r="M82" s="10" t="inlineStr">
        <is>
          <t>Décision n° 05/2022/COM/UEMOA, annexe</t>
        </is>
      </c>
      <c r="N82" s="10" t="inlineStr">
        <is>
          <t>sensibilites_fppn.py, onglet 13h_synthese</t>
        </is>
      </c>
      <c r="O82" s="10" t="inlineStr">
        <is>
          <t>Conforme au texte</t>
        </is>
      </c>
    </row>
    <row r="83">
      <c r="A83" s="9" t="inlineStr">
        <is>
          <t>F-10-97</t>
        </is>
      </c>
      <c r="B83" s="12" t="inlineStr">
        <is>
          <t>191, 192</t>
        </is>
      </c>
      <c r="C83" s="12" t="inlineStr">
        <is>
          <t>Inflation médicale pondérée</t>
        </is>
      </c>
      <c r="D83" s="12" t="inlineStr">
        <is>
          <t>Moyenne des variations annuelles des sous-indices de prix de la santé, pondérée par les prestations maladie du FPPN de 2025.</t>
        </is>
      </c>
      <c r="E83" s="12" t="inlineStr">
        <is>
          <t>Inflation = Σ poids(poste) × (moyenne annuelle(n) / moyenne annuelle(n-1) - 1) ; poids = montant de la nature / total des natures associées</t>
        </is>
      </c>
      <c r="F83" s="12" t="inlineStr">
        <is>
          <t>ANStat, IHPC par poste (national) ; prestations maladie par nature (2025)</t>
        </is>
      </c>
      <c r="G83" s="13" t="inlineStr">
        <is>
          <t>Non communiquée : aucun calcul du FPPN transmis</t>
        </is>
      </c>
      <c r="H83" s="12" t="inlineStr">
        <is>
          <t>Sans texte : référence statistique officielle (ANStat) ; repli 2025 : BCEAO, Rapport sur la Politique Monétaire, mars 2026, tableau 12</t>
        </is>
      </c>
      <c r="I83" s="12" t="inlineStr">
        <is>
          <t>Natures « autres » exclues des poids ; 2024 : glissement d'octobre.</t>
        </is>
      </c>
      <c r="J83" s="12" t="inlineStr">
        <is>
          <t>3,21 % par an en moyenne de 2021 à 2024</t>
        </is>
      </c>
      <c r="K83" s="12" t="inlineStr">
        <is>
          <t>Pondérations officielles et série après octobre 2024 non disponibles</t>
        </is>
      </c>
      <c r="L83" s="12" t="inlineStr">
        <is>
          <t>Moyen</t>
        </is>
      </c>
      <c r="M83" s="12" t="inlineStr">
        <is>
          <t>ANStat ; BCEAO</t>
        </is>
      </c>
      <c r="N83" s="12" t="inlineStr">
        <is>
          <t>sensibilites_fppn.py, onglet 13g_inflation</t>
        </is>
      </c>
      <c r="O83" s="12" t="inlineStr">
        <is>
          <t>Sans texte applicable</t>
        </is>
      </c>
    </row>
    <row r="84">
      <c r="A84" s="9" t="inlineStr">
        <is>
          <t>F-10-98</t>
        </is>
      </c>
      <c r="B84" s="10" t="inlineStr">
        <is>
          <t>193</t>
        </is>
      </c>
      <c r="C84" s="10" t="inlineStr">
        <is>
          <t>Rendement comparé au marché</t>
        </is>
      </c>
      <c r="D84" s="10" t="inlineStr">
        <is>
          <t>Taux brut de rentabilité des placements comparé au taux moyen des dépôts à terme de Côte d'Ivoire ; produit possible du solde non rémunéré.</t>
        </is>
      </c>
      <c r="E84" s="10" t="inlineStr">
        <is>
          <t>Statut = rendement ≥ moyenne des quatre trimestres ; produit = solde moyen non rémunéré × taux moyen des dépôts à terme</t>
        </is>
      </c>
      <c r="F84" s="10" t="inlineStr">
        <is>
          <t>BCEAO, tableaux 17 et 22 ; onglet 10_ratios</t>
        </is>
      </c>
      <c r="G84" s="11" t="inlineStr">
        <is>
          <t>Non communiquée : aucun calcul du FPPN transmis</t>
        </is>
      </c>
      <c r="H84" s="10" t="inlineStr">
        <is>
          <t>Décision n° 05/2022/COM/UEMOA, annexe, section II (rentabilité des placements, comptes courants non rémunérés)</t>
        </is>
      </c>
      <c r="I84" s="10" t="inlineStr">
        <is>
          <t>Taux de marché de 2024 et 2025 seulement.</t>
        </is>
      </c>
      <c r="J84" s="10" t="inlineStr">
        <is>
          <t>2024 non conforme, 2025 conforme</t>
        </is>
      </c>
      <c r="K84" s="10" t="inlineStr">
        <is>
          <t>Rendement 2025 gonflé par la clôture d'un dépôt à terme</t>
        </is>
      </c>
      <c r="L84" s="10" t="inlineStr">
        <is>
          <t>Moyen</t>
        </is>
      </c>
      <c r="M84" s="10" t="inlineStr">
        <is>
          <t>Décision n° 05/2022/COM/UEMOA, annexe ; BCEAO</t>
        </is>
      </c>
      <c r="N84" s="10" t="inlineStr">
        <is>
          <t>sensibilites_fppn.py, onglet 13i_rendement</t>
        </is>
      </c>
      <c r="O84" s="10" t="inlineStr">
        <is>
          <t>Conforme au texte</t>
        </is>
      </c>
    </row>
    <row r="85">
      <c r="A85" s="9" t="inlineStr">
        <is>
          <t>F-11-01</t>
        </is>
      </c>
      <c r="B85" s="12" t="inlineStr">
        <is>
          <t>198, 200</t>
        </is>
      </c>
      <c r="C85" s="12" t="inlineStr">
        <is>
          <t>Espérance de vie</t>
        </is>
      </c>
      <c r="D85" s="12" t="inlineStr">
        <is>
          <t>Nombre moyen d'années restant à vivre à l'âge x selon la table.</t>
        </is>
      </c>
      <c r="E85" s="12" t="inlineStr">
        <is>
          <t>e_x = Σ_(k≥1) L_(x+k) / L_x + 0,5</t>
        </is>
      </c>
      <c r="F85" s="12" t="inlineStr">
        <is>
          <t>Tables CIMA H, F, TD, TV</t>
        </is>
      </c>
      <c r="G85" s="12" t="inlineStr">
        <is>
          <t>Sans objet</t>
        </is>
      </c>
      <c r="H85" s="12" t="inlineStr">
        <is>
          <t>Code CIMA, art. 338 (tables de référence)</t>
        </is>
      </c>
      <c r="I85" s="12" t="inlineStr">
        <is>
          <t>Indicateur de lecture des tables.</t>
        </is>
      </c>
      <c r="J85" s="12" t="inlineStr">
        <is>
          <t>Valeurs publiées en partie 11</t>
        </is>
      </c>
      <c r="K85" s="12" t="inlineStr">
        <is>
          <t>Table non validée sur la population du FPPN</t>
        </is>
      </c>
      <c r="L85" s="12" t="inlineStr">
        <is>
          <t>Faible</t>
        </is>
      </c>
      <c r="M85" s="12" t="inlineStr">
        <is>
          <t>Code CIMA, art. 338</t>
        </is>
      </c>
      <c r="N85" s="12" t="inlineStr">
        <is>
          <t>analyses_complements_fppn.py, onglet 8_mortalite</t>
        </is>
      </c>
      <c r="O85" s="12" t="inlineStr">
        <is>
          <t>Conforme au texte</t>
        </is>
      </c>
    </row>
    <row r="86">
      <c r="A86" s="9" t="inlineStr">
        <is>
          <t>F-11-02</t>
        </is>
      </c>
      <c r="B86" s="10" t="inlineStr">
        <is>
          <t>200</t>
        </is>
      </c>
      <c r="C86" s="10" t="inlineStr">
        <is>
          <t>Valeur d'une rente viagère</t>
        </is>
      </c>
      <c r="D86" s="10" t="inlineStr">
        <is>
          <t>Somme actualisée des paiements de 1 par an tant que la personne est en vie.</t>
        </is>
      </c>
      <c r="E86" s="10" t="inlineStr">
        <is>
          <t>ä_x = Σ_k (L_(x+k) / L_x) × (1,035)^(-k)</t>
        </is>
      </c>
      <c r="F86" s="10" t="inlineStr">
        <is>
          <t>Tables CIMA</t>
        </is>
      </c>
      <c r="G86" s="10" t="inlineStr">
        <is>
          <t>Sans objet</t>
        </is>
      </c>
      <c r="H86" s="10" t="inlineStr">
        <is>
          <t>Code CIMA, art. 338 : taux d'intérêt technique au plus 3,5 %</t>
        </is>
      </c>
      <c r="I86" s="10" t="inlineStr">
        <is>
          <t>Base du calcul de la provision mathématique.</t>
        </is>
      </c>
      <c r="J86" s="10" t="inlineStr">
        <is>
          <t>Valeurs publiées en partie 11</t>
        </is>
      </c>
      <c r="K86" s="10" t="inlineStr">
        <is>
          <t>Taux de 3,5 % à justifier pour une mutuelle sociale</t>
        </is>
      </c>
      <c r="L86" s="10" t="inlineStr">
        <is>
          <t>Moyen</t>
        </is>
      </c>
      <c r="M86" s="10" t="inlineStr">
        <is>
          <t>Code CIMA, art. 338</t>
        </is>
      </c>
      <c r="N86" s="10" t="inlineStr">
        <is>
          <t>analyses_complements_fppn.py, onglet 8_mortalite</t>
        </is>
      </c>
      <c r="O86" s="10" t="inlineStr">
        <is>
          <t>Conforme au texte</t>
        </is>
      </c>
    </row>
    <row r="87">
      <c r="A87" s="9" t="inlineStr">
        <is>
          <t>F-11-03</t>
        </is>
      </c>
      <c r="B87" s="12" t="inlineStr">
        <is>
          <t>199</t>
        </is>
      </c>
      <c r="C87" s="12" t="inlineStr">
        <is>
          <t>Probabilité de décès</t>
        </is>
      </c>
      <c r="D87" s="12" t="inlineStr">
        <is>
          <t>Probabilité de mourir entre x et x + 1 ans.</t>
        </is>
      </c>
      <c r="E87" s="12" t="inlineStr">
        <is>
          <t>q_x = 1 - L_(x+1) / L_x</t>
        </is>
      </c>
      <c r="F87" s="12" t="inlineStr">
        <is>
          <t>Tables CIMA</t>
        </is>
      </c>
      <c r="G87" s="12" t="inlineStr">
        <is>
          <t>Sans objet</t>
        </is>
      </c>
      <c r="H87" s="12" t="inlineStr">
        <is>
          <t>Code CIMA, art. 338</t>
        </is>
      </c>
      <c r="I87" s="12" t="inlineStr">
        <is>
          <t>Base de la mortalité observée (A/E).</t>
        </is>
      </c>
      <c r="J87" s="12" t="inlineStr">
        <is>
          <t>Valeurs publiées en partie 11</t>
        </is>
      </c>
      <c r="K87" s="12" t="inlineStr">
        <is>
          <t>A/E en attente des âges</t>
        </is>
      </c>
      <c r="L87" s="12" t="inlineStr">
        <is>
          <t>Faible</t>
        </is>
      </c>
      <c r="M87" s="12" t="inlineStr">
        <is>
          <t>Code CIMA, art. 338</t>
        </is>
      </c>
      <c r="N87" s="12" t="inlineStr">
        <is>
          <t>analyses_complements_fppn.py, onglet 8_mortalite</t>
        </is>
      </c>
      <c r="O87" s="12" t="inlineStr">
        <is>
          <t>Conforme au texte</t>
        </is>
      </c>
    </row>
    <row r="88">
      <c r="A88" s="9" t="inlineStr">
        <is>
          <t>F-05-10</t>
        </is>
      </c>
      <c r="B88" s="10" t="inlineStr">
        <is>
          <t>67</t>
        </is>
      </c>
      <c r="C88" s="10" t="inlineStr">
        <is>
          <t>Mortalité brute des membres participants</t>
        </is>
      </c>
      <c r="D88" s="10" t="inlineStr">
        <is>
          <t>Décès de membres de l'année divisés par le nombre d'adhérents retenu par le FPPN.</t>
        </is>
      </c>
      <c r="E88" s="10" t="inlineStr">
        <is>
          <t>Taux brut = décès d'adhérents / adhérents</t>
        </is>
      </c>
      <c r="F88" s="10" t="inlineStr">
        <is>
          <t>ETUDE DES RATIO MALADIE DECES 2.xlsx (feuilles Tableau et Historique 2015-2021)</t>
        </is>
      </c>
      <c r="G88" s="10" t="inlineStr">
        <is>
          <t>Nombre de décès et d'adhérents publiés sans taux</t>
        </is>
      </c>
      <c r="H88" s="10" t="inlineStr">
        <is>
          <t>Aucun texte ; la comparaison à la table CIMA H (rapport A/E) demande les âges</t>
        </is>
      </c>
      <c r="I88" s="10" t="inlineStr">
        <is>
          <t>Taux brut sans âge : ordre de grandeur seulement.</t>
        </is>
      </c>
      <c r="J88" s="10" t="inlineStr">
        <is>
          <t>Trois à cinq décès pour mille de 2021 à 2025</t>
        </is>
      </c>
      <c r="K88" s="10" t="inlineStr">
        <is>
          <t>Pas de rapport A/E sans dates de naissance</t>
        </is>
      </c>
      <c r="L88" s="10" t="inlineStr">
        <is>
          <t>Moyen</t>
        </is>
      </c>
      <c r="M88" s="10" t="inlineStr">
        <is>
          <t>Code CIMA, art. 338 (tables)</t>
        </is>
      </c>
      <c r="N88" s="10" t="inlineStr">
        <is>
          <t>donnees_v9_fppn.py, onglet 15_mortalite_sinistralite</t>
        </is>
      </c>
      <c r="O88" s="10" t="inlineStr">
        <is>
          <t>Sans texte applicable</t>
        </is>
      </c>
    </row>
    <row r="89">
      <c r="A89" s="9" t="inlineStr">
        <is>
          <t>F-06-10</t>
        </is>
      </c>
      <c r="B89" s="12" t="inlineStr">
        <is>
          <t>84</t>
        </is>
      </c>
      <c r="C89" s="12" t="inlineStr">
        <is>
          <t>Intérêts d'une année sur l'encours EFC</t>
        </is>
      </c>
      <c r="D89" s="12" t="inlineStr">
        <is>
          <t>Encours EFC de fin d'année multiplié par chaque taux écrit dans les documents du FPPN.</t>
        </is>
      </c>
      <c r="E89" s="12" t="inlineStr">
        <is>
          <t>Intérêts = solde 41195200 × taux (3,5 %, 5,5 %, 14 %)</t>
        </is>
      </c>
      <c r="F89" s="12" t="inlineStr">
        <is>
          <t>Balances des comptes (Sage 100), 2020 au 31/08/2026 ; cahier des charges EFC et PEP 2021 ; manuel des produits d'épargne ; cartographie des risques</t>
        </is>
      </c>
      <c r="G89" s="12" t="inlineStr">
        <is>
          <t>Taux non arrêté : 3,5 % (chef comptable), 5,5 % (manuel, cartographie), 14 % d'intérêt simple (cahier des charges) ; aucune écriture d'intérêts dans les comptes</t>
        </is>
      </c>
      <c r="H89" s="12" t="inlineStr">
        <is>
          <t>Statuts, art. 79 et 81 ; Règlement d'exécution n° 004/2022/COM/UEMOA, art. 17 (adéquation des placements aux engagements)</t>
        </is>
      </c>
      <c r="I89" s="12" t="inlineStr">
        <is>
          <t>Une hypothèse à la fois (IAS 19, § 145) ; 14 % traité comme borne haute annuelle.</t>
        </is>
      </c>
      <c r="J89" s="12" t="inlineStr">
        <is>
          <t>Au taux le plus bas, les intérêts d'une année dépassent les produits financiers de chaque année de 2021 à 2025</t>
        </is>
      </c>
      <c r="K89" s="12" t="inlineStr">
        <is>
          <t>Dette d'épargne inférieure à l'engagement si un taux est dû</t>
        </is>
      </c>
      <c r="L89" s="12" t="inlineStr">
        <is>
          <t>Élevé</t>
        </is>
      </c>
      <c r="M89" s="12" t="inlineStr">
        <is>
          <t>Documents du FPPN reçus le 22/10/2026</t>
        </is>
      </c>
      <c r="N89" s="12" t="inlineStr">
        <is>
          <t>donnees_v9_fppn.py, onglet 16_efc_taux_servi</t>
        </is>
      </c>
      <c r="O89" s="12" t="inlineStr">
        <is>
          <t>Sans texte applicable</t>
        </is>
      </c>
    </row>
    <row r="90">
      <c r="A90" s="9" t="inlineStr">
        <is>
          <t>F-03-10</t>
        </is>
      </c>
      <c r="B90" s="10" t="inlineStr">
        <is>
          <t>43, 44, 45</t>
        </is>
      </c>
      <c r="C90" s="10" t="inlineStr">
        <is>
          <t>Contrôles croisés entre documents</t>
        </is>
      </c>
      <c r="D90" s="10" t="inlineStr">
        <is>
          <t>Comparaison au franc près des montants d'une même grandeur dans deux documents indépendants.</t>
        </is>
      </c>
      <c r="E90" s="10" t="inlineStr">
        <is>
          <t>Écart = montant (document 1) - montant (document 2)</t>
        </is>
      </c>
      <c r="F90" s="10" t="inlineStr">
        <is>
          <t>États financiers 2020 au 31/08/2026 ; balances ; étude des ratios du FPPN ; fichiers 8Z6 ; rapprochements bancaires</t>
        </is>
      </c>
      <c r="G90" s="11" t="inlineStr">
        <is>
          <t>Non communiquée : aucun calcul du FPPN transmis</t>
        </is>
      </c>
      <c r="H90" s="10" t="inlineStr">
        <is>
          <t>Aucun texte ; bonne pratique d'audit (seconde source)</t>
        </is>
      </c>
      <c r="I90" s="10" t="inlineStr">
        <is>
          <t>Contrôle de cohérence.</t>
        </is>
      </c>
      <c r="J90" s="10" t="inlineStr">
        <is>
          <t>Concordance des totaux, sauf 2023 (deux versions) et résultat au 31/08/2026</t>
        </is>
      </c>
      <c r="K90" s="10" t="inlineStr">
        <is>
          <t>Version des comptes 2023 à confirmer</t>
        </is>
      </c>
      <c r="L90" s="10" t="inlineStr">
        <is>
          <t>Moyen</t>
        </is>
      </c>
      <c r="M90" s="10" t="inlineStr">
        <is>
          <t>Documents reçus le 22/10/2026</t>
        </is>
      </c>
      <c r="N90" s="10" t="inlineStr">
        <is>
          <t>donnees_v9_fppn.py, onglet 17_controles_croises</t>
        </is>
      </c>
      <c r="O90" s="10" t="inlineStr">
        <is>
          <t>Sans texte applicable</t>
        </is>
      </c>
    </row>
    <row r="91"/>
    <row r="92">
      <c r="A92" s="14" t="inlineStr">
        <is>
          <t>Source : formules_fppn.py ; textes cités dans chaque ligne</t>
        </is>
      </c>
    </row>
  </sheetData>
  <autoFilter ref="A3:O90"/>
  <pageMargins left="0.75" right="0.75" top="1" bottom="1" header="0.5" footer="0.5"/>
  <pageSetup orientation="landscape" fitToHeight="0" fitToWidth="1"/>
</worksheet>
</file>

<file path=xl/worksheets/sheet4.xml><?xml version="1.0" encoding="utf-8"?>
<worksheet xmlns="http://schemas.openxmlformats.org/spreadsheetml/2006/main">
  <sheetPr>
    <tabColor rgb="00112A40"/>
    <outlinePr summaryBelow="1" summaryRight="1"/>
    <pageSetUpPr fitToPage="1"/>
  </sheetPr>
  <dimension ref="A1:M41"/>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2" max="2"/>
    <col width="22" customWidth="1" min="3" max="3"/>
    <col width="46" customWidth="1" min="4" max="4"/>
    <col width="26" customWidth="1" min="5" max="5"/>
    <col width="17" customWidth="1" min="6" max="6"/>
    <col width="17" customWidth="1" min="7" max="7"/>
    <col width="17" customWidth="1" min="8" max="8"/>
    <col width="17" customWidth="1" min="9" max="9"/>
    <col width="17" customWidth="1" min="10" max="10"/>
    <col width="18" customWidth="1" min="11" max="11"/>
    <col width="14" customWidth="1" min="12" max="12"/>
    <col width="50" customWidth="1" min="13" max="13"/>
  </cols>
  <sheetData>
    <row r="1"/>
    <row r="2">
      <c r="B2" s="5" t="inlineStr">
        <is>
          <t>Tableau de bord des ratios prudentiels du FPPN (Décision n° 05/2022/COM/UEMOA)</t>
        </is>
      </c>
    </row>
    <row r="3">
      <c r="B3" s="15" t="inlineStr">
        <is>
          <t>Statut : « Conforme » si la valeur respecte la norme du texte ; « Non conforme » sinon ; « En attente » si une donnée manque ; « À apprécier » si la norme n'est pas chiffrée. Statut global jugé sur 2022 à 2025 ; 2020, 2021 et 2026 indicatifs.</t>
        </is>
      </c>
    </row>
    <row r="4"/>
    <row r="5">
      <c r="B5" s="8" t="inlineStr">
        <is>
          <t>Priorité</t>
        </is>
      </c>
      <c r="C5" s="8" t="inlineStr">
        <is>
          <t>Famille</t>
        </is>
      </c>
      <c r="D5" s="8" t="inlineStr">
        <is>
          <t>Ratio</t>
        </is>
      </c>
      <c r="E5" s="8" t="inlineStr">
        <is>
          <t>Norme</t>
        </is>
      </c>
      <c r="F5" s="8" t="inlineStr">
        <is>
          <t>2022</t>
        </is>
      </c>
      <c r="G5" s="8" t="inlineStr">
        <is>
          <t>2023</t>
        </is>
      </c>
      <c r="H5" s="8" t="inlineStr">
        <is>
          <t>2024</t>
        </is>
      </c>
      <c r="I5" s="8" t="inlineStr">
        <is>
          <t>2025</t>
        </is>
      </c>
      <c r="J5" s="8" t="inlineStr">
        <is>
          <t>2026</t>
        </is>
      </c>
      <c r="K5" s="8" t="inlineStr">
        <is>
          <t>Statut 2022-2025</t>
        </is>
      </c>
      <c r="L5" s="8" t="inlineStr">
        <is>
          <t>Statut retraité</t>
        </is>
      </c>
      <c r="M5" s="8" t="inlineStr">
        <is>
          <t>Source</t>
        </is>
      </c>
    </row>
    <row r="6">
      <c r="B6" s="16" t="n">
        <v>1</v>
      </c>
      <c r="C6" s="17" t="inlineStr">
        <is>
          <t>Actuariel</t>
        </is>
      </c>
      <c r="D6" s="10" t="inlineStr">
        <is>
          <t>Taux de sinistralité</t>
        </is>
      </c>
      <c r="E6" s="10" t="inlineStr">
        <is>
          <t>Entre 70 % et 80 %</t>
        </is>
      </c>
      <c r="F6" s="18" t="n">
        <v>0.09057696166716429</v>
      </c>
      <c r="G6" s="18" t="n">
        <v>0.2456277537433684</v>
      </c>
      <c r="H6" s="18" t="n">
        <v>0.4034261051264778</v>
      </c>
      <c r="I6" s="18" t="n">
        <v>0.574807069687674</v>
      </c>
      <c r="J6" s="18" t="n">
        <v>0.7519679703716217</v>
      </c>
      <c r="K6" s="17" t="inlineStr">
        <is>
          <t>Non conforme</t>
        </is>
      </c>
      <c r="L6" s="17" t="n"/>
      <c r="M6" s="10" t="inlineStr">
        <is>
          <t>Décision n° 05/2022/COM/UEMOA, annexe, tableau 1, ligne 5 et § 1.2.1.2.5</t>
        </is>
      </c>
    </row>
    <row r="7">
      <c r="B7" s="16" t="n">
        <v>2</v>
      </c>
      <c r="C7" s="19" t="inlineStr">
        <is>
          <t>Actuariel</t>
        </is>
      </c>
      <c r="D7" s="12" t="inlineStr">
        <is>
          <t>Marge de solvabilité disponible / exigée</t>
        </is>
      </c>
      <c r="E7" s="12" t="inlineStr">
        <is>
          <t>Au moins 1 (marge disponible au moins égale à la marge exigée)</t>
        </is>
      </c>
      <c r="F7" s="20" t="n">
        <v>6.647305067569919</v>
      </c>
      <c r="G7" s="20" t="n">
        <v>6.704873738926956</v>
      </c>
      <c r="H7" s="20" t="n">
        <v>7.220708829452581</v>
      </c>
      <c r="I7" s="20" t="n">
        <v>7.765392737736256</v>
      </c>
      <c r="J7" s="20" t="n">
        <v>7.146251083188217</v>
      </c>
      <c r="K7" s="19" t="inlineStr">
        <is>
          <t>Conforme</t>
        </is>
      </c>
      <c r="L7" s="19" t="inlineStr">
        <is>
          <t>Non conforme</t>
        </is>
      </c>
      <c r="M7" s="12" t="inlineStr">
        <is>
          <t>Décision n° 05/2022/COM/UEMOA, annexe, § 1.1.1 (fonds d'établissement) ; Règlement d'exécution n° 004/2022/COM/UEMOA, art. 23</t>
        </is>
      </c>
    </row>
    <row r="8">
      <c r="B8" s="16" t="n">
        <v>3</v>
      </c>
      <c r="C8" s="17" t="inlineStr">
        <is>
          <t>Actuariel</t>
        </is>
      </c>
      <c r="D8" s="10" t="inlineStr">
        <is>
          <t>Ratio de réserve obligatoire</t>
        </is>
      </c>
      <c r="E8" s="10" t="inlineStr">
        <is>
          <t>Entre 6 et 9 mois (tableau 1) ; 9 mois au § 1.2.2.5.4</t>
        </is>
      </c>
      <c r="F8" s="21" t="n">
        <v>0</v>
      </c>
      <c r="G8" s="21" t="n">
        <v>3.245000870920969</v>
      </c>
      <c r="H8" s="21" t="n">
        <v>4.910048646299662</v>
      </c>
      <c r="I8" s="21" t="n">
        <v>5.00963658518129</v>
      </c>
      <c r="J8" s="21" t="n">
        <v>3.647798013610966</v>
      </c>
      <c r="K8" s="17" t="inlineStr">
        <is>
          <t>Non conforme</t>
        </is>
      </c>
      <c r="L8" s="17" t="n"/>
      <c r="M8" s="10" t="inlineStr">
        <is>
          <t>Décision n° 05/2022/COM/UEMOA, annexe, tableau 1, ligne 10 et § 1.2.2.5.4</t>
        </is>
      </c>
    </row>
    <row r="9">
      <c r="B9" s="16" t="n">
        <v>4</v>
      </c>
      <c r="C9" s="19" t="inlineStr">
        <is>
          <t>Actuariel</t>
        </is>
      </c>
      <c r="D9" s="12" t="inlineStr">
        <is>
          <t>Ratio des fonds propres et assimilés</t>
        </is>
      </c>
      <c r="E9" s="12" t="inlineStr">
        <is>
          <t>Au moins 1</t>
        </is>
      </c>
      <c r="F9" s="20" t="n">
        <v>0.1335617058972045</v>
      </c>
      <c r="G9" s="20" t="n">
        <v>0.1938791275198898</v>
      </c>
      <c r="H9" s="20" t="n">
        <v>0.212216490457113</v>
      </c>
      <c r="I9" s="20" t="n">
        <v>0.2153205579766456</v>
      </c>
      <c r="J9" s="20" t="n">
        <v>0.1731994528009115</v>
      </c>
      <c r="K9" s="19" t="inlineStr">
        <is>
          <t>Non conforme</t>
        </is>
      </c>
      <c r="L9" s="19" t="n"/>
      <c r="M9" s="12" t="inlineStr">
        <is>
          <t>Décision n° 05/2022/COM/UEMOA, annexe, tableau 2, ligne 9 et § 1.2.2.5.3</t>
        </is>
      </c>
    </row>
    <row r="10">
      <c r="B10" s="16" t="n">
        <v>5</v>
      </c>
      <c r="C10" s="17" t="inlineStr">
        <is>
          <t>Actuariel</t>
        </is>
      </c>
      <c r="D10" s="10" t="inlineStr">
        <is>
          <t>Ratio de liquidité</t>
        </is>
      </c>
      <c r="E10" s="10" t="inlineStr">
        <is>
          <t>Au moins 1</t>
        </is>
      </c>
      <c r="F10" s="21" t="n">
        <v>0.104440554951509</v>
      </c>
      <c r="G10" s="21" t="n">
        <v>0.1086583639281966</v>
      </c>
      <c r="H10" s="21" t="n">
        <v>0.07119313549763213</v>
      </c>
      <c r="I10" s="21" t="n">
        <v>0.1265562520616417</v>
      </c>
      <c r="J10" s="21" t="n">
        <v>0.1873248451328696</v>
      </c>
      <c r="K10" s="17" t="inlineStr">
        <is>
          <t>Non conforme</t>
        </is>
      </c>
      <c r="L10" s="17" t="inlineStr">
        <is>
          <t>Non conforme</t>
        </is>
      </c>
      <c r="M10" s="10" t="inlineStr">
        <is>
          <t>Décision n° 05/2022/COM/UEMOA, annexe, tableau 2, ligne 8 et § 1.2.2.5.2</t>
        </is>
      </c>
    </row>
    <row r="11">
      <c r="B11" s="16" t="n">
        <v>6</v>
      </c>
      <c r="C11" s="19" t="inlineStr">
        <is>
          <t>Actuariel</t>
        </is>
      </c>
      <c r="D11" s="12" t="inlineStr">
        <is>
          <t>Ratio d'équilibre stable</t>
        </is>
      </c>
      <c r="E11" s="12" t="inlineStr">
        <is>
          <t>Au plus 1</t>
        </is>
      </c>
      <c r="F11" s="20" t="n">
        <v>2.130299994358726</v>
      </c>
      <c r="G11" s="20" t="n">
        <v>1.611207931275919</v>
      </c>
      <c r="H11" s="20" t="n">
        <v>1.702337827601856</v>
      </c>
      <c r="I11" s="20" t="n">
        <v>1.536687732810269</v>
      </c>
      <c r="J11" s="20" t="n">
        <v>1.718698438746898</v>
      </c>
      <c r="K11" s="19" t="inlineStr">
        <is>
          <t>Non conforme</t>
        </is>
      </c>
      <c r="L11" s="19" t="inlineStr">
        <is>
          <t>Non conforme</t>
        </is>
      </c>
      <c r="M11" s="12" t="inlineStr">
        <is>
          <t>Décision n° 05/2022/COM/UEMOA, annexe, tableau 1, ligne 11 et § 1.2.3.1</t>
        </is>
      </c>
    </row>
    <row r="12">
      <c r="B12" s="16" t="n">
        <v>7</v>
      </c>
      <c r="C12" s="17" t="inlineStr">
        <is>
          <t>Actuariel</t>
        </is>
      </c>
      <c r="D12" s="10" t="inlineStr">
        <is>
          <t>Ratio d'autonomie financière</t>
        </is>
      </c>
      <c r="E12" s="10" t="inlineStr">
        <is>
          <t>Au moins 1</t>
        </is>
      </c>
      <c r="F12" s="21" t="n">
        <v>1.738590174295683</v>
      </c>
      <c r="G12" s="21" t="n">
        <v>1.39542726519851</v>
      </c>
      <c r="H12" s="21" t="n">
        <v>1.290072774049286</v>
      </c>
      <c r="I12" s="21" t="n">
        <v>1.051596193890561</v>
      </c>
      <c r="J12" s="21" t="n">
        <v>0.8380981034963108</v>
      </c>
      <c r="K12" s="17" t="inlineStr">
        <is>
          <t>Conforme</t>
        </is>
      </c>
      <c r="L12" s="17" t="n"/>
      <c r="M12" s="10" t="inlineStr">
        <is>
          <t>Décision n° 05/2022/COM/UEMOA, annexe, tableau 1, ligne 9 et § 1.2.2.5.1</t>
        </is>
      </c>
    </row>
    <row r="13">
      <c r="B13" s="16" t="n">
        <v>8</v>
      </c>
      <c r="C13" s="19" t="inlineStr">
        <is>
          <t>Actuariel</t>
        </is>
      </c>
      <c r="D13" s="12" t="inlineStr">
        <is>
          <t>Taux d'excédent net</t>
        </is>
      </c>
      <c r="E13" s="12" t="inlineStr">
        <is>
          <t>Au plus 5 %</t>
        </is>
      </c>
      <c r="F13" s="22" t="n">
        <v>0.8063797680247953</v>
      </c>
      <c r="G13" s="22" t="n">
        <v>0.3355452883622809</v>
      </c>
      <c r="H13" s="22" t="n">
        <v>0.2518015832545693</v>
      </c>
      <c r="I13" s="22" t="n">
        <v>0.1281105192864206</v>
      </c>
      <c r="J13" s="22" t="n">
        <v>-0.1844565628073395</v>
      </c>
      <c r="K13" s="19" t="inlineStr">
        <is>
          <t>Non conforme</t>
        </is>
      </c>
      <c r="L13" s="19" t="n"/>
      <c r="M13" s="12" t="inlineStr">
        <is>
          <t>Décision n° 05/2022/COM/UEMOA, annexe, tableau 2, ligne 10 et § 1.2.2.5.5</t>
        </is>
      </c>
    </row>
    <row r="14">
      <c r="B14" s="16" t="n">
        <v>9</v>
      </c>
      <c r="C14" s="17" t="inlineStr">
        <is>
          <t>Actuariel</t>
        </is>
      </c>
      <c r="D14" s="10" t="inlineStr">
        <is>
          <t>Taux de financement propre</t>
        </is>
      </c>
      <c r="E14" s="10" t="inlineStr">
        <is>
          <t>Au moins 100 %</t>
        </is>
      </c>
      <c r="F14" s="18" t="n">
        <v>2.401963941438741</v>
      </c>
      <c r="G14" s="18" t="n">
        <v>1.468229044089623</v>
      </c>
      <c r="H14" s="18" t="n">
        <v>1.324842367019224</v>
      </c>
      <c r="I14" s="18" t="n">
        <v>1.134720534478943</v>
      </c>
      <c r="J14" s="18" t="n">
        <v>0.8454073045337206</v>
      </c>
      <c r="K14" s="17" t="inlineStr">
        <is>
          <t>Conforme</t>
        </is>
      </c>
      <c r="L14" s="17" t="n"/>
      <c r="M14" s="10" t="inlineStr">
        <is>
          <t>Décision n° 05/2022/COM/UEMOA, annexe, tableau 2, ligne 11 et § 1.2.3.2</t>
        </is>
      </c>
    </row>
    <row r="15">
      <c r="B15" s="16" t="n">
        <v>10</v>
      </c>
      <c r="C15" s="19" t="inlineStr">
        <is>
          <t>Actuariel - risques longs</t>
        </is>
      </c>
      <c r="D15" s="12" t="inlineStr">
        <is>
          <t>Ratio de solvabilité de la branche épargne (risques longs)</t>
        </is>
      </c>
      <c r="E15" s="12" t="inlineStr">
        <is>
          <t>Au moins 1</t>
        </is>
      </c>
      <c r="F15" s="20" t="n">
        <v>0.09491285816161747</v>
      </c>
      <c r="G15" s="20" t="n">
        <v>0.09200296264661868</v>
      </c>
      <c r="H15" s="20" t="n">
        <v>0.06489769174890359</v>
      </c>
      <c r="I15" s="20" t="n">
        <v>0.1164143426545503</v>
      </c>
      <c r="J15" s="20" t="n">
        <v>0.1627899128345373</v>
      </c>
      <c r="K15" s="19" t="inlineStr">
        <is>
          <t>Non conforme</t>
        </is>
      </c>
      <c r="L15" s="19" t="n"/>
      <c r="M15" s="12" t="inlineStr">
        <is>
          <t>Décision n° 05/2022/COM/UEMOA, annexe, section II, § 2.1</t>
        </is>
      </c>
    </row>
    <row r="16">
      <c r="B16" s="16" t="n">
        <v>11</v>
      </c>
      <c r="C16" s="17" t="inlineStr">
        <is>
          <t>Actuariel - risques longs</t>
        </is>
      </c>
      <c r="D16" s="10" t="inlineStr">
        <is>
          <t>Ratio de trésorerie à échéance (risques longs)</t>
        </is>
      </c>
      <c r="E16" s="10" t="inlineStr">
        <is>
          <t>Supérieur à 1</t>
        </is>
      </c>
      <c r="F16" s="21" t="n">
        <v>0.1160599124860752</v>
      </c>
      <c r="G16" s="21" t="n">
        <v>0.1147809378756505</v>
      </c>
      <c r="H16" s="21" t="n">
        <v>0.1269462369747672</v>
      </c>
      <c r="I16" s="21" t="n">
        <v>0.1749344871042123</v>
      </c>
      <c r="J16" s="21" t="n">
        <v>0.1928326849202298</v>
      </c>
      <c r="K16" s="17" t="inlineStr">
        <is>
          <t>Non conforme</t>
        </is>
      </c>
      <c r="L16" s="17" t="inlineStr">
        <is>
          <t>Non conforme</t>
        </is>
      </c>
      <c r="M16" s="10" t="inlineStr">
        <is>
          <t>Décision n° 05/2022/COM/UEMOA, annexe, section II, § 2.2</t>
        </is>
      </c>
    </row>
    <row r="17">
      <c r="B17" s="16" t="n">
        <v>12</v>
      </c>
      <c r="C17" s="19" t="inlineStr">
        <is>
          <t>Actuariel - risques longs</t>
        </is>
      </c>
      <c r="D17" s="12" t="inlineStr">
        <is>
          <t>Ratio de trésorerie immédiate (risques longs)</t>
        </is>
      </c>
      <c r="E17" s="12" t="inlineStr">
        <is>
          <t>Au moins 1</t>
        </is>
      </c>
      <c r="F17" s="20" t="n">
        <v>0.104440554951509</v>
      </c>
      <c r="G17" s="20" t="n">
        <v>0.1086583639281966</v>
      </c>
      <c r="H17" s="20" t="n">
        <v>0.07119313549763213</v>
      </c>
      <c r="I17" s="20" t="n">
        <v>0.1265562520616417</v>
      </c>
      <c r="J17" s="20" t="n">
        <v>0.1873248451328696</v>
      </c>
      <c r="K17" s="19" t="inlineStr">
        <is>
          <t>Non conforme</t>
        </is>
      </c>
      <c r="L17" s="19" t="inlineStr">
        <is>
          <t>Non conforme</t>
        </is>
      </c>
      <c r="M17" s="12" t="inlineStr">
        <is>
          <t>Décision n° 05/2022/COM/UEMOA, annexe, section II, § 2.3</t>
        </is>
      </c>
    </row>
    <row r="18">
      <c r="B18" s="16" t="n">
        <v>13</v>
      </c>
      <c r="C18" s="17" t="inlineStr">
        <is>
          <t>Actuariel - risques longs</t>
        </is>
      </c>
      <c r="D18" s="10" t="inlineStr">
        <is>
          <t>Réserve de trésorerie des risques longs (un trimestre d'engagements et de frais)</t>
        </is>
      </c>
      <c r="E18" s="10" t="inlineStr">
        <is>
          <t>Au moins 1 trimestre</t>
        </is>
      </c>
      <c r="F18" s="21" t="n">
        <v>0</v>
      </c>
      <c r="G18" s="21" t="n">
        <v>0</v>
      </c>
      <c r="H18" s="21" t="n">
        <v>0</v>
      </c>
      <c r="I18" s="21" t="n">
        <v>0</v>
      </c>
      <c r="J18" s="21" t="n">
        <v>0</v>
      </c>
      <c r="K18" s="17" t="inlineStr">
        <is>
          <t>Non conforme</t>
        </is>
      </c>
      <c r="L18" s="17" t="n"/>
      <c r="M18" s="10" t="inlineStr">
        <is>
          <t>Règlement d'exécution n° 004/2022/COM/UEMOA, art. 19, alinéa 3</t>
        </is>
      </c>
    </row>
    <row r="19">
      <c r="B19" s="16" t="n">
        <v>14</v>
      </c>
      <c r="C19" s="19" t="inlineStr">
        <is>
          <t>Actuariel - risques longs</t>
        </is>
      </c>
      <c r="D19" s="12" t="inlineStr">
        <is>
          <t>Fonds propres / prestations des risques longs des deux derniers exercices</t>
        </is>
      </c>
      <c r="E19" s="12" t="inlineStr">
        <is>
          <t>Au moins 1</t>
        </is>
      </c>
      <c r="F19" s="20" t="n">
        <v>-0.6544749714362921</v>
      </c>
      <c r="G19" s="20" t="n">
        <v>-0.3406000719253184</v>
      </c>
      <c r="H19" s="20" t="n">
        <v>-0.2078753436137531</v>
      </c>
      <c r="I19" s="20" t="n">
        <v>-0.1463890121485525</v>
      </c>
      <c r="J19" s="20" t="n">
        <v>-0.3103322996600214</v>
      </c>
      <c r="K19" s="19" t="inlineStr">
        <is>
          <t>Non conforme</t>
        </is>
      </c>
      <c r="L19" s="19" t="n"/>
      <c r="M19" s="12" t="inlineStr">
        <is>
          <t>Règlement d'exécution n° 004/2022/COM/UEMOA, art. 21</t>
        </is>
      </c>
    </row>
    <row r="20">
      <c r="B20" s="16" t="n">
        <v>15</v>
      </c>
      <c r="C20" s="17" t="inlineStr">
        <is>
          <t>Actuariel - risques longs</t>
        </is>
      </c>
      <c r="D20" s="10" t="inlineStr">
        <is>
          <t>Taux brut de rentabilité des placements</t>
        </is>
      </c>
      <c r="E20" s="10" t="inlineStr">
        <is>
          <t>Au moins le taux moyen du marché</t>
        </is>
      </c>
      <c r="F20" s="21" t="n">
        <v>0.01302438139479114</v>
      </c>
      <c r="G20" s="21" t="n">
        <v>0.01276185573574572</v>
      </c>
      <c r="H20" s="21" t="n">
        <v>0.01731201345070705</v>
      </c>
      <c r="I20" s="21" t="n">
        <v>0.228827023659462</v>
      </c>
      <c r="J20" s="17" t="n"/>
      <c r="K20" s="17" t="inlineStr">
        <is>
          <t>À apprécier</t>
        </is>
      </c>
      <c r="L20" s="17" t="n"/>
      <c r="M20" s="10" t="inlineStr">
        <is>
          <t>Décision n° 05/2022/COM/UEMOA, annexe, section II, § 2.4</t>
        </is>
      </c>
    </row>
    <row r="21">
      <c r="B21" s="16" t="n">
        <v>16</v>
      </c>
      <c r="C21" s="19" t="inlineStr">
        <is>
          <t>Actuariel - risques longs</t>
        </is>
      </c>
      <c r="D21" s="12" t="inlineStr">
        <is>
          <t>Solde moyen des comptes courants non rémunérés</t>
        </is>
      </c>
      <c r="E21" s="12" t="inlineStr">
        <is>
          <t>Avoisinant zéro</t>
        </is>
      </c>
      <c r="F21" s="20" t="n">
        <v>638155842</v>
      </c>
      <c r="G21" s="20" t="n">
        <v>695388139</v>
      </c>
      <c r="H21" s="20" t="n">
        <v>438360275</v>
      </c>
      <c r="I21" s="20" t="n">
        <v>1449586812</v>
      </c>
      <c r="J21" s="20" t="n">
        <v>2356399123</v>
      </c>
      <c r="K21" s="19" t="inlineStr">
        <is>
          <t>À apprécier</t>
        </is>
      </c>
      <c r="L21" s="19" t="n"/>
      <c r="M21" s="12" t="inlineStr">
        <is>
          <t>Décision n° 05/2022/COM/UEMOA, annexe, section II, § 2.5</t>
        </is>
      </c>
    </row>
    <row r="22">
      <c r="B22" s="16" t="n">
        <v>17</v>
      </c>
      <c r="C22" s="17" t="inlineStr">
        <is>
          <t>Gestion</t>
        </is>
      </c>
      <c r="D22" s="10" t="inlineStr">
        <is>
          <t>Taux des charges de fonctionnement</t>
        </is>
      </c>
      <c r="E22" s="10" t="inlineStr">
        <is>
          <t>Au plus 20 %</t>
        </is>
      </c>
      <c r="F22" s="18" t="n">
        <v>0.4735154752022679</v>
      </c>
      <c r="G22" s="18" t="n">
        <v>0.4482405145921421</v>
      </c>
      <c r="H22" s="18" t="n">
        <v>0.3606756953950909</v>
      </c>
      <c r="I22" s="18" t="n">
        <v>0.3633533094915952</v>
      </c>
      <c r="J22" s="18" t="n">
        <v>0.4412097684017747</v>
      </c>
      <c r="K22" s="17" t="inlineStr">
        <is>
          <t>Non conforme</t>
        </is>
      </c>
      <c r="L22" s="17" t="n"/>
      <c r="M22" s="10" t="inlineStr">
        <is>
          <t>Décision n° 05/2022/COM/UEMOA, annexe, tableau 1, ligne 2 et § 1.2.1.2.1</t>
        </is>
      </c>
    </row>
    <row r="23">
      <c r="B23" s="16" t="n">
        <v>18</v>
      </c>
      <c r="C23" s="19" t="inlineStr">
        <is>
          <t>Gestion</t>
        </is>
      </c>
      <c r="D23" s="12" t="inlineStr">
        <is>
          <t>Taux des charges de fonctionnement brut</t>
        </is>
      </c>
      <c r="E23" s="12" t="inlineStr">
        <is>
          <t>Au plus 15 %</t>
        </is>
      </c>
      <c r="F23" s="22" t="n">
        <v>0.3507645430860432</v>
      </c>
      <c r="G23" s="22" t="n">
        <v>0.438115371889645</v>
      </c>
      <c r="H23" s="22" t="n">
        <v>0.3619683196835955</v>
      </c>
      <c r="I23" s="22" t="n">
        <v>0.3485748792557832</v>
      </c>
      <c r="J23" s="22" t="n">
        <v>0.4373951681734312</v>
      </c>
      <c r="K23" s="19" t="inlineStr">
        <is>
          <t>Non conforme</t>
        </is>
      </c>
      <c r="L23" s="19" t="n"/>
      <c r="M23" s="12" t="inlineStr">
        <is>
          <t>Décision n° 05/2022/COM/UEMOA, annexe, tableau 1, ligne 3 et § 1.2.1.2.2</t>
        </is>
      </c>
    </row>
    <row r="24">
      <c r="B24" s="16" t="n">
        <v>19</v>
      </c>
      <c r="C24" s="17" t="inlineStr">
        <is>
          <t>Gestion</t>
        </is>
      </c>
      <c r="D24" s="10" t="inlineStr">
        <is>
          <t>Coût par unité monétaire prestée</t>
        </is>
      </c>
      <c r="E24" s="10" t="inlineStr">
        <is>
          <t>Au plus 15 %</t>
        </is>
      </c>
      <c r="F24" s="18" t="n">
        <v>5.227769473459005</v>
      </c>
      <c r="G24" s="18" t="n">
        <v>1.824877310324074</v>
      </c>
      <c r="H24" s="18" t="n">
        <v>0.8940316226735395</v>
      </c>
      <c r="I24" s="18" t="n">
        <v>0.6321308986144274</v>
      </c>
      <c r="J24" s="18" t="n">
        <v>0.5867401083369672</v>
      </c>
      <c r="K24" s="17" t="inlineStr">
        <is>
          <t>Non conforme</t>
        </is>
      </c>
      <c r="L24" s="17" t="n"/>
      <c r="M24" s="10" t="inlineStr">
        <is>
          <t>Décision n° 05/2022/COM/UEMOA, annexe, tableau 2, ligne 5 et § 1.2.1.2.3</t>
        </is>
      </c>
    </row>
    <row r="25">
      <c r="B25" s="16" t="n">
        <v>20</v>
      </c>
      <c r="C25" s="19" t="inlineStr">
        <is>
          <t>Gestion</t>
        </is>
      </c>
      <c r="D25" s="12" t="inlineStr">
        <is>
          <t>Taux de charges de personnel</t>
        </is>
      </c>
      <c r="E25" s="12" t="inlineStr">
        <is>
          <t>Au plus 85 %</t>
        </is>
      </c>
      <c r="F25" s="22" t="n">
        <v>0.1926491362957095</v>
      </c>
      <c r="G25" s="22" t="n">
        <v>0.2321374678175681</v>
      </c>
      <c r="H25" s="22" t="n">
        <v>0.2482788189783611</v>
      </c>
      <c r="I25" s="22" t="n">
        <v>0.2657335960772857</v>
      </c>
      <c r="J25" s="22" t="n">
        <v>0.258255407917139</v>
      </c>
      <c r="K25" s="19" t="inlineStr">
        <is>
          <t>Conforme</t>
        </is>
      </c>
      <c r="L25" s="19" t="n"/>
      <c r="M25" s="12" t="inlineStr">
        <is>
          <t>Décision n° 05/2022/COM/UEMOA, annexe, tableau 1, ligne 4 et § 1.2.1.2.4</t>
        </is>
      </c>
    </row>
    <row r="26">
      <c r="B26" s="16" t="n">
        <v>21</v>
      </c>
      <c r="C26" s="17" t="inlineStr">
        <is>
          <t>Gestion</t>
        </is>
      </c>
      <c r="D26" s="10" t="inlineStr">
        <is>
          <t>Taux de recouvrement des cotisations</t>
        </is>
      </c>
      <c r="E26" s="10" t="inlineStr">
        <is>
          <t>Au moins 90 %</t>
        </is>
      </c>
      <c r="F26" s="17" t="n"/>
      <c r="G26" s="17" t="n"/>
      <c r="H26" s="17" t="n"/>
      <c r="I26" s="17" t="n"/>
      <c r="J26" s="17" t="n"/>
      <c r="K26" s="17" t="inlineStr">
        <is>
          <t>Conforme</t>
        </is>
      </c>
      <c r="L26" s="17" t="n"/>
      <c r="M26" s="10" t="inlineStr">
        <is>
          <t>Décision n° 05/2022/COM/UEMOA, annexe, tableau 2, ligne 13 et § 1.2.2.3.1</t>
        </is>
      </c>
    </row>
    <row r="27">
      <c r="B27" s="16" t="n">
        <v>22</v>
      </c>
      <c r="C27" s="19" t="inlineStr">
        <is>
          <t>Gestion</t>
        </is>
      </c>
      <c r="D27" s="12" t="inlineStr">
        <is>
          <t>Taux de fidélisation</t>
        </is>
      </c>
      <c r="E27" s="12" t="inlineStr">
        <is>
          <t>Au moins 80 %</t>
        </is>
      </c>
      <c r="F27" s="19" t="n"/>
      <c r="G27" s="19" t="n"/>
      <c r="H27" s="19" t="n"/>
      <c r="I27" s="22" t="n">
        <v>0.9648588821250692</v>
      </c>
      <c r="J27" s="22" t="n">
        <v>0.9782595114637346</v>
      </c>
      <c r="K27" s="19" t="inlineStr">
        <is>
          <t>Conforme</t>
        </is>
      </c>
      <c r="L27" s="19" t="n"/>
      <c r="M27" s="12" t="inlineStr">
        <is>
          <t>Décision n° 05/2022/COM/UEMOA, annexe, tableau 2, ligne 4 et § 1.2.1.1.4</t>
        </is>
      </c>
    </row>
    <row r="28">
      <c r="B28" s="16" t="n">
        <v>23</v>
      </c>
      <c r="C28" s="17" t="inlineStr">
        <is>
          <t>Gestion</t>
        </is>
      </c>
      <c r="D28" s="10" t="inlineStr">
        <is>
          <t>Délai moyen de paiement des prestataires de soins</t>
        </is>
      </c>
      <c r="E28" s="10" t="inlineStr">
        <is>
          <t>Délai contractuel</t>
        </is>
      </c>
      <c r="F28" s="21" t="n">
        <v>840.8571041298487</v>
      </c>
      <c r="G28" s="21" t="n">
        <v>145.3425987252427</v>
      </c>
      <c r="H28" s="21" t="n">
        <v>67.98086388055722</v>
      </c>
      <c r="I28" s="21" t="n">
        <v>44.98303923837369</v>
      </c>
      <c r="J28" s="21" t="n">
        <v>93.2409219116372</v>
      </c>
      <c r="K28" s="17" t="inlineStr">
        <is>
          <t>À apprécier</t>
        </is>
      </c>
      <c r="L28" s="17" t="n"/>
      <c r="M28" s="10" t="inlineStr">
        <is>
          <t>Décision n° 05/2022/COM/UEMOA, annexe, tableau 2, ligne 7 et § 1.2.2.3.2</t>
        </is>
      </c>
    </row>
    <row r="29">
      <c r="B29" s="16" t="n">
        <v>24</v>
      </c>
      <c r="C29" s="19" t="inlineStr">
        <is>
          <t>Gestion</t>
        </is>
      </c>
      <c r="D29" s="12" t="inlineStr">
        <is>
          <t>Taux d'investissement brut en formation</t>
        </is>
      </c>
      <c r="E29" s="12" t="inlineStr">
        <is>
          <t>Au plus 3 %</t>
        </is>
      </c>
      <c r="F29" s="22" t="n">
        <v>8.498734545933326e-05</v>
      </c>
      <c r="G29" s="22" t="n">
        <v>0.001907010471227613</v>
      </c>
      <c r="H29" s="22" t="n">
        <v>0.0003714722162387765</v>
      </c>
      <c r="I29" s="22" t="n">
        <v>0.007450522909487228</v>
      </c>
      <c r="J29" s="22" t="n">
        <v>0.0004144115563933815</v>
      </c>
      <c r="K29" s="19" t="inlineStr">
        <is>
          <t>Conforme</t>
        </is>
      </c>
      <c r="L29" s="19" t="n"/>
      <c r="M29" s="12" t="inlineStr">
        <is>
          <t>Décision n° 05/2022/COM/UEMOA, annexe, tableau 2, ligne 6 et § 1.2.2.1.1.2</t>
        </is>
      </c>
    </row>
    <row r="30">
      <c r="B30" s="16" t="n">
        <v>25</v>
      </c>
      <c r="C30" s="17" t="inlineStr">
        <is>
          <t>Gestion</t>
        </is>
      </c>
      <c r="D30" s="10" t="inlineStr">
        <is>
          <t>Taux de croissance brute des bénéficiaires</t>
        </is>
      </c>
      <c r="E30" s="10" t="inlineStr">
        <is>
          <t>Objectif du plan de développement stratégique</t>
        </is>
      </c>
      <c r="F30" s="17" t="n"/>
      <c r="G30" s="17" t="n"/>
      <c r="H30" s="17" t="n"/>
      <c r="I30" s="21" t="n">
        <v>0.1072910902047592</v>
      </c>
      <c r="J30" s="17" t="n"/>
      <c r="K30" s="17" t="inlineStr">
        <is>
          <t>À apprécier</t>
        </is>
      </c>
      <c r="L30" s="17" t="n"/>
      <c r="M30" s="10" t="inlineStr">
        <is>
          <t>Décision n° 05/2022/COM/UEMOA, annexe, tableau 2, ligne 1</t>
        </is>
      </c>
    </row>
    <row r="31">
      <c r="B31" s="16" t="n">
        <v>26</v>
      </c>
      <c r="C31" s="19" t="inlineStr">
        <is>
          <t>Gestion</t>
        </is>
      </c>
      <c r="D31" s="12" t="inlineStr">
        <is>
          <t>Ratio bénéficiaire-adhérent</t>
        </is>
      </c>
      <c r="E31" s="12" t="inlineStr">
        <is>
          <t>Objectif du plan de développement stratégique</t>
        </is>
      </c>
      <c r="F31" s="19" t="n"/>
      <c r="G31" s="19" t="n"/>
      <c r="H31" s="19" t="n"/>
      <c r="I31" s="19" t="n"/>
      <c r="J31" s="19" t="n"/>
      <c r="K31" s="19" t="inlineStr">
        <is>
          <t>En attente</t>
        </is>
      </c>
      <c r="L31" s="19" t="n"/>
      <c r="M31" s="12" t="inlineStr">
        <is>
          <t>Décision n° 05/2022/COM/UEMOA, annexe, tableau 2, ligne 2</t>
        </is>
      </c>
    </row>
    <row r="32">
      <c r="B32" s="16" t="n">
        <v>27</v>
      </c>
      <c r="C32" s="17" t="inlineStr">
        <is>
          <t>Gestion</t>
        </is>
      </c>
      <c r="D32" s="10" t="inlineStr">
        <is>
          <t>Taux de pénétration</t>
        </is>
      </c>
      <c r="E32" s="10" t="inlineStr">
        <is>
          <t>Objectif du plan de développement stratégique</t>
        </is>
      </c>
      <c r="F32" s="17" t="n"/>
      <c r="G32" s="17" t="n"/>
      <c r="H32" s="17" t="n"/>
      <c r="I32" s="17" t="n"/>
      <c r="J32" s="17" t="n"/>
      <c r="K32" s="17" t="inlineStr">
        <is>
          <t>En attente</t>
        </is>
      </c>
      <c r="L32" s="17" t="n"/>
      <c r="M32" s="10" t="inlineStr">
        <is>
          <t>Décision n° 05/2022/COM/UEMOA, annexe, tableau 2, ligne 3</t>
        </is>
      </c>
    </row>
    <row r="33">
      <c r="B33" s="16" t="n">
        <v>28</v>
      </c>
      <c r="C33" s="19" t="inlineStr">
        <is>
          <t>Gestion</t>
        </is>
      </c>
      <c r="D33" s="12" t="inlineStr">
        <is>
          <t>Taux de prestations indues</t>
        </is>
      </c>
      <c r="E33" s="12" t="inlineStr">
        <is>
          <t>Au plus 2 %</t>
        </is>
      </c>
      <c r="F33" s="19" t="n"/>
      <c r="G33" s="19" t="n"/>
      <c r="H33" s="19" t="n"/>
      <c r="I33" s="19" t="n"/>
      <c r="J33" s="19" t="n"/>
      <c r="K33" s="19" t="inlineStr">
        <is>
          <t>En attente</t>
        </is>
      </c>
      <c r="L33" s="19" t="n"/>
      <c r="M33" s="12" t="inlineStr">
        <is>
          <t>Décision n° 05/2022/COM/UEMOA, annexe, tableau 2, ligne 12 et § 1.2.2.3.3</t>
        </is>
      </c>
    </row>
    <row r="34">
      <c r="B34" s="16" t="n">
        <v>29</v>
      </c>
      <c r="C34" s="17" t="inlineStr">
        <is>
          <t>Gestion</t>
        </is>
      </c>
      <c r="D34" s="10" t="inlineStr">
        <is>
          <t>Ratio de contrôle a posteriori</t>
        </is>
      </c>
      <c r="E34" s="10" t="inlineStr">
        <is>
          <t>Au moins 5 % (10 % pour les risques longs)</t>
        </is>
      </c>
      <c r="F34" s="17" t="n"/>
      <c r="G34" s="17" t="n"/>
      <c r="H34" s="17" t="n"/>
      <c r="I34" s="17" t="n"/>
      <c r="J34" s="17" t="n"/>
      <c r="K34" s="17" t="inlineStr">
        <is>
          <t>En attente</t>
        </is>
      </c>
      <c r="L34" s="17" t="n"/>
      <c r="M34" s="10" t="inlineStr">
        <is>
          <t>Décision n° 05/2022/COM/UEMOA, annexe, § 1.2.2.4 et section II, § 2.9</t>
        </is>
      </c>
    </row>
    <row r="35">
      <c r="B35" s="16" t="n">
        <v>30</v>
      </c>
      <c r="C35" s="19" t="inlineStr">
        <is>
          <t>Gestion</t>
        </is>
      </c>
      <c r="D35" s="12" t="inlineStr">
        <is>
          <t>Délai de liquidation des premières demandes (risques longs)</t>
        </is>
      </c>
      <c r="E35" s="12" t="inlineStr">
        <is>
          <t>Au plus 30 jours</t>
        </is>
      </c>
      <c r="F35" s="19" t="n"/>
      <c r="G35" s="19" t="n"/>
      <c r="H35" s="19" t="n"/>
      <c r="I35" s="19" t="n"/>
      <c r="J35" s="19" t="n"/>
      <c r="K35" s="19" t="inlineStr">
        <is>
          <t>En attente</t>
        </is>
      </c>
      <c r="L35" s="19" t="n"/>
      <c r="M35" s="12" t="inlineStr">
        <is>
          <t>Décision n° 05/2022/COM/UEMOA, annexe, section II, § 2.7</t>
        </is>
      </c>
    </row>
    <row r="36">
      <c r="B36" s="16" t="n">
        <v>31</v>
      </c>
      <c r="C36" s="17" t="inlineStr">
        <is>
          <t>Gestion</t>
        </is>
      </c>
      <c r="D36" s="10" t="inlineStr">
        <is>
          <t>Restes à traiter en fin de période (risques longs)</t>
        </is>
      </c>
      <c r="E36" s="10" t="inlineStr">
        <is>
          <t>Au plus 5 %</t>
        </is>
      </c>
      <c r="F36" s="17" t="n"/>
      <c r="G36" s="17" t="n"/>
      <c r="H36" s="17" t="n"/>
      <c r="I36" s="17" t="n"/>
      <c r="J36" s="17" t="n"/>
      <c r="K36" s="17" t="inlineStr">
        <is>
          <t>En attente</t>
        </is>
      </c>
      <c r="L36" s="17" t="n"/>
      <c r="M36" s="10" t="inlineStr">
        <is>
          <t>Décision n° 05/2022/COM/UEMOA, annexe, section II, § 2.8</t>
        </is>
      </c>
    </row>
    <row r="37">
      <c r="B37" s="16" t="n">
        <v>32</v>
      </c>
      <c r="C37" s="19" t="inlineStr">
        <is>
          <t>Gestion</t>
        </is>
      </c>
      <c r="D37" s="12" t="inlineStr">
        <is>
          <t>Délai de remise en banque des titres de paiement (risques longs)</t>
        </is>
      </c>
      <c r="E37" s="12" t="inlineStr">
        <is>
          <t>Au plus 1 jour</t>
        </is>
      </c>
      <c r="F37" s="19" t="n"/>
      <c r="G37" s="19" t="n"/>
      <c r="H37" s="19" t="n"/>
      <c r="I37" s="19" t="n"/>
      <c r="J37" s="19" t="n"/>
      <c r="K37" s="19" t="inlineStr">
        <is>
          <t>En attente</t>
        </is>
      </c>
      <c r="L37" s="19" t="n"/>
      <c r="M37" s="12" t="inlineStr">
        <is>
          <t>Décision n° 05/2022/COM/UEMOA, annexe, section II, § 2.6</t>
        </is>
      </c>
    </row>
    <row r="38">
      <c r="B38" s="16" t="n">
        <v>33</v>
      </c>
      <c r="C38" s="17" t="inlineStr">
        <is>
          <t>Gouvernance</t>
        </is>
      </c>
      <c r="D38" s="10" t="inlineStr">
        <is>
          <t>Taux de règlement de la cotisation au Fonds national de garantie</t>
        </is>
      </c>
      <c r="E38" s="10" t="inlineStr">
        <is>
          <t>100 %</t>
        </is>
      </c>
      <c r="F38" s="17" t="n"/>
      <c r="G38" s="17" t="n"/>
      <c r="H38" s="17" t="n"/>
      <c r="I38" s="17" t="n"/>
      <c r="J38" s="17" t="n"/>
      <c r="K38" s="17" t="inlineStr">
        <is>
          <t>En attente</t>
        </is>
      </c>
      <c r="L38" s="17" t="n"/>
      <c r="M38" s="10" t="inlineStr">
        <is>
          <t>Décision n° 05/2022/COM/UEMOA, annexe, tableau 1, ligne 1 ; Règlement n° 07/2009, art. 63</t>
        </is>
      </c>
    </row>
    <row r="39">
      <c r="B39" s="16" t="n">
        <v>34</v>
      </c>
      <c r="C39" s="19" t="inlineStr">
        <is>
          <t>Gouvernance</t>
        </is>
      </c>
      <c r="D39" s="12" t="inlineStr">
        <is>
          <t>Taux de tenue des réunions des organes</t>
        </is>
      </c>
      <c r="E39" s="12" t="inlineStr">
        <is>
          <t>100 %</t>
        </is>
      </c>
      <c r="F39" s="19" t="n"/>
      <c r="G39" s="19" t="n"/>
      <c r="H39" s="19" t="n"/>
      <c r="I39" s="19" t="n"/>
      <c r="J39" s="19" t="n"/>
      <c r="K39" s="19" t="inlineStr">
        <is>
          <t>En attente</t>
        </is>
      </c>
      <c r="L39" s="19" t="n"/>
      <c r="M39" s="12" t="inlineStr">
        <is>
          <t>Décision n° 05/2022/COM/UEMOA, annexe, tableau 1, ligne 6</t>
        </is>
      </c>
    </row>
    <row r="40">
      <c r="B40" s="16" t="n">
        <v>35</v>
      </c>
      <c r="C40" s="17" t="inlineStr">
        <is>
          <t>Gouvernance</t>
        </is>
      </c>
      <c r="D40" s="10" t="inlineStr">
        <is>
          <t>Existence et tenue des outils de suivi administratif</t>
        </is>
      </c>
      <c r="E40" s="10" t="inlineStr">
        <is>
          <t>Existence et tenue</t>
        </is>
      </c>
      <c r="F40" s="17" t="n"/>
      <c r="G40" s="17" t="n"/>
      <c r="H40" s="17" t="n"/>
      <c r="I40" s="17" t="n"/>
      <c r="J40" s="17" t="n"/>
      <c r="K40" s="17" t="inlineStr">
        <is>
          <t>En attente</t>
        </is>
      </c>
      <c r="L40" s="17" t="n"/>
      <c r="M40" s="10" t="inlineStr">
        <is>
          <t>Décision n° 05/2022/COM/UEMOA, annexe, tableau 1, ligne 7</t>
        </is>
      </c>
    </row>
    <row r="41">
      <c r="B41" s="16" t="n">
        <v>36</v>
      </c>
      <c r="C41" s="19" t="inlineStr">
        <is>
          <t>Gouvernance</t>
        </is>
      </c>
      <c r="D41" s="12" t="inlineStr">
        <is>
          <t>Existence et tenue des outils de suivi comptable et financier</t>
        </is>
      </c>
      <c r="E41" s="12" t="inlineStr">
        <is>
          <t>Existence et tenue</t>
        </is>
      </c>
      <c r="F41" s="19" t="n"/>
      <c r="G41" s="19" t="n"/>
      <c r="H41" s="19" t="n"/>
      <c r="I41" s="19" t="n"/>
      <c r="J41" s="19" t="n"/>
      <c r="K41" s="19" t="inlineStr">
        <is>
          <t>En attente</t>
        </is>
      </c>
      <c r="L41" s="19" t="n"/>
      <c r="M41" s="12" t="inlineStr">
        <is>
          <t>Décision n° 05/2022/COM/UEMOA, annexe, tableau 1, ligne 8</t>
        </is>
      </c>
    </row>
  </sheetData>
  <conditionalFormatting sqref="K6:K41">
    <cfRule type="expression" priority="1" dxfId="0">
      <formula>LEFT(K6,4)="Conf"</formula>
    </cfRule>
    <cfRule type="expression" priority="2" dxfId="1">
      <formula>LEFT(K6,3)="Non"</formula>
    </cfRule>
    <cfRule type="expression" priority="3" dxfId="2">
      <formula>OR(LEFT(K6,3)="En ",LEFT(K6,1)="À")</formula>
    </cfRule>
  </conditionalFormatting>
  <conditionalFormatting sqref="L6:L41">
    <cfRule type="expression" priority="4" dxfId="0">
      <formula>LEFT(L6,4)="Conf"</formula>
    </cfRule>
    <cfRule type="expression" priority="5" dxfId="1">
      <formula>LEFT(L6,3)="Non"</formula>
    </cfRule>
    <cfRule type="expression" priority="6" dxfId="2">
      <formula>OR(LEFT(L6,3)="En ",LEFT(L6,1)="À")</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tabColor rgb="00112A40"/>
    <outlinePr summaryBelow="1" summaryRight="1"/>
    <pageSetUpPr fitToPage="1"/>
  </sheetPr>
  <dimension ref="A1:D159"/>
  <sheetViews>
    <sheetView showGridLines="0"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110" customWidth="1" min="4" max="4"/>
  </cols>
  <sheetData>
    <row r="1">
      <c r="A1" s="23" t="inlineStr">
        <is>
          <t>Partie</t>
        </is>
      </c>
      <c r="B1" s="8" t="inlineStr">
        <is>
          <t>Analyse ou diapositive</t>
        </is>
      </c>
      <c r="C1" s="8" t="inlineStr">
        <is>
          <t>Diapositive</t>
        </is>
      </c>
      <c r="D1" s="8" t="inlineStr">
        <is>
          <t>Valable pour</t>
        </is>
      </c>
    </row>
    <row r="2">
      <c r="A2" s="24" t="inlineStr">
        <is>
          <t>Résumé</t>
        </is>
      </c>
      <c r="B2" s="10" t="inlineStr">
        <is>
          <t>Réponse aux quatre demandes de la mission</t>
        </is>
      </c>
      <c r="C2" s="10" t="inlineStr">
        <is>
          <t>4</t>
        </is>
      </c>
      <c r="D2" s="10" t="inlineStr">
        <is>
          <t>période du 01/01/2020 au 31/08/2026 (mission à partir du 01/09/2020), documents du FPPN reçus jusqu'au 22/10/2026</t>
        </is>
      </c>
    </row>
    <row r="3">
      <c r="A3" s="9" t="inlineStr">
        <is>
          <t>Résumé</t>
        </is>
      </c>
      <c r="B3" s="12" t="inlineStr">
        <is>
          <t>Demande 1 : engagements envers les adhérents</t>
        </is>
      </c>
      <c r="C3" s="12" t="inlineStr">
        <is>
          <t>5</t>
        </is>
      </c>
      <c r="D3" s="12" t="inlineStr">
        <is>
          <t>épargne et dettes au 31/08/2026 (balance provisoire) ; intérêts dus calculés du 01/01/2020 au 31/08/2026 seulement ; provision du personnel au 31/12/2025</t>
        </is>
      </c>
    </row>
    <row r="4">
      <c r="A4" s="9" t="inlineStr">
        <is>
          <t>Résumé</t>
        </is>
      </c>
      <c r="B4" s="10" t="inlineStr">
        <is>
          <t>Demande 2 : suffisance des provisions</t>
        </is>
      </c>
      <c r="C4" s="10" t="inlineStr">
        <is>
          <t>6</t>
        </is>
      </c>
      <c r="D4" s="10" t="inlineStr">
        <is>
          <t>provisions au bilan du 31/08/2026 ; besoin maladie mesuré au 31/12/2024 sur les factures de cliniques du journal SIN ; dette décès au 31/08/2026</t>
        </is>
      </c>
    </row>
    <row r="5">
      <c r="A5" s="9" t="inlineStr">
        <is>
          <t>Résumé</t>
        </is>
      </c>
      <c r="B5" s="12" t="inlineStr">
        <is>
          <t>Demande 3 : adossement actif-passif</t>
        </is>
      </c>
      <c r="C5" s="12" t="inlineStr">
        <is>
          <t>7</t>
        </is>
      </c>
      <c r="D5" s="12" t="inlineStr">
        <is>
          <t>bilans au 31/12/2025 et au 31/08/2026 (provisoire) ; sorties d'épargne observées de 2021 à 2025 ; actifs classés par nature comptable, sans échéancier contractuel</t>
        </is>
      </c>
    </row>
    <row r="6">
      <c r="A6" s="9" t="inlineStr">
        <is>
          <t>Résumé</t>
        </is>
      </c>
      <c r="B6" s="10" t="inlineStr">
        <is>
          <t>Demande 4 : adéquation des placements</t>
        </is>
      </c>
      <c r="C6" s="10" t="inlineStr">
        <is>
          <t>8</t>
        </is>
      </c>
      <c r="D6" s="10" t="inlineStr">
        <is>
          <t>placements et produits financiers de 2021 à 2025, actifs au 31/08/2026 ; épargne due au 31/12/2025</t>
        </is>
      </c>
    </row>
    <row r="7">
      <c r="A7" s="9" t="inlineStr">
        <is>
          <t>Résumé</t>
        </is>
      </c>
      <c r="B7" s="12" t="inlineStr">
        <is>
          <t>Résumé exécutif</t>
        </is>
      </c>
      <c r="C7" s="12" t="inlineStr">
        <is>
          <t>9</t>
        </is>
      </c>
      <c r="D7" s="12" t="inlineStr">
        <is>
          <t>chiffres repris des parties 4 à 10, chacun dans le domaine indiqué sur sa diapositive de détail ; situation au 31/08/2026 (provisoire) sauf mention d'une autre date</t>
        </is>
      </c>
    </row>
    <row r="8">
      <c r="A8" s="9" t="inlineStr">
        <is>
          <t>Résumé</t>
        </is>
      </c>
      <c r="B8" s="10" t="inlineStr">
        <is>
          <t>Graphiques clés (1/2)</t>
        </is>
      </c>
      <c r="C8" s="10" t="inlineStr">
        <is>
          <t>13</t>
        </is>
      </c>
      <c r="D8" s="10" t="inlineStr">
        <is>
          <t>S/C maladie : comptes 601, 6013, 6018 et 60800007 (prestations) et 7010 (cotisations) des balances « BALANCE FORMAT EXCEL DE 09-2020 AU 31-12-2020.xlsx » à « BALANCE FPPN DU 01-01-2026 AU 31-08-2026.xlsx », 2020 à 2025 et du 01/01 au 31/08/2026 ; épargne : comptes 41195100 et 41195200 ; actifs réservés : banques et DAT de l'épargne et FCP</t>
        </is>
      </c>
    </row>
    <row r="9">
      <c r="A9" s="9" t="inlineStr">
        <is>
          <t>Résumé</t>
        </is>
      </c>
      <c r="B9" s="12" t="inlineStr">
        <is>
          <t>Graphiques clés (2/2)</t>
        </is>
      </c>
      <c r="C9" s="12" t="inlineStr">
        <is>
          <t>14</t>
        </is>
      </c>
      <c r="D9" s="12" t="inlineStr">
        <is>
          <t>fonds propres : comptes 10, 11, 12 et résultat des balances « BALANCE FORMAT EXCEL DE 09-2020 AU 31-12-2020.xlsx » à « BALANCE FPPN DU 01-01-2026 AU 31-08-2026.xlsx » ; encours du Grenier : exports « BalanceAgeeDetaille … .xls » du logiciel de prêts du Grenier, arrêtés annuels du 31/12/2021 au 31/12/2025 et au 31/08/2026</t>
        </is>
      </c>
    </row>
    <row r="10">
      <c r="A10" s="9" t="inlineStr">
        <is>
          <t>Résumé</t>
        </is>
      </c>
      <c r="B10" s="10" t="inlineStr">
        <is>
          <t>Conformité prudentielle en bref</t>
        </is>
      </c>
      <c r="C10" s="10" t="inlineStr">
        <is>
          <t>15</t>
        </is>
      </c>
      <c r="D10" s="10" t="inlineStr">
        <is>
          <t>exercice 2025 seulement, ratios de la Décision n° 05/2022 recalculés sur les balances « BALANCE FORMAT EXCEL DE 09-2020 AU 31-12-2020.xlsx » à « BALANCE FPPN DU 01-01-2026 AU 31-08-2026.xlsx » ; ratios non calculés faute de données signalés comme tels</t>
        </is>
      </c>
    </row>
    <row r="11">
      <c r="A11" s="9" t="inlineStr">
        <is>
          <t>Résumé</t>
        </is>
      </c>
      <c r="B11" s="12" t="inlineStr">
        <is>
          <t>Recommandations prioritaires</t>
        </is>
      </c>
      <c r="C11" s="12" t="inlineStr">
        <is>
          <t>18</t>
        </is>
      </c>
      <c r="D11" s="12" t="inlineStr">
        <is>
          <t>constats au 22/10/2026 ; numéros de la liste des documents demandés (PBC) pointée au 22/10/2026</t>
        </is>
      </c>
    </row>
    <row r="12">
      <c r="A12" s="9" t="inlineStr">
        <is>
          <t>Partie 1</t>
        </is>
      </c>
      <c r="B12" s="10" t="inlineStr">
        <is>
          <t>Cadre juridique</t>
        </is>
      </c>
      <c r="C12" s="10" t="inlineStr">
        <is>
          <t>21</t>
        </is>
      </c>
      <c r="D12" s="10" t="inlineStr">
        <is>
          <t>textes cités dans leur version fournie le 18/10/2026 (documentation publique de l'AIRMS) ; répertoire AIRMS du 15/10/2026 ; ne vaut pas avis juridique</t>
        </is>
      </c>
    </row>
    <row r="13">
      <c r="A13" s="9" t="inlineStr">
        <is>
          <t>Partie 1</t>
        </is>
      </c>
      <c r="B13" s="12" t="inlineStr">
        <is>
          <t>Statuts et règlement intérieur : cotisations, provisions, prestations</t>
        </is>
      </c>
      <c r="C13" s="12" t="inlineStr">
        <is>
          <t>22</t>
        </is>
      </c>
      <c r="D13" s="12" t="inlineStr">
        <is>
          <t>statuts et règlement intérieur du FPPN édités le 15/06/2023 (adoptés le 30/06/2021), articles cités ; leur application n'est testée que là où le rapport le dit</t>
        </is>
      </c>
    </row>
    <row r="14">
      <c r="A14" s="9" t="inlineStr">
        <is>
          <t>Partie 1</t>
        </is>
      </c>
      <c r="B14" s="10" t="inlineStr">
        <is>
          <t>Statuts et règlement intérieur : épargne, personnel, organes</t>
        </is>
      </c>
      <c r="C14" s="10" t="inlineStr">
        <is>
          <t>23</t>
        </is>
      </c>
      <c r="D14" s="10" t="inlineStr">
        <is>
          <t>statuts et règlement intérieur du FPPN édités le 15/06/2023, articles cités ; décrets n° 2017-210 et n° 2012-652 ; application non testée sauf mention</t>
        </is>
      </c>
    </row>
    <row r="15">
      <c r="A15" s="9" t="inlineStr">
        <is>
          <t>Partie 1</t>
        </is>
      </c>
      <c r="B15" s="12" t="inlineStr">
        <is>
          <t>Garanties et produits</t>
        </is>
      </c>
      <c r="C15" s="12" t="inlineStr">
        <is>
          <t>24</t>
        </is>
      </c>
      <c r="D15" s="12" t="inlineStr">
        <is>
          <t>montants précomptés par poste dans les fichiers retour de la Solde et de la CGRAE, mois reçus entre 2023 et septembre 2026 selon le poste (diapositive « Couverture de la période »)</t>
        </is>
      </c>
    </row>
    <row r="16">
      <c r="A16" s="9" t="inlineStr">
        <is>
          <t>Partie 1</t>
        </is>
      </c>
      <c r="B16" s="10" t="inlineStr">
        <is>
          <t>Circuit des fichiers par produit</t>
        </is>
      </c>
      <c r="C16" s="10" t="inlineStr">
        <is>
          <t>26</t>
        </is>
      </c>
      <c r="D16" s="10" t="inlineStr">
        <is>
          <t>circuit déclaré par le responsable des cotisations le 19/10/2026 ; non confirmé par une procédure écrite</t>
        </is>
      </c>
    </row>
    <row r="17">
      <c r="A17" s="9" t="inlineStr">
        <is>
          <t>Partie 1</t>
        </is>
      </c>
      <c r="B17" s="12" t="inlineStr">
        <is>
          <t>Flux financiers 2025</t>
        </is>
      </c>
      <c r="C17" s="12" t="inlineStr">
        <is>
          <t>27</t>
        </is>
      </c>
      <c r="D17" s="12" t="inlineStr">
        <is>
          <t>exercice 2025, classes 6 et 7 de « BALANCE FPPN 2025.xlsx » ; flux d'épargne et du Grenier exclus du résultat</t>
        </is>
      </c>
    </row>
    <row r="18">
      <c r="A18" s="9" t="inlineStr">
        <is>
          <t>Partie 1</t>
        </is>
      </c>
      <c r="B18" s="10" t="inlineStr">
        <is>
          <t>Notions de base</t>
        </is>
      </c>
      <c r="C18" s="10" t="inlineStr">
        <is>
          <t>28</t>
        </is>
      </c>
      <c r="D18" s="10" t="inlineStr">
        <is>
          <t>définitions de la Décision n° 05/2022 (annexe) et du règlement d'exécution n° 004/2022 ; sans chiffre propre au FPPN</t>
        </is>
      </c>
    </row>
    <row r="19">
      <c r="A19" s="9" t="inlineStr">
        <is>
          <t>Partie 2</t>
        </is>
      </c>
      <c r="B19" s="12" t="inlineStr">
        <is>
          <t>Mission et périmètre</t>
        </is>
      </c>
      <c r="C19" s="12" t="inlineStr">
        <is>
          <t>30</t>
        </is>
      </c>
      <c r="D19" s="12" t="inlineStr">
        <is>
          <t>périmètre fixé par le dossier de préparation du 13/10/2026 et la demande de M. Wabi ; période du 01/01/2020 au 31/08/2026</t>
        </is>
      </c>
    </row>
    <row r="20">
      <c r="A20" s="9" t="inlineStr">
        <is>
          <t>Partie 2</t>
        </is>
      </c>
      <c r="B20" s="10" t="inlineStr">
        <is>
          <t>Périmètre et validité des analyses</t>
        </is>
      </c>
      <c r="C20" s="10" t="inlineStr">
        <is>
          <t>31</t>
        </is>
      </c>
      <c r="D20" s="10" t="inlineStr">
        <is>
          <t>les familles d'analyses du rapport, sur les documents reçus jusqu'au 22/10/2026</t>
        </is>
      </c>
    </row>
    <row r="21">
      <c r="A21" s="9" t="inlineStr">
        <is>
          <t>Partie 2</t>
        </is>
      </c>
      <c r="B21" s="12" t="inlineStr">
        <is>
          <t>Documents reçus le 22/10/2026</t>
        </is>
      </c>
      <c r="C21" s="12" t="inlineStr">
        <is>
          <t>32</t>
        </is>
      </c>
      <c r="D21" s="12" t="inlineStr">
        <is>
          <t>fichiers reçus le 22/10/2026 dans les dossiers transmis par le FPPN ; les documents reçus le 15/10/2026 et le 18/10/2026 sont décrits en partie 2 et en partie 3</t>
        </is>
      </c>
    </row>
    <row r="22">
      <c r="A22" s="9" t="inlineStr">
        <is>
          <t>Partie 3</t>
        </is>
      </c>
      <c r="B22" s="10" t="inlineStr">
        <is>
          <t>Couverture de la période</t>
        </is>
      </c>
      <c r="C22" s="10" t="inlineStr">
        <is>
          <t>36</t>
        </is>
      </c>
      <c r="D22" s="10" t="inlineStr">
        <is>
          <t>fichiers de précomptes reçus le 15/10/2026, par poste et par mois, de janvier 2020 à août 2026 (80 mois) ; un mois est « reçu » si au moins un fichier lisible le couvre</t>
        </is>
      </c>
    </row>
    <row r="23">
      <c r="A23" s="9" t="inlineStr">
        <is>
          <t>Partie 3</t>
        </is>
      </c>
      <c r="B23" s="12" t="inlineStr">
        <is>
          <t>Rapprochement aller et retour</t>
        </is>
      </c>
      <c r="C23" s="12" t="inlineStr">
        <is>
          <t>39</t>
        </is>
      </c>
      <c r="D23" s="12" t="inlineStr">
        <is>
          <t>mois pour lesquels le fichier aller et le fichier retour d'un même poste sont tous deux reçus ; montants totaux du mois, sans rapprochement agent par agent</t>
        </is>
      </c>
    </row>
    <row r="24">
      <c r="A24" s="9" t="inlineStr">
        <is>
          <t>Partie 3</t>
        </is>
      </c>
      <c r="B24" s="10" t="inlineStr">
        <is>
          <t>Fichiers vides ou endommagés</t>
        </is>
      </c>
      <c r="C24" s="10" t="inlineStr">
        <is>
          <t>41</t>
        </is>
      </c>
      <c r="D24" s="10" t="inlineStr">
        <is>
          <t>fichiers reçus le 15/10/2026 et le 22/10/2026 dont la lecture a échoué ou qui ne contiennent aucune ligne de données ; liste arrêtée au 22/10/2026</t>
        </is>
      </c>
    </row>
    <row r="25">
      <c r="A25" s="9" t="inlineStr">
        <is>
          <t>Partie 3</t>
        </is>
      </c>
      <c r="B25" s="12" t="inlineStr">
        <is>
          <t>Contrôle croisé : états financiers et balances</t>
        </is>
      </c>
      <c r="C25" s="12" t="inlineStr">
        <is>
          <t>43</t>
        </is>
      </c>
      <c r="D25" s="12" t="inlineStr">
        <is>
          <t>exercices 2020 à 2025 et situation au 31/08/2026, totaux du bilan et résultat ; les rubriques détaillées n'ont pas été comparées</t>
        </is>
      </c>
    </row>
    <row r="26">
      <c r="A26" s="9" t="inlineStr">
        <is>
          <t>Partie 3</t>
        </is>
      </c>
      <c r="B26" s="10" t="inlineStr">
        <is>
          <t>Contrôle croisé : effectifs du FPPN et fichiers de la Solde</t>
        </is>
      </c>
      <c r="C26" s="10" t="inlineStr">
        <is>
          <t>44</t>
        </is>
      </c>
      <c r="D26" s="10" t="inlineStr">
        <is>
          <t>mois cités, policiers précomptés par la Solde (8Z6 et 936) ; les mois de 2024 sans fichier 8Z6 ne sont pas couverts</t>
        </is>
      </c>
    </row>
    <row r="27">
      <c r="A27" s="9" t="inlineStr">
        <is>
          <t>Partie 3</t>
        </is>
      </c>
      <c r="B27" s="12" t="inlineStr">
        <is>
          <t>Contrôle croisé : rapprochements bancaires</t>
        </is>
      </c>
      <c r="C27" s="12" t="inlineStr">
        <is>
          <t>45</t>
        </is>
      </c>
      <c r="D27" s="12" t="inlineStr">
        <is>
          <t>comptes bancaires présents dans les états de rapprochement (BOA, Banque Atlantique, Orabank), au 31/12 de 2020 à 2025 ; les DAT, le FCP et la caisse ne sont pas couverts</t>
        </is>
      </c>
    </row>
    <row r="28">
      <c r="A28" s="9" t="inlineStr">
        <is>
          <t>Partie 4</t>
        </is>
      </c>
      <c r="B28" s="10" t="inlineStr">
        <is>
          <t>Effectifs cotisants</t>
        </is>
      </c>
      <c r="C28" s="10" t="inlineStr">
        <is>
          <t>48</t>
        </is>
      </c>
      <c r="D28" s="10" t="inlineStr">
        <is>
          <t>agents précomptés chaque mois dans les fichiers retour du poste 936 (dossier « FPPN-SOLDE\EFFECTIF POLICE (MALADIE) »), janvier 2024 à septembre 2026 ; décembre 2024 vide ; hors retraités et civils de la Direction Générale</t>
        </is>
      </c>
    </row>
    <row r="29">
      <c r="A29" s="9" t="inlineStr">
        <is>
          <t>Partie 4</t>
        </is>
      </c>
      <c r="B29" s="12" t="inlineStr">
        <is>
          <t>Entrées et sorties</t>
        </is>
      </c>
      <c r="C29" s="12" t="inlineStr">
        <is>
          <t>49</t>
        </is>
      </c>
      <c r="D29" s="12" t="inlineStr">
        <is>
          <t>matricules présents un mois et absents le suivant (ou l'inverse) dans les fichiers retour du poste 936 (dossier « FPPN-SOLDE\EFFECTIF POLICE (MALADIE) »), janvier 2024 à septembre 2026 ; ne distingue pas retraite, décès et radiation</t>
        </is>
      </c>
    </row>
    <row r="30">
      <c r="A30" s="9" t="inlineStr">
        <is>
          <t>Partie 4</t>
        </is>
      </c>
      <c r="B30" s="10" t="inlineStr">
        <is>
          <t>Structure des effectifs</t>
        </is>
      </c>
      <c r="C30" s="10" t="inlineStr">
        <is>
          <t>50</t>
        </is>
      </c>
      <c r="D30" s="10" t="inlineStr">
        <is>
          <t>ancienneté de service calculée sur la date d'entrée des fichiers retour du poste 936 (dossier « FPPN-SOLDE\EFFECTIF POLICE (MALADIE) ») de janvier 2025 ; âge non disponible</t>
        </is>
      </c>
    </row>
    <row r="31">
      <c r="A31" s="9" t="inlineStr">
        <is>
          <t>Partie 4</t>
        </is>
      </c>
      <c r="B31" s="12" t="inlineStr">
        <is>
          <t>Taux de cotisation</t>
        </is>
      </c>
      <c r="C31" s="12" t="inlineStr">
        <is>
          <t>52</t>
        </is>
      </c>
      <c r="D31" s="12" t="inlineStr">
        <is>
          <t>taux maladie : colonne du salaire de base des fichiers retour du poste 936 (dossier « FPPN-SOLDE\EFFECTIF POLICE (MALADIE) ») (huit mois détaillés) ; taux décès : fichiers retour du poste 8Z6 (dossier « FPPN-SOLDE\ALLOCATION DECES ») rapportés au 936 de mars 2024 à septembre 2026</t>
        </is>
      </c>
    </row>
    <row r="32">
      <c r="A32" s="9" t="inlineStr">
        <is>
          <t>Partie 4</t>
        </is>
      </c>
      <c r="B32" s="10" t="inlineStr">
        <is>
          <t>Sensibilité : clé de répartition</t>
        </is>
      </c>
      <c r="C32" s="10" t="inlineStr">
        <is>
          <t>53</t>
        </is>
      </c>
      <c r="D32" s="10" t="inlineStr">
        <is>
          <t>exercice 2025 ; cotisations des comptes 7010 et 7021 de « BALANCE FPPN 2025.xlsx » réparties entre maladie et décès selon la clé testée</t>
        </is>
      </c>
    </row>
    <row r="33">
      <c r="A33" s="9" t="inlineStr">
        <is>
          <t>Partie 4</t>
        </is>
      </c>
      <c r="B33" s="12" t="inlineStr">
        <is>
          <t>Cotisations en termes réels</t>
        </is>
      </c>
      <c r="C33" s="12" t="inlineStr">
        <is>
          <t>54</t>
        </is>
      </c>
      <c r="D33" s="12" t="inlineStr">
        <is>
          <t>cotisations des comptes 7010 et 7021 des balances « BALANCE FORMAT EXCEL DE 09-2020 AU 31-12-2020.xlsx » à « BALANCE FPPN DU 01-01-2026 AU 31-08-2026.xlsx », 2020 à 2025 ; inflation de la Banque mondiale (FP.CPI.TOTL.ZG, Côte d'Ivoire), francs de 2020</t>
        </is>
      </c>
    </row>
    <row r="34">
      <c r="A34" s="9" t="inlineStr">
        <is>
          <t>Partie 4</t>
        </is>
      </c>
      <c r="B34" s="10" t="inlineStr">
        <is>
          <t>Cotisations comptabilisées</t>
        </is>
      </c>
      <c r="C34" s="10" t="inlineStr">
        <is>
          <t>55</t>
        </is>
      </c>
      <c r="D34" s="10" t="inlineStr">
        <is>
          <t>comptes 7010 (maladie) et 7021 (décès) des balances « BALANCE FORMAT EXCEL DE 09-2020 AU 31-12-2020.xlsx » à « BALANCE FPPN DU 01-01-2026 AU 31-08-2026.xlsx », 2020 à 2025 et du 01/01 au 31/08/2026 ; 2020 = à-nouveaux au 01/09/2020 plus mouvements du 01/09 au 31/12/2020</t>
        </is>
      </c>
    </row>
    <row r="35">
      <c r="A35" s="9" t="inlineStr">
        <is>
          <t>Partie 4</t>
        </is>
      </c>
      <c r="B35" s="12" t="inlineStr">
        <is>
          <t>Règles des produits</t>
        </is>
      </c>
      <c r="C35" s="12" t="inlineStr">
        <is>
          <t>56</t>
        </is>
      </c>
      <c r="D35" s="12" t="inlineStr">
        <is>
          <t>déclarations du 19/10/2026 confrontées aux montants des fichiers de précomptes reçus le 15/10/2026, postes 870, 998, 9X4, 9W3 et 8Z7, mois reçus</t>
        </is>
      </c>
    </row>
    <row r="36">
      <c r="A36" s="9" t="inlineStr">
        <is>
          <t>Partie 5</t>
        </is>
      </c>
      <c r="B36" s="10" t="inlineStr">
        <is>
          <t>Sinistralité comptable</t>
        </is>
      </c>
      <c r="C36" s="10" t="inlineStr">
        <is>
          <t>62</t>
        </is>
      </c>
      <c r="D36" s="10" t="inlineStr">
        <is>
          <t>comptes 601, 6013, 6018, 60800007, 6021 et 6024 (prestations) et 7010, 7021 (cotisations) des balances « BALANCE FORMAT EXCEL DE 09-2020 AU 31-12-2020.xlsx » à « BALANCE FPPN DU 01-01-2026 AU 31-08-2026.xlsx », 2020 à 2025 et du 01/01 au 31/08/2026 ; sans provisions ni sinistres tardifs</t>
        </is>
      </c>
    </row>
    <row r="37">
      <c r="A37" s="9" t="inlineStr">
        <is>
          <t>Partie 5</t>
        </is>
      </c>
      <c r="B37" s="12" t="inlineStr">
        <is>
          <t>Choix de la formule : sinistralité</t>
        </is>
      </c>
      <c r="C37" s="12" t="inlineStr">
        <is>
          <t>63</t>
        </is>
      </c>
      <c r="D37" s="12" t="inlineStr">
        <is>
          <t>formules de la Décision n° 05/2022 (annexe, § 1.1.1 et § 1.2.1.2.5) appliquées aux comptes de prestations (601 à 6024), de cotisations (7010, 7021) et de provisions (158) des balances « BALANCE FORMAT EXCEL DE 09-2020 AU 31-12-2020.xlsx » à « BALANCE FPPN DU 01-01-2026 AU 31-08-2026.xlsx »</t>
        </is>
      </c>
    </row>
    <row r="38">
      <c r="A38" s="9" t="inlineStr">
        <is>
          <t>Partie 5</t>
        </is>
      </c>
      <c r="B38" s="10" t="inlineStr">
        <is>
          <t>Sinistralité selon la formule</t>
        </is>
      </c>
      <c r="C38" s="10" t="inlineStr">
        <is>
          <t>64</t>
        </is>
      </c>
      <c r="D38" s="10" t="inlineStr">
        <is>
          <t>comptes de prestations, de cotisations (7010, 7021) et de provisions (158) des balances « BALANCE FORMAT EXCEL DE 09-2020 AU 31-12-2020.xlsx » à « BALANCE FPPN DU 01-01-2026 AU 31-08-2026.xlsx », 2020 à 2025 et du 01/01 au 31/08/2026 ; variation de provision nulle car les provisions ne bougent pas</t>
        </is>
      </c>
    </row>
    <row r="39">
      <c r="A39" s="9" t="inlineStr">
        <is>
          <t>Partie 5</t>
        </is>
      </c>
      <c r="B39" s="12" t="inlineStr">
        <is>
          <t>Méthode de sinistralité du FPPN</t>
        </is>
      </c>
      <c r="C39" s="12" t="inlineStr">
        <is>
          <t>65</t>
        </is>
      </c>
      <c r="D39" s="12" t="inlineStr">
        <is>
          <t>période du 01/01 au 30/06/2026 pour les taux du FPPN, du 01/01 au 31/08/2026 pour le taux réglementaire</t>
        </is>
      </c>
    </row>
    <row r="40">
      <c r="A40" s="9" t="inlineStr">
        <is>
          <t>Partie 5</t>
        </is>
      </c>
      <c r="B40" s="10" t="inlineStr">
        <is>
          <t>Sinistralité décès : le FPPN et les comptes</t>
        </is>
      </c>
      <c r="C40" s="10" t="inlineStr">
        <is>
          <t>66</t>
        </is>
      </c>
      <c r="D40" s="10" t="inlineStr">
        <is>
          <t>garantie décès-invalidité, exercices 2020 à 2025</t>
        </is>
      </c>
    </row>
    <row r="41">
      <c r="A41" s="9" t="inlineStr">
        <is>
          <t>Partie 5</t>
        </is>
      </c>
      <c r="B41" s="12" t="inlineStr">
        <is>
          <t>Mortalité brute des membres participants</t>
        </is>
      </c>
      <c r="C41" s="12" t="inlineStr">
        <is>
          <t>67</t>
        </is>
      </c>
      <c r="D41" s="12" t="inlineStr">
        <is>
          <t>membres participants recensés par le FPPN, années 2015 à 2025 ; ne vaut ni par âge, ni par grade, ni pour les ayants droit</t>
        </is>
      </c>
    </row>
    <row r="42">
      <c r="A42" s="9" t="inlineStr">
        <is>
          <t>Partie 5</t>
        </is>
      </c>
      <c r="B42" s="10" t="inlineStr">
        <is>
          <t>Nature des risques</t>
        </is>
      </c>
      <c r="C42" s="10" t="inlineStr">
        <is>
          <t>68</t>
        </is>
      </c>
      <c r="D42" s="10" t="inlineStr">
        <is>
          <t>garanties décrites par les statuts du 15/06/2023 et le règlement d'exécution n° 004/2022, art. 8 à 15 ; qualification sans chiffre</t>
        </is>
      </c>
    </row>
    <row r="43">
      <c r="A43" s="9" t="inlineStr">
        <is>
          <t>Partie 5</t>
        </is>
      </c>
      <c r="B43" s="12" t="inlineStr">
        <is>
          <t>Croissance des prestations</t>
        </is>
      </c>
      <c r="C43" s="12" t="inlineStr">
        <is>
          <t>69</t>
        </is>
      </c>
      <c r="D43" s="12" t="inlineStr">
        <is>
          <t>taux annuels moyens des comptes de prestations et de cotisations (7010, 7021) des balances « BALANCE FORMAT EXCEL DE 09-2020 AU 31-12-2020.xlsx » à « BALANCE FPPN DU 01-01-2026 AU 31-08-2026.xlsx » et des fichiers de précomptes ; périodes indiquées ligne par ligne</t>
        </is>
      </c>
    </row>
    <row r="44">
      <c r="A44" s="9" t="inlineStr">
        <is>
          <t>Partie 5</t>
        </is>
      </c>
      <c r="B44" s="10" t="inlineStr">
        <is>
          <t>Prestations maladie par nature</t>
        </is>
      </c>
      <c r="C44" s="10" t="inlineStr">
        <is>
          <t>70</t>
        </is>
      </c>
      <c r="D44" s="10" t="inlineStr">
        <is>
          <t>comptes 601, 6013, 6018 et 60800007 des balances « BALANCE FORMAT EXCEL DE 09-2020 AU 31-12-2020.xlsx » à « BALANCE FPPN DU 01-01-2026 AU 31-08-2026.xlsx », 2020 à 2025 et du 01/01 au 31/08/2026 ; nature telle que libellée par le FPPN</t>
        </is>
      </c>
    </row>
    <row r="45">
      <c r="A45" s="9" t="inlineStr">
        <is>
          <t>Partie 5</t>
        </is>
      </c>
      <c r="B45" s="12" t="inlineStr">
        <is>
          <t>Frais de gestion et résultat</t>
        </is>
      </c>
      <c r="C45" s="12" t="inlineStr">
        <is>
          <t>71</t>
        </is>
      </c>
      <c r="D45" s="12" t="inlineStr">
        <is>
          <t>comptes 61 à 66 hors 6518 (frais) et résultat net des balances « BALANCE FORMAT EXCEL DE 09-2020 AU 31-12-2020.xlsx » à « BALANCE FPPN DU 01-01-2026 AU 31-08-2026.xlsx », 2020 à 2025 et du 01/01 au 31/08/2026</t>
        </is>
      </c>
    </row>
    <row r="46">
      <c r="A46" s="9" t="inlineStr">
        <is>
          <t>Partie 5</t>
        </is>
      </c>
      <c r="B46" s="10" t="inlineStr">
        <is>
          <t>Choix de la formule : frais de gestion</t>
        </is>
      </c>
      <c r="C46" s="10" t="inlineStr">
        <is>
          <t>72</t>
        </is>
      </c>
      <c r="D46" s="10" t="inlineStr">
        <is>
          <t>formules de la Décision n° 05/2022 (annexe, tableau 1) appliquées aux comptes 61 à 66 hors 6518 et 7010, 7021 des balances « BALANCE FORMAT EXCEL DE 09-2020 AU 31-12-2020.xlsx » à « BALANCE FPPN DU 01-01-2026 AU 31-08-2026.xlsx »</t>
        </is>
      </c>
    </row>
    <row r="47">
      <c r="A47" s="9" t="inlineStr">
        <is>
          <t>Partie 6</t>
        </is>
      </c>
      <c r="B47" s="12" t="inlineStr">
        <is>
          <t>Adossement de l'épargne</t>
        </is>
      </c>
      <c r="C47" s="12" t="inlineStr">
        <is>
          <t>77</t>
        </is>
      </c>
      <c r="D47" s="12" t="inlineStr">
        <is>
          <t>comptes 41195100 et 41195200 (épargne) et comptes bancaires, DAT et FCP réservés à l'épargne des balances « BALANCE FORMAT EXCEL DE 09-2020 AU 31-12-2020.xlsx » à « BALANCE FPPN DU 01-01-2026 AU 31-08-2026.xlsx », au 31/12 de 2020 à 2025 et au 31/08/2026</t>
        </is>
      </c>
    </row>
    <row r="48">
      <c r="A48" s="9" t="inlineStr">
        <is>
          <t>Partie 6</t>
        </is>
      </c>
      <c r="B48" s="10" t="inlineStr">
        <is>
          <t>Versements d'épargne</t>
        </is>
      </c>
      <c r="C48" s="10" t="inlineStr">
        <is>
          <t>78</t>
        </is>
      </c>
      <c r="D48" s="10" t="inlineStr">
        <is>
          <t>versements des postes 998 (PEP) et 870 (EFC) dans les fichiers retour de la Solde, mois reçus de 2023 à 2026, comparés aux crédits des comptes 41195100 et 41195200</t>
        </is>
      </c>
    </row>
    <row r="49">
      <c r="A49" s="9" t="inlineStr">
        <is>
          <t>Partie 6</t>
        </is>
      </c>
      <c r="B49" s="12" t="inlineStr">
        <is>
          <t>Sensibilité : retraits d'épargne</t>
        </is>
      </c>
      <c r="C49" s="12" t="inlineStr">
        <is>
          <t>79</t>
        </is>
      </c>
      <c r="D49" s="12" t="inlineStr">
        <is>
          <t>épargne due et actifs à moins d'un an au 31/08/2026 (« BALANCE FPPN DU 01-01-2026 AU 31-08-2026.xlsx ») ; taux de retrait hypothétiques</t>
        </is>
      </c>
    </row>
    <row r="50">
      <c r="A50" s="9" t="inlineStr">
        <is>
          <t>Partie 6</t>
        </is>
      </c>
      <c r="B50" s="10" t="inlineStr">
        <is>
          <t>Poste 998 : autres références</t>
        </is>
      </c>
      <c r="C50" s="10" t="inlineStr">
        <is>
          <t>80</t>
        </is>
      </c>
      <c r="D50" s="10" t="inlineStr">
        <is>
          <t>références du poste 998 dans les fichiers retour « FPPN-SOLDE\PEP\FICHIER RETOUR », de 2020 à août 2026 ; 2001 à 2019 non retenus</t>
        </is>
      </c>
    </row>
    <row r="51">
      <c r="A51" s="9" t="inlineStr">
        <is>
          <t>Partie 6</t>
        </is>
      </c>
      <c r="B51" s="12" t="inlineStr">
        <is>
          <t>EFC et PEP : trois taux dans trois documents</t>
        </is>
      </c>
      <c r="C51" s="12" t="inlineStr">
        <is>
          <t>82</t>
        </is>
      </c>
      <c r="D51" s="12" t="inlineStr">
        <is>
          <t>documents du FPPN reçus le 22/10/2026 et entretien du 19/10/2026 ; le taux réellement appliqué aux mutualistes n'est pas connu</t>
        </is>
      </c>
    </row>
    <row r="52">
      <c r="A52" s="9" t="inlineStr">
        <is>
          <t>Partie 6</t>
        </is>
      </c>
      <c r="B52" s="10" t="inlineStr">
        <is>
          <t>Intérêts servis : aucune écriture dans les comptes</t>
        </is>
      </c>
      <c r="C52" s="10" t="inlineStr">
        <is>
          <t>83</t>
        </is>
      </c>
      <c r="D52" s="10" t="inlineStr">
        <is>
          <t>grand livre 2024 pour le détail des écritures ; balances de 2020 au 31/08/2026 pour l'absence de charge d'intérêts</t>
        </is>
      </c>
    </row>
    <row r="53">
      <c r="A53" s="9" t="inlineStr">
        <is>
          <t>Partie 6</t>
        </is>
      </c>
      <c r="B53" s="12" t="inlineStr">
        <is>
          <t>Sensibilité : intérêts annuels dus sur l'EFC</t>
        </is>
      </c>
      <c r="C53" s="12" t="inlineStr">
        <is>
          <t>84</t>
        </is>
      </c>
      <c r="D53" s="12" t="inlineStr">
        <is>
          <t>encours EFC comptable au 31/12 de 2020 à 2025 et au 31/08/2026, une année d'intérêts, sans projection ni capitalisation</t>
        </is>
      </c>
    </row>
    <row r="54">
      <c r="A54" s="9" t="inlineStr">
        <is>
          <t>Partie 6</t>
        </is>
      </c>
      <c r="B54" s="10" t="inlineStr">
        <is>
          <t>Épargne : intérêts dus non comptabilisés</t>
        </is>
      </c>
      <c r="C54" s="10" t="inlineStr">
        <is>
          <t>85</t>
        </is>
      </c>
      <c r="D54" s="10" t="inlineStr">
        <is>
          <t>soldes des comptes 41195100 (PEP) et 41195200 (EFC) du 01/09/2020 au 31/08/2026 (balances 2020 à 2025 et provisoire 2026), 2020 approché par les soldes du 01/09 et du 31/12 ; taux du manuel d'épargne ; intérêts antérieurs au 01/01/2020 et capitalisation non comptés</t>
        </is>
      </c>
    </row>
    <row r="55">
      <c r="A55" s="9" t="inlineStr">
        <is>
          <t>Partie 6</t>
        </is>
      </c>
      <c r="B55" s="12" t="inlineStr">
        <is>
          <t>Rapport de gestion 2025 : l'épargne présentée est la collecte de l'année</t>
        </is>
      </c>
      <c r="C55" s="12" t="inlineStr">
        <is>
          <t>86</t>
        </is>
      </c>
      <c r="D55" s="12" t="inlineStr">
        <is>
          <t>exercice 2025 ; les rapports de gestion des autres années n'ont pas été contrôlés sur ce point</t>
        </is>
      </c>
    </row>
    <row r="56">
      <c r="A56" s="9" t="inlineStr">
        <is>
          <t>Partie 7</t>
        </is>
      </c>
      <c r="B56" s="10" t="inlineStr">
        <is>
          <t>Encours du Grenier</t>
        </is>
      </c>
      <c r="C56" s="10" t="inlineStr">
        <is>
          <t>89</t>
        </is>
      </c>
      <c r="D56" s="10" t="inlineStr">
        <is>
          <t>encours des exports « BalanceAgeeDetaille … .xls » du logiciel de prêts du Grenier aux arrêtés du 31/12/2021 au 31/12/2025 et mensuels de 2026 ; financement : compte 47111102 des balances « BALANCE FORMAT EXCEL DE 09-2020 AU 31-12-2020.xlsx » à « BALANCE FPPN DU 01-01-2026 AU 31-08-2026.xlsx »</t>
        </is>
      </c>
    </row>
    <row r="57">
      <c r="A57" s="9" t="inlineStr">
        <is>
          <t>Partie 7</t>
        </is>
      </c>
      <c r="B57" s="12" t="inlineStr">
        <is>
          <t>Production de prêts</t>
        </is>
      </c>
      <c r="C57" s="12" t="inlineStr">
        <is>
          <t>90</t>
        </is>
      </c>
      <c r="D57" s="12" t="inlineStr">
        <is>
          <t>montants débloqués des exports « production_de_la_periode … .xls » du logiciel de prêts du Grenier, 2021 à septembre 2026, par type de crédit ; prêts non rapprochés des contrats</t>
        </is>
      </c>
    </row>
    <row r="58">
      <c r="A58" s="9" t="inlineStr">
        <is>
          <t>Partie 7</t>
        </is>
      </c>
      <c r="B58" s="10" t="inlineStr">
        <is>
          <t>Retards de remboursement</t>
        </is>
      </c>
      <c r="C58" s="10" t="inlineStr">
        <is>
          <t>91</t>
        </is>
      </c>
      <c r="D58" s="10" t="inlineStr">
        <is>
          <t>colonne « retard » des exports « BalanceAgeeDetaille … .xls » du logiciel de prêts du Grenier, arrêtés du 31/12/2021 au 31/08/2026 ; retard compté sur l'échéance la plus ancienne impayée</t>
        </is>
      </c>
    </row>
    <row r="59">
      <c r="A59" s="9" t="inlineStr">
        <is>
          <t>Partie 7</t>
        </is>
      </c>
      <c r="B59" s="12" t="inlineStr">
        <is>
          <t>Échéances et précomptes</t>
        </is>
      </c>
      <c r="C59" s="12" t="inlineStr">
        <is>
          <t>93</t>
        </is>
      </c>
      <c r="D59" s="12" t="inlineStr">
        <is>
          <t>échéances des prêts en cours des exports « BalanceAgeeDetaille … .xls » du logiciel de prêts du Grenier et précomptes du poste 9X4 (« FPPN-SOLDE\GRENIER\FICHIER ALLER RETOUR »), mois de 2026 reçus</t>
        </is>
      </c>
    </row>
    <row r="60">
      <c r="A60" s="9" t="inlineStr">
        <is>
          <t>Partie 7</t>
        </is>
      </c>
      <c r="B60" s="10" t="inlineStr">
        <is>
          <t>Sensibilité : pertes sur prêts</t>
        </is>
      </c>
      <c r="C60" s="10" t="inlineStr">
        <is>
          <t>94</t>
        </is>
      </c>
      <c r="D60" s="10" t="inlineStr">
        <is>
          <t>encours au 31/08/2026 des exports « BalanceAgeeDetaille … .xls » du logiciel de prêts du Grenier ; taux de perte hypothétiques (la politique de crédit est appliquée en partie 9)</t>
        </is>
      </c>
    </row>
    <row r="61">
      <c r="A61" s="9" t="inlineStr">
        <is>
          <t>Partie 8</t>
        </is>
      </c>
      <c r="B61" s="12" t="inlineStr">
        <is>
          <t>Retraités CGRAE</t>
        </is>
      </c>
      <c r="C61" s="12" t="inlineStr">
        <is>
          <t>97</t>
        </is>
      </c>
      <c r="D61" s="12" t="inlineStr">
        <is>
          <t>retraités précomptés dans les fichiers retour de la CGRAE (dossier « FPPN-CGRAE\PRECOMTES\FICHIER RETOUR (CGRAE) »), février 2024 à septembre 2026 ; ne couvre pas les retraités sans quotité cessible</t>
        </is>
      </c>
    </row>
    <row r="62">
      <c r="A62" s="9" t="inlineStr">
        <is>
          <t>Partie 8</t>
        </is>
      </c>
      <c r="B62" s="10" t="inlineStr">
        <is>
          <t>Convention IPS-CGRAE : santé des policiers retraités</t>
        </is>
      </c>
      <c r="C62" s="10" t="inlineStr">
        <is>
          <t>98</t>
        </is>
      </c>
      <c r="D62" s="10" t="inlineStr">
        <is>
          <t>texte de la convention reçu le 22/10/2026 ; son application (nombre de retraités, montants précomptés) est mesurée en partie 8 de février 2024 à septembre 2026</t>
        </is>
      </c>
    </row>
    <row r="63">
      <c r="A63" s="9" t="inlineStr">
        <is>
          <t>Partie 8</t>
        </is>
      </c>
      <c r="B63" s="12" t="inlineStr">
        <is>
          <t>Santé des retraités : ce que l'on peut mesurer</t>
        </is>
      </c>
      <c r="C63" s="12" t="inlineStr">
        <is>
          <t>99</t>
        </is>
      </c>
      <c r="D63" s="12" t="inlineStr">
        <is>
          <t>fichiers retour de la CGRAE reçus le 15/10/2026, févr. 24 à août 26 (un mois sur quatre affiché, tous les mois dans le classeur) ; ne couvre pas les retraités non précomptés</t>
        </is>
      </c>
    </row>
    <row r="64">
      <c r="A64" s="9" t="inlineStr">
        <is>
          <t>Partie 8</t>
        </is>
      </c>
      <c r="B64" s="10" t="inlineStr">
        <is>
          <t>Produits annexes</t>
        </is>
      </c>
      <c r="C64" s="10" t="inlineStr">
        <is>
          <t>100</t>
        </is>
      </c>
      <c r="D64" s="10" t="inlineStr">
        <is>
          <t>postes 9W3 (GNA) et 8Z7 (MEDOC) des fichiers « FPPN-GNA » et « FPPN-SOLDE\MEDOC », mois reçus de 2023 à 2026 ; compte 71800000 des balances « BALANCE FORMAT EXCEL DE 09-2020 AU 31-12-2020.xlsx » à « BALANCE FPPN DU 01-01-2026 AU 31-08-2026.xlsx »</t>
        </is>
      </c>
    </row>
    <row r="65">
      <c r="A65" s="9" t="inlineStr">
        <is>
          <t>Partie 9</t>
        </is>
      </c>
      <c r="B65" s="12" t="inlineStr">
        <is>
          <t>Provisions techniques</t>
        </is>
      </c>
      <c r="C65" s="12" t="inlineStr">
        <is>
          <t>104</t>
        </is>
      </c>
      <c r="D65" s="12" t="inlineStr">
        <is>
          <t>comptes 15801 et 15802 (19011 et 19012 avant leur reclassement) des balances « BALANCE FORMAT EXCEL DE 09-2020 AU 31-12-2020.xlsx » à « BALANCE FPPN DU 01-01-2026 AU 31-08-2026.xlsx », rapportés aux prestations de l'année ; 2026 sur huit mois</t>
        </is>
      </c>
    </row>
    <row r="66">
      <c r="A66" s="9" t="inlineStr">
        <is>
          <t>Partie 9</t>
        </is>
      </c>
      <c r="B66" s="10" t="inlineStr">
        <is>
          <t>Provisions attendues par produit</t>
        </is>
      </c>
      <c r="C66" s="10" t="inlineStr">
        <is>
          <t>105</t>
        </is>
      </c>
      <c r="D66" s="10" t="inlineStr">
        <is>
          <t>provisions au 31/12/2025 des comptes 158 et 196 de « BALANCE FPPN 2025.xlsx » ; besoins mesurés dans les diapositives suivantes de la partie 9</t>
        </is>
      </c>
    </row>
    <row r="67">
      <c r="A67" s="9" t="inlineStr">
        <is>
          <t>Partie 9</t>
        </is>
      </c>
      <c r="B67" s="12" t="inlineStr">
        <is>
          <t>PSAP et dettes envers les cliniques</t>
        </is>
      </c>
      <c r="C67" s="12" t="inlineStr">
        <is>
          <t>106</t>
        </is>
      </c>
      <c r="D67" s="12" t="inlineStr">
        <is>
          <t>compte 15801000 et compte 40110000 (dettes envers les cliniques) des balances « BALANCE FORMAT EXCEL DE 09-2020 AU 31-12-2020.xlsx » à « BALANCE FPPN DU 01-01-2026 AU 31-08-2026.xlsx », au 31/12 de 2020 à 2025 et au 31/08/2026</t>
        </is>
      </c>
    </row>
    <row r="68">
      <c r="A68" s="9" t="inlineStr">
        <is>
          <t>Partie 9</t>
        </is>
      </c>
      <c r="B68" s="10" t="inlineStr">
        <is>
          <t>Provision maladie : délais de paiement des cliniques</t>
        </is>
      </c>
      <c r="C68" s="10" t="inlineStr">
        <is>
          <t>107</t>
        </is>
      </c>
      <c r="D68" s="10" t="inlineStr">
        <is>
          <t>factures de cliniques enregistrées au compte 40110000, exercices 2020 à 2025 et du 01/01 au 31/08/2026 ; ne couvre pas les remboursements aux mutualistes ni les bons payés hors de ce compte</t>
        </is>
      </c>
    </row>
    <row r="69">
      <c r="A69" s="9" t="inlineStr">
        <is>
          <t>Partie 9</t>
        </is>
      </c>
      <c r="B69" s="12" t="inlineStr">
        <is>
          <t>Provision maladie : factures arrivées en retard</t>
        </is>
      </c>
      <c r="C69" s="12" t="inlineStr">
        <is>
          <t>108</t>
        </is>
      </c>
      <c r="D69" s="12" t="inlineStr">
        <is>
          <t>factures de cliniques enregistrées au journal SIN en 2023, 2024 et 2025, dont l'année figure dans le numéro ; ne couvre pas les factures sans année lisible</t>
        </is>
      </c>
    </row>
    <row r="70">
      <c r="A70" s="9" t="inlineStr">
        <is>
          <t>Partie 9</t>
        </is>
      </c>
      <c r="B70" s="10" t="inlineStr">
        <is>
          <t>Provision maladie : montant nécessaire</t>
        </is>
      </c>
      <c r="C70" s="10" t="inlineStr">
        <is>
          <t>109</t>
        </is>
      </c>
      <c r="D70" s="10" t="inlineStr">
        <is>
          <t>clôtures 2022, 2023 et 2024 ; prestations maladie des balances ; factures de cliniques du journal SIN</t>
        </is>
      </c>
    </row>
    <row r="71">
      <c r="A71" s="9" t="inlineStr">
        <is>
          <t>Partie 9</t>
        </is>
      </c>
      <c r="B71" s="12" t="inlineStr">
        <is>
          <t>Allocations décès : états de fin d'année et compte 41591000</t>
        </is>
      </c>
      <c r="C71" s="12" t="inlineStr">
        <is>
          <t>111</t>
        </is>
      </c>
      <c r="D71" s="12" t="inlineStr">
        <is>
          <t>états de fin d'année 2021 à 2025 tels que reçus le 22/10/2026 ; crédits du compte 41591000 des balances 2021 à 2025</t>
        </is>
      </c>
    </row>
    <row r="72">
      <c r="A72" s="9" t="inlineStr">
        <is>
          <t>Partie 9</t>
        </is>
      </c>
      <c r="B72" s="10" t="inlineStr">
        <is>
          <t>Allocations décès : dette réelle et provision obsèques</t>
        </is>
      </c>
      <c r="C72" s="10" t="inlineStr">
        <is>
          <t>112</t>
        </is>
      </c>
      <c r="D72" s="10" t="inlineStr">
        <is>
          <t>comptes 41591000, 41592000, 19012000 et 15802000, exercices 2021 à 2025 et du 01/01 au 31/08/2026 (provisoire) ; paiements par banque d'après le grand livre 2024 seulement</t>
        </is>
      </c>
    </row>
    <row r="73">
      <c r="A73" s="9" t="inlineStr">
        <is>
          <t>Partie 9</t>
        </is>
      </c>
      <c r="B73" s="12" t="inlineStr">
        <is>
          <t>Allocations décès : décès connus après la clôture</t>
        </is>
      </c>
      <c r="C73" s="12" t="inlineStr">
        <is>
          <t>113</t>
        </is>
      </c>
      <c r="D73" s="12" t="inlineStr">
        <is>
          <t>états de fin d'année 2021 et 2023, seuls à porter la date d'enregistrement ; dossiers de membres et d'ayants droit valorisés</t>
        </is>
      </c>
    </row>
    <row r="74">
      <c r="A74" s="9" t="inlineStr">
        <is>
          <t>Partie 9</t>
        </is>
      </c>
      <c r="B74" s="10" t="inlineStr">
        <is>
          <t>Provision pour risques courts</t>
        </is>
      </c>
      <c r="C74" s="10" t="inlineStr">
        <is>
          <t>114</t>
        </is>
      </c>
      <c r="D74" s="10" t="inlineStr">
        <is>
          <t>cotisations maladie et décès précomptées par la Solde (postes 936 et 8Z6, janvier 2024 à septembre 2026) et par la CGRAE (février 2024 à septembre 2026)</t>
        </is>
      </c>
    </row>
    <row r="75">
      <c r="A75" s="9" t="inlineStr">
        <is>
          <t>Partie 9</t>
        </is>
      </c>
      <c r="B75" s="12" t="inlineStr">
        <is>
          <t>Prêts du Grenier : dépréciation selon la politique de crédit</t>
        </is>
      </c>
      <c r="C75" s="12" t="inlineStr">
        <is>
          <t>115</t>
        </is>
      </c>
      <c r="D75" s="12" t="inlineStr">
        <is>
          <t>prêts du Grenier aux arrêtés du 31/12/2025 et du 31/08/2026, tranches de retard du logiciel de prêts</t>
        </is>
      </c>
    </row>
    <row r="76">
      <c r="A76" s="9" t="inlineStr">
        <is>
          <t>Partie 9</t>
        </is>
      </c>
      <c r="B76" s="10" t="inlineStr">
        <is>
          <t>Flotte automobile : risque porté par GNA</t>
        </is>
      </c>
      <c r="C76" s="10" t="inlineStr">
        <is>
          <t>116</t>
        </is>
      </c>
      <c r="D76" s="10" t="inlineStr">
        <is>
          <t>compte 47111106 (GNA) et compte 71800000 des balances 2023 à 2026 ; précomptes 9W3 de 2024 ; convention avec GNA non reçue</t>
        </is>
      </c>
    </row>
    <row r="77">
      <c r="A77" s="9" t="inlineStr">
        <is>
          <t>Partie 9</t>
        </is>
      </c>
      <c r="B77" s="12" t="inlineStr">
        <is>
          <t>Départ à la retraite du personnel</t>
        </is>
      </c>
      <c r="C77" s="12" t="inlineStr">
        <is>
          <t>117</t>
        </is>
      </c>
      <c r="D77" s="12" t="inlineStr">
        <is>
          <t>comptes 196, 6911 et 7911 des balances « BALANCE FORMAT EXCEL DE 09-2020 AU 31-12-2020.xlsx » à « BALANCE FPPN DU 01-01-2026 AU 31-08-2026.xlsx », exercices 2020 à 2025</t>
        </is>
      </c>
    </row>
    <row r="78">
      <c r="A78" s="9" t="inlineStr">
        <is>
          <t>Partie 9</t>
        </is>
      </c>
      <c r="B78" s="10" t="inlineStr">
        <is>
          <t>Provision du personnel : méthode et paramètres</t>
        </is>
      </c>
      <c r="C78" s="10" t="inlineStr">
        <is>
          <t>118</t>
        </is>
      </c>
      <c r="D78" s="10" t="inlineStr">
        <is>
          <t>personnel civil déclaré à la CNPS (DISA), hors travailleurs occasionnels et fonctionnaires de police détachés, évaluation au 31/12</t>
        </is>
      </c>
    </row>
    <row r="79">
      <c r="A79" s="9" t="inlineStr">
        <is>
          <t>Partie 9</t>
        </is>
      </c>
      <c r="B79" s="12" t="inlineStr">
        <is>
          <t>Provision du personnel par entité de 2021 à 2025</t>
        </is>
      </c>
      <c r="C79" s="12" t="inlineStr">
        <is>
          <t>119</t>
        </is>
      </c>
      <c r="D79" s="12" t="inlineStr">
        <is>
          <t>agents des DISA 2021, 2022, 2023 et 2025 (« DISA_256927_&lt;année&gt;.xls »), au 31/12 de chaque année ; 2024 non calculé (DISA scannée) ; hors policiers détachés</t>
        </is>
      </c>
    </row>
    <row r="80">
      <c r="A80" s="9" t="inlineStr">
        <is>
          <t>Partie 9</t>
        </is>
      </c>
      <c r="B80" s="10" t="inlineStr">
        <is>
          <t>Provision du personnel agent par agent : Direction Générale (1/2)</t>
        </is>
      </c>
      <c r="C80" s="10" t="inlineStr">
        <is>
          <t>120</t>
        </is>
      </c>
      <c r="D80" s="10" t="inlineStr">
        <is>
          <t>agents déclarés dans la DISA 2025, évaluation au 31/12/2025 ; paramètres de l'onglet 14a</t>
        </is>
      </c>
    </row>
    <row r="81">
      <c r="A81" s="9" t="inlineStr">
        <is>
          <t>Partie 9</t>
        </is>
      </c>
      <c r="B81" s="12" t="inlineStr">
        <is>
          <t>Provision du personnel agent par agent : Direction Générale (2/2)</t>
        </is>
      </c>
      <c r="C81" s="12" t="inlineStr">
        <is>
          <t>121</t>
        </is>
      </c>
      <c r="D81" s="12" t="inlineStr">
        <is>
          <t>agents déclarés dans la DISA 2025, évaluation au 31/12/2025 ; paramètres de l'onglet 14a</t>
        </is>
      </c>
    </row>
    <row r="82">
      <c r="A82" s="9" t="inlineStr">
        <is>
          <t>Partie 9</t>
        </is>
      </c>
      <c r="B82" s="10" t="inlineStr">
        <is>
          <t>Provision du personnel agent par agent : CMP (1/3)</t>
        </is>
      </c>
      <c r="C82" s="10" t="inlineStr">
        <is>
          <t>122</t>
        </is>
      </c>
      <c r="D82" s="10" t="inlineStr">
        <is>
          <t>agents déclarés dans la DISA 2025, évaluation au 31/12/2025 ; paramètres de l'onglet 14a</t>
        </is>
      </c>
    </row>
    <row r="83">
      <c r="A83" s="9" t="inlineStr">
        <is>
          <t>Partie 9</t>
        </is>
      </c>
      <c r="B83" s="12" t="inlineStr">
        <is>
          <t>Provision du personnel agent par agent : CMP (2/3)</t>
        </is>
      </c>
      <c r="C83" s="12" t="inlineStr">
        <is>
          <t>123</t>
        </is>
      </c>
      <c r="D83" s="12" t="inlineStr">
        <is>
          <t>agents déclarés dans la DISA 2025, évaluation au 31/12/2025 ; paramètres de l'onglet 14a</t>
        </is>
      </c>
    </row>
    <row r="84">
      <c r="A84" s="9" t="inlineStr">
        <is>
          <t>Partie 9</t>
        </is>
      </c>
      <c r="B84" s="10" t="inlineStr">
        <is>
          <t>Provision du personnel agent par agent : CMP (3/3)</t>
        </is>
      </c>
      <c r="C84" s="10" t="inlineStr">
        <is>
          <t>124</t>
        </is>
      </c>
      <c r="D84" s="10" t="inlineStr">
        <is>
          <t>agents déclarés dans la DISA 2025, évaluation au 31/12/2025 ; paramètres de l'onglet 14a</t>
        </is>
      </c>
    </row>
    <row r="85">
      <c r="A85" s="9" t="inlineStr">
        <is>
          <t>Partie 9</t>
        </is>
      </c>
      <c r="B85" s="12" t="inlineStr">
        <is>
          <t>Provision du personnel agent par agent : Grenier</t>
        </is>
      </c>
      <c r="C85" s="12" t="inlineStr">
        <is>
          <t>125</t>
        </is>
      </c>
      <c r="D85" s="12" t="inlineStr">
        <is>
          <t>agents déclarés dans la DISA 2025, évaluation au 31/12/2025 ; paramètres de l'onglet 14a</t>
        </is>
      </c>
    </row>
    <row r="86">
      <c r="A86" s="9" t="inlineStr">
        <is>
          <t>Partie 9</t>
        </is>
      </c>
      <c r="B86" s="10" t="inlineStr">
        <is>
          <t>Provision du personnel agent par agent : rattachement non documenté (1/2)</t>
        </is>
      </c>
      <c r="C86" s="10" t="inlineStr">
        <is>
          <t>126</t>
        </is>
      </c>
      <c r="D86" s="10" t="inlineStr">
        <is>
          <t>agents déclarés dans la DISA 2025, évaluation au 31/12/2025 ; paramètres de l'onglet 14a</t>
        </is>
      </c>
    </row>
    <row r="87">
      <c r="A87" s="9" t="inlineStr">
        <is>
          <t>Partie 9</t>
        </is>
      </c>
      <c r="B87" s="12" t="inlineStr">
        <is>
          <t>Provision du personnel agent par agent : rattachement non documenté (2/2)</t>
        </is>
      </c>
      <c r="C87" s="12" t="inlineStr">
        <is>
          <t>127</t>
        </is>
      </c>
      <c r="D87" s="12" t="inlineStr">
        <is>
          <t>agents déclarés dans la DISA 2025, évaluation au 31/12/2025 ; paramètres de l'onglet 14a</t>
        </is>
      </c>
    </row>
    <row r="88">
      <c r="A88" s="9" t="inlineStr">
        <is>
          <t>Partie 9</t>
        </is>
      </c>
      <c r="B88" s="10" t="inlineStr">
        <is>
          <t>Provision du personnel : sensibilités et qualité des données</t>
        </is>
      </c>
      <c r="C88" s="10" t="inlineStr">
        <is>
          <t>128</t>
        </is>
      </c>
      <c r="D88" s="10" t="inlineStr">
        <is>
          <t>personnel civil de la DISA 2025, évaluation au 31/12/2025 ; plafond conventionnel non appliqué</t>
        </is>
      </c>
    </row>
    <row r="89">
      <c r="A89" s="9" t="inlineStr">
        <is>
          <t>Partie 9</t>
        </is>
      </c>
      <c r="B89" s="12" t="inlineStr">
        <is>
          <t>Conclusion : engagements envers les adhérents</t>
        </is>
      </c>
      <c r="C89" s="12" t="inlineStr">
        <is>
          <t>129</t>
        </is>
      </c>
      <c r="D89" s="12" t="inlineStr">
        <is>
          <t>balance provisoire au 31/08/2026 ; états de fin d'année des allocations décès 2021 à 2025 ; factures de cliniques du journal SIN 2023 à 2025 ; DISA 2021 à 2025</t>
        </is>
      </c>
    </row>
    <row r="90">
      <c r="A90" s="9" t="inlineStr">
        <is>
          <t>Partie 9</t>
        </is>
      </c>
      <c r="B90" s="10" t="inlineStr">
        <is>
          <t>Conclusion : suffisance des provisions</t>
        </is>
      </c>
      <c r="C90" s="10" t="inlineStr">
        <is>
          <t>130</t>
        </is>
      </c>
      <c r="D90" s="10" t="inlineStr">
        <is>
          <t>provisions au bilan du 31/08/2026 ; besoins mesurés aux dates indiquées dans les diapositives de détail</t>
        </is>
      </c>
    </row>
    <row r="91">
      <c r="A91" s="9" t="inlineStr">
        <is>
          <t>Partie 9.2</t>
        </is>
      </c>
      <c r="B91" s="12" t="inlineStr">
        <is>
          <t>Structure de l'actif</t>
        </is>
      </c>
      <c r="C91" s="12" t="inlineStr">
        <is>
          <t>132</t>
        </is>
      </c>
      <c r="D91" s="12" t="inlineStr">
        <is>
          <t>comptes d'actif (classes 2 à 5, 41 et 47) des balances « BALANCE FORMAT EXCEL DE 09-2020 AU 31-12-2020.xlsx » à « BALANCE FPPN DU 01-01-2026 AU 31-08-2026.xlsx », au 31/12 de 2020 à 2025 et au 31/08/2026 ; valeurs comptables non réévaluées</t>
        </is>
      </c>
    </row>
    <row r="92">
      <c r="A92" s="9" t="inlineStr">
        <is>
          <t>Partie 9.2</t>
        </is>
      </c>
      <c r="B92" s="10" t="inlineStr">
        <is>
          <t>Adossement de liquidité provisoire</t>
        </is>
      </c>
      <c r="C92" s="10" t="inlineStr">
        <is>
          <t>133</t>
        </is>
      </c>
      <c r="D92" s="10" t="inlineStr">
        <is>
          <t>actifs classés par délai de mobilisation et passif par échéance d'après la nature des comptes des balances « BALANCE FORMAT EXCEL DE 09-2020 AU 31-12-2020.xlsx » à « BALANCE FPPN DU 01-01-2026 AU 31-08-2026.xlsx », au 31/12/2025 et au 31/08/2026</t>
        </is>
      </c>
    </row>
    <row r="93">
      <c r="A93" s="9" t="inlineStr">
        <is>
          <t>Partie 9.2</t>
        </is>
      </c>
      <c r="B93" s="12" t="inlineStr">
        <is>
          <t>Pourquoi l'adossement est une borne favorable</t>
        </is>
      </c>
      <c r="C93" s="12" t="inlineStr">
        <is>
          <t>134</t>
        </is>
      </c>
      <c r="D93" s="12" t="inlineStr">
        <is>
          <t>corrections attendues tirées des textes cités et des constats du rapport ; sens de l'effet seulement, sans montant</t>
        </is>
      </c>
    </row>
    <row r="94">
      <c r="A94" s="9" t="inlineStr">
        <is>
          <t>Partie 9.2</t>
        </is>
      </c>
      <c r="B94" s="10" t="inlineStr">
        <is>
          <t>Règles de valorisation des actifs</t>
        </is>
      </c>
      <c r="C94" s="10" t="inlineStr">
        <is>
          <t>135</t>
        </is>
      </c>
      <c r="D94" s="10" t="inlineStr">
        <is>
          <t>règles du règlement d'exécution n° 004/2022 (art. 17, 19 à 21, 27), de la Décision n° 05/2022 et du PCMS ; liste ivoirienne des actifs admis non reçue</t>
        </is>
      </c>
    </row>
    <row r="95">
      <c r="A95" s="9" t="inlineStr">
        <is>
          <t>Partie 9.2</t>
        </is>
      </c>
      <c r="B95" s="12" t="inlineStr">
        <is>
          <t>Scénarios de couverture des engagements</t>
        </is>
      </c>
      <c r="C95" s="12" t="inlineStr">
        <is>
          <t>136</t>
        </is>
      </c>
      <c r="D95" s="12" t="inlineStr">
        <is>
          <t>actifs et engagements au 31/12/2025 et au 31/08/2026 des balances « BALANCE FORMAT EXCEL DE 09-2020 AU 31-12-2020.xlsx » à « BALANCE FPPN DU 01-01-2026 AU 31-08-2026.xlsx » ; valorisation selon les règles de la diapositive précédente</t>
        </is>
      </c>
    </row>
    <row r="96">
      <c r="A96" s="9" t="inlineStr">
        <is>
          <t>Partie 9.2</t>
        </is>
      </c>
      <c r="B96" s="10" t="inlineStr">
        <is>
          <t>Choix des méthodes d'adossement</t>
        </is>
      </c>
      <c r="C96" s="10" t="inlineStr">
        <is>
          <t>137</t>
        </is>
      </c>
      <c r="D96" s="10" t="inlineStr">
        <is>
          <t>choix de méthode fondé sur les documents de référence cités et sur les données du FPPN de 2020 au 31/08/2026</t>
        </is>
      </c>
    </row>
    <row r="97">
      <c r="A97" s="9" t="inlineStr">
        <is>
          <t>Partie 9.2</t>
        </is>
      </c>
      <c r="B97" s="12" t="inlineStr">
        <is>
          <t>Adossement : à quel rythme l'épargne sort-elle ?</t>
        </is>
      </c>
      <c r="C97" s="12" t="inlineStr">
        <is>
          <t>138</t>
        </is>
      </c>
      <c r="D97" s="12" t="inlineStr">
        <is>
          <t>débits et soldes des comptes 41195100 et 41195200, balances 2020 à 2025 ; l'année 2020 sert de point de départ ; 2026 non retenue (huit mois)</t>
        </is>
      </c>
    </row>
    <row r="98">
      <c r="A98" s="9" t="inlineStr">
        <is>
          <t>Partie 9.2</t>
        </is>
      </c>
      <c r="B98" s="10" t="inlineStr">
        <is>
          <t>Adossement : écarts de liquidité année par année</t>
        </is>
      </c>
      <c r="C98" s="10" t="inlineStr">
        <is>
          <t>139</t>
        </is>
      </c>
      <c r="D98" s="10" t="inlineStr">
        <is>
          <t>bilan provisoire au 31/08/2026, actifs classés par nature comptable ; taux de sortie moyen 2021 à 2025 ; sans nouveaux versements ni intérêts dus</t>
        </is>
      </c>
    </row>
    <row r="99">
      <c r="A99" s="9" t="inlineStr">
        <is>
          <t>Partie 9.2</t>
        </is>
      </c>
      <c r="B99" s="12" t="inlineStr">
        <is>
          <t>Adossement : tests de résistance</t>
        </is>
      </c>
      <c r="C99" s="12" t="inlineStr">
        <is>
          <t>140</t>
        </is>
      </c>
      <c r="D99" s="12" t="inlineStr">
        <is>
          <t>bilans au 31/12/2025 et au 31/08/2026 (provisoire) ; taux de sortie 2021 à 2025 ; prestations maladie 2023 à 2025</t>
        </is>
      </c>
    </row>
    <row r="100">
      <c r="A100" s="9" t="inlineStr">
        <is>
          <t>Partie 9.2</t>
        </is>
      </c>
      <c r="B100" s="10" t="inlineStr">
        <is>
          <t>Adossement : gouvernance à mettre en place</t>
        </is>
      </c>
      <c r="C100" s="10" t="inlineStr">
        <is>
          <t>141</t>
        </is>
      </c>
      <c r="D100" s="10" t="inlineStr">
        <is>
          <t>pratiques des documents de référence cités ; situation du FPPN constatée en entretien le 19/10/2026 et sur les documents reçus jusqu'au 22/10/2026</t>
        </is>
      </c>
    </row>
    <row r="101">
      <c r="A101" s="9" t="inlineStr">
        <is>
          <t>Partie 9.2</t>
        </is>
      </c>
      <c r="B101" s="12" t="inlineStr">
        <is>
          <t>Conclusion : adossement actif-passif</t>
        </is>
      </c>
      <c r="C101" s="12" t="inlineStr">
        <is>
          <t>142</t>
        </is>
      </c>
      <c r="D101" s="12" t="inlineStr">
        <is>
          <t>bilans au 31/12/2025 et au 31/08/2026 (provisoire) ; comportements de sortie observés de 2021 à 2025</t>
        </is>
      </c>
    </row>
    <row r="102">
      <c r="A102" s="9" t="inlineStr">
        <is>
          <t>Partie 9.3</t>
        </is>
      </c>
      <c r="B102" s="10" t="inlineStr">
        <is>
          <t>Fonds propres</t>
        </is>
      </c>
      <c r="C102" s="10" t="inlineStr">
        <is>
          <t>145</t>
        </is>
      </c>
      <c r="D102" s="10" t="inlineStr">
        <is>
          <t>comptes 10, 11, 12 et résultat des balances « BALANCE FORMAT EXCEL DE 09-2020 AU 31-12-2020.xlsx » à « BALANCE FPPN DU 01-01-2026 AU 31-08-2026.xlsx », au 31/12 de 2020 à 2025 et au 31/08/2026 ; sans retraitement des provisions</t>
        </is>
      </c>
    </row>
    <row r="103">
      <c r="A103" s="9" t="inlineStr">
        <is>
          <t>Partie 9.3</t>
        </is>
      </c>
      <c r="B103" s="12" t="inlineStr">
        <is>
          <t>Placements du FPPN</t>
        </is>
      </c>
      <c r="C103" s="12" t="inlineStr">
        <is>
          <t>146</t>
        </is>
      </c>
      <c r="D103" s="12" t="inlineStr">
        <is>
          <t>comptes 52210200 et 52210201 (DAT BOA) et 53300001 (FCP) des balances 2021 à 2026 ; décision de placement selon l'entretien du 19/10/2026</t>
        </is>
      </c>
    </row>
    <row r="104">
      <c r="A104" s="9" t="inlineStr">
        <is>
          <t>Partie 9.3</t>
        </is>
      </c>
      <c r="B104" s="10" t="inlineStr">
        <is>
          <t>Clinique, projet de Cocody et désignation du directeur général</t>
        </is>
      </c>
      <c r="C104" s="10" t="inlineStr">
        <is>
          <t>148</t>
        </is>
      </c>
      <c r="D104" s="10" t="inlineStr">
        <is>
          <t>documents reçus le 22/10/2026 (scans lus par reconnaissance de caractères) ; montants des comptes 222, 47111101, 47111104, 47111105 et 47111100 au 31/08/2026 (provisoire)</t>
        </is>
      </c>
    </row>
    <row r="105">
      <c r="A105" s="9" t="inlineStr">
        <is>
          <t>Partie 9.3</t>
        </is>
      </c>
      <c r="B105" s="12" t="inlineStr">
        <is>
          <t>Rendement des placements</t>
        </is>
      </c>
      <c r="C105" s="12" t="inlineStr">
        <is>
          <t>149</t>
        </is>
      </c>
      <c r="D105" s="12" t="inlineStr">
        <is>
          <t>produits financiers (classe 77) et placements moyens (comptes 52 et 53) des balances 2021 à 2025 ; taux directeurs de la BCEAO de 2020 à 2026</t>
        </is>
      </c>
    </row>
    <row r="106">
      <c r="A106" s="9" t="inlineStr">
        <is>
          <t>Partie 9.3</t>
        </is>
      </c>
      <c r="B106" s="10" t="inlineStr">
        <is>
          <t>Conclusion : adéquation des placements</t>
        </is>
      </c>
      <c r="C106" s="10" t="inlineStr">
        <is>
          <t>150</t>
        </is>
      </c>
      <c r="D106" s="10" t="inlineStr">
        <is>
          <t>placements et produits financiers de 2021 à 2025 ; actifs et épargne au 31/08/2026 (provisoire) ; intérêts dus aux taux du manuel d'épargne</t>
        </is>
      </c>
    </row>
    <row r="107">
      <c r="A107" s="9" t="inlineStr">
        <is>
          <t>Partie 10</t>
        </is>
      </c>
      <c r="B107" s="12" t="inlineStr">
        <is>
          <t>Textes applicables</t>
        </is>
      </c>
      <c r="C107" s="12" t="inlineStr">
        <is>
          <t>153</t>
        </is>
      </c>
      <c r="D107" s="12" t="inlineStr">
        <is>
          <t>textes de la mutualité sociale UEMOA et ivoirienne fournis le 18/10/2026 ; versions en vigueur au 22/10/2026</t>
        </is>
      </c>
    </row>
    <row r="108">
      <c r="A108" s="9" t="inlineStr">
        <is>
          <t>Partie 10</t>
        </is>
      </c>
      <c r="B108" s="10" t="inlineStr">
        <is>
          <t>Risques courts et risques longs</t>
        </is>
      </c>
      <c r="C108" s="10" t="inlineStr">
        <is>
          <t>154</t>
        </is>
      </c>
      <c r="D108" s="10" t="inlineStr">
        <is>
          <t>garanties du FPPN qualifiées selon le règlement d'exécution n° 004/2022 (art. 1, 3, 12 à 15), sur les fichiers de précomptes et les balances « BALANCE FORMAT EXCEL DE 09-2020 AU 31-12-2020.xlsx » à « BALANCE FPPN DU 01-01-2026 AU 31-08-2026.xlsx »</t>
        </is>
      </c>
    </row>
    <row r="109">
      <c r="A109" s="9" t="inlineStr">
        <is>
          <t>Partie 10</t>
        </is>
      </c>
      <c r="B109" s="12" t="inlineStr">
        <is>
          <t>Deux lectures : comme le FPPN, puis retraitée</t>
        </is>
      </c>
      <c r="C109" s="12" t="inlineStr">
        <is>
          <t>156</t>
        </is>
      </c>
      <c r="D109" s="12" t="inlineStr">
        <is>
          <t>reclassements de comptes selon le PCMS (fiches 1 et 25) appliqués aux balances « BALANCE FORMAT EXCEL DE 09-2020 AU 31-12-2020.xlsx » à « BALANCE FPPN DU 01-01-2026 AU 31-08-2026.xlsx »</t>
        </is>
      </c>
    </row>
    <row r="110">
      <c r="A110" s="9" t="inlineStr">
        <is>
          <t>Partie 10</t>
        </is>
      </c>
      <c r="B110" s="10" t="inlineStr">
        <is>
          <t>Tableau de bord (1/4) : solvabilité et réserves</t>
        </is>
      </c>
      <c r="C110" s="10" t="inlineStr">
        <is>
          <t>159</t>
        </is>
      </c>
      <c r="D110" s="10" t="inlineStr">
        <is>
          <t>ratios de la Décision n° 05/2022 recalculés sur les balances « BALANCE FORMAT EXCEL DE 09-2020 AU 31-12-2020.xlsx » à « BALANCE FPPN DU 01-01-2026 AU 31-08-2026.xlsx », 2020 au 31/08/2026 ; statut opposable de 2022 à 2025, indicatif en 2020, 2021 et 2026</t>
        </is>
      </c>
    </row>
    <row r="111">
      <c r="A111" s="9" t="inlineStr">
        <is>
          <t>Partie 10</t>
        </is>
      </c>
      <c r="B111" s="12" t="inlineStr">
        <is>
          <t>Tableau de bord (2/4) : risques longs</t>
        </is>
      </c>
      <c r="C111" s="12" t="inlineStr">
        <is>
          <t>160</t>
        </is>
      </c>
      <c r="D111" s="12" t="inlineStr">
        <is>
          <t>ratios de la Décision n° 05/2022 recalculés sur les balances « BALANCE FORMAT EXCEL DE 09-2020 AU 31-12-2020.xlsx » à « BALANCE FPPN DU 01-01-2026 AU 31-08-2026.xlsx », 2020 au 31/08/2026 ; épargne traitée comme risque long ; statut opposable de 2022 à 2025</t>
        </is>
      </c>
    </row>
    <row r="112">
      <c r="A112" s="9" t="inlineStr">
        <is>
          <t>Partie 10</t>
        </is>
      </c>
      <c r="B112" s="10" t="inlineStr">
        <is>
          <t>Tableau de bord (3/4) : gestion</t>
        </is>
      </c>
      <c r="C112" s="10" t="inlineStr">
        <is>
          <t>161</t>
        </is>
      </c>
      <c r="D112" s="10" t="inlineStr">
        <is>
          <t>ratios de la Décision n° 05/2022 recalculés sur les balances « BALANCE FORMAT EXCEL DE 09-2020 AU 31-12-2020.xlsx » à « BALANCE FPPN DU 01-01-2026 AU 31-08-2026.xlsx » et des fichiers de précomptes (mois reçus) ; statut opposable de 2022 à 2025</t>
        </is>
      </c>
    </row>
    <row r="113">
      <c r="A113" s="9" t="inlineStr">
        <is>
          <t>Partie 10</t>
        </is>
      </c>
      <c r="B113" s="12" t="inlineStr">
        <is>
          <t>Tableau de bord (4/4) : données en attente</t>
        </is>
      </c>
      <c r="C113" s="12" t="inlineStr">
        <is>
          <t>162</t>
        </is>
      </c>
      <c r="D113" s="12" t="inlineStr">
        <is>
          <t>indicateurs de la Décision n° 05/2022 non calculables avec les documents reçus au 22/10/2026 ; numéros de la PBC</t>
        </is>
      </c>
    </row>
    <row r="114">
      <c r="A114" s="9" t="inlineStr">
        <is>
          <t>Partie 10</t>
        </is>
      </c>
      <c r="B114" s="10" t="inlineStr">
        <is>
          <t>Liquidité et équilibre : deux lectures</t>
        </is>
      </c>
      <c r="C114" s="10" t="inlineStr">
        <is>
          <t>163</t>
        </is>
      </c>
      <c r="D114" s="10" t="inlineStr">
        <is>
          <t>ratios de la Décision n° 05/2022 recalculés sur les balances « BALANCE FORMAT EXCEL DE 09-2020 AU 31-12-2020.xlsx » à « BALANCE FPPN DU 01-01-2026 AU 31-08-2026.xlsx », lecture comme le FPPN et lecture retraitée, 2020 au 31/08/2026</t>
        </is>
      </c>
    </row>
    <row r="115">
      <c r="A115" s="9" t="inlineStr">
        <is>
          <t>Partie 10</t>
        </is>
      </c>
      <c r="B115" s="12" t="inlineStr">
        <is>
          <t>Excédent par risque</t>
        </is>
      </c>
      <c r="C115" s="12" t="inlineStr">
        <is>
          <t>174</t>
        </is>
      </c>
      <c r="D115" s="12" t="inlineStr">
        <is>
          <t>comptes de prestations, de frais (61 à 66 hors 6518) et de cotisations (7010, 7021) des balances « BALANCE FORMAT EXCEL DE 09-2020 AU 31-12-2020.xlsx » à « BALANCE FPPN DU 01-01-2026 AU 31-08-2026.xlsx », 2020 à 2025 ; frais répartis au prorata des cotisations (choix Adenka)</t>
        </is>
      </c>
    </row>
    <row r="116">
      <c r="A116" s="9" t="inlineStr">
        <is>
          <t>Partie 10</t>
        </is>
      </c>
      <c r="B116" s="10" t="inlineStr">
        <is>
          <t>Affectation des excédents</t>
        </is>
      </c>
      <c r="C116" s="10" t="inlineStr">
        <is>
          <t>175</t>
        </is>
      </c>
      <c r="D116" s="10" t="inlineStr">
        <is>
          <t>résultats et réserves (comptes 10 à 13) des balances « BALANCE FORMAT EXCEL DE 09-2020 AU 31-12-2020.xlsx » à « BALANCE FPPN DU 01-01-2026 AU 31-08-2026.xlsx », affectations de 2021 à 2025</t>
        </is>
      </c>
    </row>
    <row r="117">
      <c r="A117" s="9" t="inlineStr">
        <is>
          <t>Partie 10</t>
        </is>
      </c>
      <c r="B117" s="12" t="inlineStr">
        <is>
          <t>Marge de solvabilité</t>
        </is>
      </c>
      <c r="C117" s="12" t="inlineStr">
        <is>
          <t>176</t>
        </is>
      </c>
      <c r="D117" s="12" t="inlineStr">
        <is>
          <t>marge de la Décision n° 05/2022 (annexe, § 1.1.1) sur les balances « BALANCE FORMAT EXCEL DE 09-2020 AU 31-12-2020.xlsx » à « BALANCE FPPN DU 01-01-2026 AU 31-08-2026.xlsx », 2020 au 31/08/2026 ; pertes reportées déduites ou non selon la lecture</t>
        </is>
      </c>
    </row>
    <row r="118">
      <c r="A118" s="9" t="inlineStr">
        <is>
          <t>Partie 10</t>
        </is>
      </c>
      <c r="B118" s="10" t="inlineStr">
        <is>
          <t>Contrôle du plan comptable</t>
        </is>
      </c>
      <c r="C118" s="10" t="inlineStr">
        <is>
          <t>177</t>
        </is>
      </c>
      <c r="D118" s="10" t="inlineStr">
        <is>
          <t>comptes des balances « BALANCE FORMAT EXCEL DE 09-2020 AU 31-12-2020.xlsx » à « BALANCE FPPN DU 01-01-2026 AU 31-08-2026.xlsx » comparés à la liste des comptes du PCMS (mai 2012, fiches 1, 2, 6 et 25)</t>
        </is>
      </c>
    </row>
    <row r="119">
      <c r="A119" s="9" t="inlineStr">
        <is>
          <t>Partie 10</t>
        </is>
      </c>
      <c r="B119" s="12" t="inlineStr">
        <is>
          <t>Exigences non chiffrées</t>
        </is>
      </c>
      <c r="C119" s="12" t="inlineStr">
        <is>
          <t>178</t>
        </is>
      </c>
      <c r="D119" s="12" t="inlineStr">
        <is>
          <t>exigences des textes cités confrontées aux documents reçus jusqu'au 22/10/2026</t>
        </is>
      </c>
    </row>
    <row r="120">
      <c r="A120" s="9" t="inlineStr">
        <is>
          <t>Partie 10</t>
        </is>
      </c>
      <c r="B120" s="10" t="inlineStr">
        <is>
          <t>Exposition aux sanctions</t>
        </is>
      </c>
      <c r="C120" s="10" t="inlineStr">
        <is>
          <t>179</t>
        </is>
      </c>
      <c r="D120" s="10" t="inlineStr">
        <is>
          <t>sanctions de l'arrêté n° 00115/MEPS/CAB du 12/12/2023 et du règlement n° 07/2009 rapprochées des constats du rapport ; ne vaut pas avis juridique</t>
        </is>
      </c>
    </row>
    <row r="121">
      <c r="A121" s="9" t="inlineStr">
        <is>
          <t>Partie 10</t>
        </is>
      </c>
      <c r="B121" s="12" t="inlineStr">
        <is>
          <t>Analyses de sensibilité : méthode</t>
        </is>
      </c>
      <c r="C121" s="12" t="inlineStr">
        <is>
          <t>181</t>
        </is>
      </c>
      <c r="D121" s="12" t="inlineStr">
        <is>
          <t>méthode appliquée dans les classeur des calculs, onglets 13a à 13i ; références ISAP 1, IAS 19, IFRS 17 et IFRS 7</t>
        </is>
      </c>
    </row>
    <row r="122">
      <c r="A122" s="9" t="inlineStr">
        <is>
          <t>Partie 10</t>
        </is>
      </c>
      <c r="B122" s="10" t="inlineStr">
        <is>
          <t>Ratios non conformes de 2020 au 31/08/2026</t>
        </is>
      </c>
      <c r="C122" s="10" t="inlineStr">
        <is>
          <t>182</t>
        </is>
      </c>
      <c r="D122" s="10" t="inlineStr">
        <is>
          <t>ratios de la Décision n° 05/2022 recalculés sur les balances « BALANCE FORMAT EXCEL DE 09-2020 AU 31-12-2020.xlsx » à « BALANCE FPPN DU 01-01-2026 AU 31-08-2026.xlsx », 2020 au 31/08/2026, recalculés par formules dans les classeur des calculs, onglets 13a à 13i</t>
        </is>
      </c>
    </row>
    <row r="123">
      <c r="A123" s="9" t="inlineStr">
        <is>
          <t>Partie 10</t>
        </is>
      </c>
      <c r="B123" s="12" t="inlineStr">
        <is>
          <t>Cinq facteurs récurrents expliquent les écarts</t>
        </is>
      </c>
      <c r="C123" s="12" t="inlineStr">
        <is>
          <t>183</t>
        </is>
      </c>
      <c r="D123" s="12" t="inlineStr">
        <is>
          <t>comptes en cause des balances « BALANCE FORMAT EXCEL DE 09-2020 AU 31-12-2020.xlsx » à « BALANCE FPPN DU 01-01-2026 AU 31-08-2026.xlsx », 2020 au 31/08/2026 ; classeur des calculs, onglets 13a à 13i</t>
        </is>
      </c>
    </row>
    <row r="124">
      <c r="A124" s="9" t="inlineStr">
        <is>
          <t>Partie 10</t>
        </is>
      </c>
      <c r="B124" s="10" t="inlineStr">
        <is>
          <t>Montant à combler par ratio</t>
        </is>
      </c>
      <c r="C124" s="10" t="inlineStr">
        <is>
          <t>184</t>
        </is>
      </c>
      <c r="D124" s="10" t="inlineStr">
        <is>
          <t>écarts aux normes de la Décision n° 05/2022 calculés dans les classeur des calculs, onglets 13a à 13i, 2020 au 31/08/2026</t>
        </is>
      </c>
    </row>
    <row r="125">
      <c r="A125" s="9" t="inlineStr">
        <is>
          <t>Partie 10</t>
        </is>
      </c>
      <c r="B125" s="12" t="inlineStr">
        <is>
          <t>Effet de chaque levier sur chaque ratio</t>
        </is>
      </c>
      <c r="C125" s="12" t="inlineStr">
        <is>
          <t>185</t>
        </is>
      </c>
      <c r="D125" s="12" t="inlineStr">
        <is>
          <t>choc de 100 000 000 FCFA appliqué à l'exercice 2025 dans les classeur des calculs, onglets 13a à 13i ; effets de premier ordre seulement</t>
        </is>
      </c>
    </row>
    <row r="126">
      <c r="A126" s="9" t="inlineStr">
        <is>
          <t>Partie 10</t>
        </is>
      </c>
      <c r="B126" s="10" t="inlineStr">
        <is>
          <t>Montants d'équilibre de chaque levier en 2025</t>
        </is>
      </c>
      <c r="C126" s="10" t="inlineStr">
        <is>
          <t>186</t>
        </is>
      </c>
      <c r="D126" s="10" t="inlineStr">
        <is>
          <t>exercice 2025, classeur des calculs, onglets 13a à 13i ; un levier à la fois, sans interaction</t>
        </is>
      </c>
    </row>
    <row r="127">
      <c r="A127" s="9" t="inlineStr">
        <is>
          <t>Partie 10</t>
        </is>
      </c>
      <c r="B127" s="12" t="inlineStr">
        <is>
          <t>Cotisations : deux ratios demandent des mouvements opposés</t>
        </is>
      </c>
      <c r="C127" s="12" t="inlineStr">
        <is>
          <t>187</t>
        </is>
      </c>
      <c r="D127" s="12" t="inlineStr">
        <is>
          <t>exercice 2025, cotisations des comptes 7010 et 7021 de « BALANCE FPPN 2025.xlsx » ; classeur des calculs, onglets 13a à 13i</t>
        </is>
      </c>
    </row>
    <row r="128">
      <c r="A128" s="9" t="inlineStr">
        <is>
          <t>Partie 10</t>
        </is>
      </c>
      <c r="B128" s="10" t="inlineStr">
        <is>
          <t>Liquidité : la vente des placements longs ne suffirait pas</t>
        </is>
      </c>
      <c r="C128" s="10" t="inlineStr">
        <is>
          <t>188</t>
        </is>
      </c>
      <c r="D128" s="10" t="inlineStr">
        <is>
          <t>bilan au 31/12/2025 de « BALANCE FPPN 2025.xlsx » ; plafonds de réallocation des classeur des calculs, onglets 13a à 13i</t>
        </is>
      </c>
    </row>
    <row r="129">
      <c r="A129" s="9" t="inlineStr">
        <is>
          <t>Partie 10</t>
        </is>
      </c>
      <c r="B129" s="12" t="inlineStr">
        <is>
          <t>Réserve et fonds propres : la règle des statuts aurait suffi pour la réserve</t>
        </is>
      </c>
      <c r="C129" s="12" t="inlineStr">
        <is>
          <t>189</t>
        </is>
      </c>
      <c r="D129" s="12" t="inlineStr">
        <is>
          <t>dotation statutaire (statuts, art. 81 et 90) appliquée aux excédents de 2020 à 2025 des balances « BALANCE FORMAT EXCEL DE 09-2020 AU 31-12-2020.xlsx » à « BALANCE FPPN DU 01-01-2026 AU 31-08-2026.xlsx »</t>
        </is>
      </c>
    </row>
    <row r="130">
      <c r="A130" s="9" t="inlineStr">
        <is>
          <t>Partie 10</t>
        </is>
      </c>
      <c r="B130" s="10" t="inlineStr">
        <is>
          <t>Les normes de flux ne peuvent pas être respectées ensemble</t>
        </is>
      </c>
      <c r="C130" s="10" t="inlineStr">
        <is>
          <t>190</t>
        </is>
      </c>
      <c r="D130" s="10" t="inlineStr">
        <is>
          <t>normes du tableau 1 (lignes 2 et 5) et du tableau 2 de la Décision n° 05/2022, exercice 2025</t>
        </is>
      </c>
    </row>
    <row r="131">
      <c r="A131" s="9" t="inlineStr">
        <is>
          <t>Partie 10</t>
        </is>
      </c>
      <c r="B131" s="12" t="inlineStr">
        <is>
          <t>Inflation médicale : sous-indices de prix de la santé</t>
        </is>
      </c>
      <c r="C131" s="12" t="inlineStr">
        <is>
          <t>191</t>
        </is>
      </c>
      <c r="D131" s="12" t="inlineStr">
        <is>
          <t>IHPC santé de l'ANStat (national, extraction du 19/10/2026), 2020 à 2025, pondéré par les prestations maladie 2025 du FPPN</t>
        </is>
      </c>
    </row>
    <row r="132">
      <c r="A132" s="9" t="inlineStr">
        <is>
          <t>Partie 10</t>
        </is>
      </c>
      <c r="B132" s="10" t="inlineStr">
        <is>
          <t>Sinistralité face à une hausse des prestations</t>
        </is>
      </c>
      <c r="C132" s="10" t="inlineStr">
        <is>
          <t>192</t>
        </is>
      </c>
      <c r="D132" s="10" t="inlineStr">
        <is>
          <t>exercice 2025 ; hausses de prestations hypothétiques appliquées aux prestations de « BALANCE FPPN 2025.xlsx »</t>
        </is>
      </c>
    </row>
    <row r="133">
      <c r="A133" s="9" t="inlineStr">
        <is>
          <t>Partie 10</t>
        </is>
      </c>
      <c r="B133" s="12" t="inlineStr">
        <is>
          <t>Rendement des placements et taux du marché</t>
        </is>
      </c>
      <c r="C133" s="12" t="inlineStr">
        <is>
          <t>193</t>
        </is>
      </c>
      <c r="D133" s="12" t="inlineStr">
        <is>
          <t>rendement du FPPN de 2021 à 2025 (classe 77 et comptes 52 et 53) ; taux de la BCEAO et obligations ivoiriennes à 5 et 10 ans</t>
        </is>
      </c>
    </row>
    <row r="134">
      <c r="A134" s="9" t="inlineStr">
        <is>
          <t>Partie 11</t>
        </is>
      </c>
      <c r="B134" s="10" t="inlineStr">
        <is>
          <t>Choix des tables</t>
        </is>
      </c>
      <c r="C134" s="10" t="inlineStr">
        <is>
          <t>197</t>
        </is>
      </c>
      <c r="D134" s="10" t="inlineStr">
        <is>
          <t>tables « CIMA_H.xlsx », « CIMA_F.xlsx », « TD_CIMA.xlsx », « TV_CIMA.xlsx » fournies le 18/10/2026 ; non comparées à la mortalité des policiers</t>
        </is>
      </c>
    </row>
    <row r="135">
      <c r="A135" s="9" t="inlineStr">
        <is>
          <t>Partie 11</t>
        </is>
      </c>
      <c r="B135" s="12" t="inlineStr">
        <is>
          <t>Courbes de survie</t>
        </is>
      </c>
      <c r="C135" s="12" t="inlineStr">
        <is>
          <t>198</t>
        </is>
      </c>
      <c r="D135" s="12" t="inlineStr">
        <is>
          <t>colonne Lx des tables CIMA H, CIMA F, TD et TV, âges 0 à 110 ans ; population générale de la zone CIMA, non le FPPN</t>
        </is>
      </c>
    </row>
    <row r="136">
      <c r="A136" s="9" t="inlineStr">
        <is>
          <t>Partie 11</t>
        </is>
      </c>
      <c r="B136" s="10" t="inlineStr">
        <is>
          <t>Probabilités de décès</t>
        </is>
      </c>
      <c r="C136" s="10" t="inlineStr">
        <is>
          <t>199</t>
        </is>
      </c>
      <c r="D136" s="10" t="inlineStr">
        <is>
          <t>colonne qx des tables CIMA H, CIMA F, TD et TV, âges 20 à 80 ans ; population générale de la zone CIMA, non le FPPN</t>
        </is>
      </c>
    </row>
    <row r="137">
      <c r="A137" s="9" t="inlineStr">
        <is>
          <t>Partie 11</t>
        </is>
      </c>
      <c r="B137" s="12" t="inlineStr">
        <is>
          <t>Indicateurs de référence</t>
        </is>
      </c>
      <c r="C137" s="12" t="inlineStr">
        <is>
          <t>200</t>
        </is>
      </c>
      <c r="D137" s="12" t="inlineStr">
        <is>
          <t>tables CIMA H, CIMA F, TD et TV, taux technique de 3,5 % ; valeurs de référence, non engagements du FPPN</t>
        </is>
      </c>
    </row>
    <row r="138">
      <c r="A138" s="9" t="inlineStr">
        <is>
          <t>Partie 12</t>
        </is>
      </c>
      <c r="B138" s="10" t="inlineStr">
        <is>
          <t>Projection : avertissement</t>
        </is>
      </c>
      <c r="C138" s="10" t="inlineStr">
        <is>
          <t>203</t>
        </is>
      </c>
      <c r="D138" s="10" t="inlineStr">
        <is>
          <t>fichiers reçus jusqu'au 22/10/2026 : précomptes de la Solde (postes 936, 8Z6, 998, 870), fichier des effectifs du FPPN, fichiers retour de la CGRAE (dates de naissance de février à avril 2024 seulement)</t>
        </is>
      </c>
    </row>
    <row r="139">
      <c r="A139" s="9" t="inlineStr">
        <is>
          <t>Partie 12</t>
        </is>
      </c>
      <c r="B139" s="12" t="inlineStr">
        <is>
          <t>Projection agrégée : deux scénarios</t>
        </is>
      </c>
      <c r="C139" s="12" t="inlineStr">
        <is>
          <t>204</t>
        </is>
      </c>
      <c r="D139" s="12" t="inlineStr">
        <is>
          <t>cotisations, prestations et frais de gestion des comptes 2023 à 2025, garanties maladie et décès prises ensemble ; hors épargne, Grenier et produits financiers</t>
        </is>
      </c>
    </row>
    <row r="140">
      <c r="A140" s="9" t="inlineStr">
        <is>
          <t>Partie 12</t>
        </is>
      </c>
      <c r="B140" s="10" t="inlineStr">
        <is>
          <t>Projection agrégée : évolution du résultat</t>
        </is>
      </c>
      <c r="C140" s="10" t="inlineStr">
        <is>
          <t>205</t>
        </is>
      </c>
      <c r="D140" s="10" t="inlineStr">
        <is>
          <t>mêmes données et hypothèses que la diapositive précédente</t>
        </is>
      </c>
    </row>
    <row r="141">
      <c r="A141" s="9" t="inlineStr">
        <is>
          <t>Partie 13</t>
        </is>
      </c>
      <c r="B141" s="12" t="inlineStr">
        <is>
          <t>Environnement de travail</t>
        </is>
      </c>
      <c r="C141" s="12" t="inlineStr">
        <is>
          <t>207</t>
        </is>
      </c>
      <c r="D141" s="12" t="inlineStr">
        <is>
          <t>scripts du dossier de la mission tels qu'utilisés pour ce rapport</t>
        </is>
      </c>
    </row>
    <row r="142">
      <c r="A142" s="9" t="inlineStr">
        <is>
          <t>Partie 13</t>
        </is>
      </c>
      <c r="B142" s="10" t="inlineStr">
        <is>
          <t>Étapes du traitement des données</t>
        </is>
      </c>
      <c r="C142" s="10" t="inlineStr">
        <is>
          <t>208</t>
        </is>
      </c>
      <c r="D142" s="10" t="inlineStr">
        <is>
          <t>traitements des fichiers reçus jusqu'au 22/10/2026</t>
        </is>
      </c>
    </row>
    <row r="143">
      <c r="A143" s="9" t="inlineStr">
        <is>
          <t>Partie 14</t>
        </is>
      </c>
      <c r="B143" s="12" t="inlineStr">
        <is>
          <t>Analyses en attente</t>
        </is>
      </c>
      <c r="C143" s="12" t="inlineStr">
        <is>
          <t>218</t>
        </is>
      </c>
      <c r="D143" s="12" t="inlineStr">
        <is>
          <t>documents demandés non reçus au 22/10/2026 (PBC pointée)</t>
        </is>
      </c>
    </row>
    <row r="144">
      <c r="A144" s="9" t="inlineStr">
        <is>
          <t>Partie 14</t>
        </is>
      </c>
      <c r="B144" s="10" t="inlineStr">
        <is>
          <t>Points à clarifier</t>
        </is>
      </c>
      <c r="C144" s="10" t="inlineStr">
        <is>
          <t>219</t>
        </is>
      </c>
      <c r="D144" s="10" t="inlineStr">
        <is>
          <t>questions ouvertes au 22/10/2026</t>
        </is>
      </c>
    </row>
    <row r="145">
      <c r="A145" s="9" t="inlineStr">
        <is>
          <t>Partie 14</t>
        </is>
      </c>
      <c r="B145" s="12" t="inlineStr">
        <is>
          <t>Points issus de l'entretien cotisations</t>
        </is>
      </c>
      <c r="C145" s="12" t="inlineStr">
        <is>
          <t>220</t>
        </is>
      </c>
      <c r="D145" s="12" t="inlineStr">
        <is>
          <t>déclarations du responsable des cotisations le 19/10/2026, non confirmées par document sauf mention</t>
        </is>
      </c>
    </row>
    <row r="146">
      <c r="A146" s="9" t="inlineStr">
        <is>
          <t>Partie 14</t>
        </is>
      </c>
      <c r="B146" s="10" t="inlineStr">
        <is>
          <t>Provisions : documents attendus</t>
        </is>
      </c>
      <c r="C146" s="10" t="inlineStr">
        <is>
          <t>221</t>
        </is>
      </c>
      <c r="D146" s="10" t="inlineStr">
        <is>
          <t>documents de provisions demandés et non reçus au 22/10/2026 (PBC pointée)</t>
        </is>
      </c>
    </row>
    <row r="147">
      <c r="A147" s="9" t="inlineStr">
        <is>
          <t>Partie 14</t>
        </is>
      </c>
      <c r="B147" s="12" t="inlineStr">
        <is>
          <t>Points issus des entretiens du chef comptable</t>
        </is>
      </c>
      <c r="C147" s="12" t="inlineStr">
        <is>
          <t>222</t>
        </is>
      </c>
      <c r="D147" s="12" t="inlineStr">
        <is>
          <t>déclarations du chef comptable le 19/10/2026 (14h et 16h), non confirmées par document sauf mention</t>
        </is>
      </c>
    </row>
    <row r="148">
      <c r="A148" s="9" t="inlineStr">
        <is>
          <t>Partie 14</t>
        </is>
      </c>
      <c r="B148" s="10" t="inlineStr">
        <is>
          <t>Points issus des documents du 22/10/2026</t>
        </is>
      </c>
      <c r="C148" s="10" t="inlineStr">
        <is>
          <t>223</t>
        </is>
      </c>
      <c r="D148" s="10" t="inlineStr">
        <is>
          <t>documents reçus le 22/10/2026</t>
        </is>
      </c>
    </row>
    <row r="149">
      <c r="A149" s="9" t="inlineStr">
        <is>
          <t>Annexe</t>
        </is>
      </c>
      <c r="B149" s="12" t="inlineStr">
        <is>
          <t>Méthodes non retenues : vue d'ensemble</t>
        </is>
      </c>
      <c r="C149" s="12" t="inlineStr">
        <is>
          <t>225</t>
        </is>
      </c>
      <c r="D149" s="12" t="inlineStr">
        <is>
          <t>données reçues jusqu'au 22/10/2026</t>
        </is>
      </c>
    </row>
    <row r="150">
      <c r="A150" s="9" t="inlineStr">
        <is>
          <t>Annexe</t>
        </is>
      </c>
      <c r="B150" s="10" t="inlineStr">
        <is>
          <t>Méthode non retenue : Chain Ladder et méthode CIMA</t>
        </is>
      </c>
      <c r="C150" s="10" t="inlineStr">
        <is>
          <t>226</t>
        </is>
      </c>
      <c r="D150" s="10" t="inlineStr">
        <is>
          <t>factures de cliniques du journal SIN 2023 à 2025 ; délais calculés sur le compte 40110000 de 2020 au 31/08/2026</t>
        </is>
      </c>
    </row>
    <row r="151">
      <c r="A151" s="9" t="inlineStr">
        <is>
          <t>Annexe</t>
        </is>
      </c>
      <c r="B151" s="12" t="inlineStr">
        <is>
          <t>Méthode non retenue : mortalité observée par âge</t>
        </is>
      </c>
      <c r="C151" s="12" t="inlineStr">
        <is>
          <t>227</t>
        </is>
      </c>
      <c r="D151" s="12" t="inlineStr">
        <is>
          <t>décès de membres recensés par le FPPN de 2021 à 2025</t>
        </is>
      </c>
    </row>
    <row r="152">
      <c r="A152" s="9" t="inlineStr">
        <is>
          <t>Annexe</t>
        </is>
      </c>
      <c r="B152" s="10" t="inlineStr">
        <is>
          <t>Méthode non retenue : provision santé des retraités</t>
        </is>
      </c>
      <c r="C152" s="10" t="inlineStr">
        <is>
          <t>228</t>
        </is>
      </c>
      <c r="D152" s="10" t="inlineStr">
        <is>
          <t>retraités précomptés par la CGRAE de févr. 24 à août 26 ; dates de naissance des fichiers retour de février à avril 2024</t>
        </is>
      </c>
    </row>
    <row r="153">
      <c r="A153" s="9" t="inlineStr">
        <is>
          <t>Annexe</t>
        </is>
      </c>
      <c r="B153" s="12" t="inlineStr">
        <is>
          <t>Méthode non retenue : duration et immunisation</t>
        </is>
      </c>
      <c r="C153" s="12" t="inlineStr">
        <is>
          <t>229</t>
        </is>
      </c>
      <c r="D153" s="12" t="inlineStr">
        <is>
          <t>bilans au 31/12/2025 et au 31/08/2026</t>
        </is>
      </c>
    </row>
    <row r="154">
      <c r="A154" s="9" t="inlineStr">
        <is>
          <t>Annexe</t>
        </is>
      </c>
      <c r="B154" s="10" t="inlineStr">
        <is>
          <t>Méthode non retenue : modèle stochastique</t>
        </is>
      </c>
      <c r="C154" s="10" t="inlineStr">
        <is>
          <t>230</t>
        </is>
      </c>
      <c r="D154" s="10" t="inlineStr">
        <is>
          <t>données reçues jusqu'au 22/10/2026</t>
        </is>
      </c>
    </row>
    <row r="155">
      <c r="A155" s="9" t="inlineStr">
        <is>
          <t>Annexe</t>
        </is>
      </c>
      <c r="B155" s="12" t="inlineStr">
        <is>
          <t>Méthode non retenue : valeur en risque</t>
        </is>
      </c>
      <c r="C155" s="12" t="inlineStr">
        <is>
          <t>231</t>
        </is>
      </c>
      <c r="D155" s="12" t="inlineStr">
        <is>
          <t>bilan au 31/08/2026</t>
        </is>
      </c>
    </row>
    <row r="156">
      <c r="A156" s="9" t="inlineStr">
        <is>
          <t>Annexe</t>
        </is>
      </c>
      <c r="B156" s="10" t="inlineStr">
        <is>
          <t>Méthode non retenue : capital de solvabilité</t>
        </is>
      </c>
      <c r="C156" s="10" t="inlineStr">
        <is>
          <t>232</t>
        </is>
      </c>
      <c r="D156" s="10" t="inlineStr">
        <is>
          <t>ratios de 2020 au 31/08/2026</t>
        </is>
      </c>
    </row>
    <row r="157">
      <c r="A157" s="9" t="inlineStr">
        <is>
          <t>Annexe</t>
        </is>
      </c>
      <c r="B157" s="12" t="inlineStr">
        <is>
          <t>Fichiers sources (1/3)</t>
        </is>
      </c>
      <c r="C157" s="12" t="inlineStr">
        <is>
          <t>233</t>
        </is>
      </c>
      <c r="D157" s="12" t="inlineStr">
        <is>
          <t>fichiers reçus jusqu'au 22/10/2026 et retenus après les contrôles de la partie 3</t>
        </is>
      </c>
    </row>
    <row r="158">
      <c r="A158" s="9" t="inlineStr">
        <is>
          <t>Annexe</t>
        </is>
      </c>
      <c r="B158" s="10" t="inlineStr">
        <is>
          <t>Fichiers sources (2/3)</t>
        </is>
      </c>
      <c r="C158" s="10" t="inlineStr">
        <is>
          <t>234</t>
        </is>
      </c>
      <c r="D158" s="10" t="inlineStr">
        <is>
          <t>fichiers reçus jusqu'au 22/10/2026 et retenus après les contrôles de la partie 3</t>
        </is>
      </c>
    </row>
    <row r="159">
      <c r="A159" s="9" t="inlineStr">
        <is>
          <t>Annexe</t>
        </is>
      </c>
      <c r="B159" s="12" t="inlineStr">
        <is>
          <t>Fichiers sources (3/3)</t>
        </is>
      </c>
      <c r="C159" s="12" t="inlineStr">
        <is>
          <t>235</t>
        </is>
      </c>
      <c r="D159" s="12" t="inlineStr">
        <is>
          <t>fichiers reçus jusqu'au 22/10/2026 et retenus après les contrôles de la partie 3</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26"/>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2.5" customWidth="1" min="3" max="3"/>
    <col width="11.05" customWidth="1" min="4" max="4"/>
    <col width="17.95" customWidth="1" min="5" max="5"/>
  </cols>
  <sheetData>
    <row r="1">
      <c r="A1" s="7" t="inlineStr">
        <is>
          <t>Tableau : Couverture des fichiers de précomptes reçus, par poste et par sens</t>
        </is>
      </c>
    </row>
    <row r="2" ht="25" customHeight="1">
      <c r="A2" s="25" t="inlineStr">
        <is>
          <t>À quoi sert cet onglet</t>
        </is>
      </c>
      <c r="B2" s="26" t="inlineStr">
        <is>
          <t>Dire, pour chaque fichier de précompte (poste et sens aller ou retour), combien de mois ont été reçus, avec combien de lignes et quel montant.</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Mois reçus = nombre de mois différents couverts par au moins un fichier lisible. Lignes = nombre de lignes d'agents. Montant = somme de la colonne montant. Les valeurs sont calculées par les scripts de la mission et collées ici ; la formule de chaque colonne est donnée dans « Comment le calcul est fait ».</t>
        </is>
      </c>
    </row>
    <row r="5" ht="25" customHeight="1">
      <c r="A5" s="25" t="inlineStr">
        <is>
          <t>Comment lire le résultat</t>
        </is>
      </c>
      <c r="B5" s="26" t="inlineStr">
        <is>
          <t>Un poste avec peu de mois reçus ne permet pas de conclusion sur toute la période. Le sens « aller » est la demande du FPPN, le sens « retour » ce que la Solde ou la CGRAE a réellement précompté.</t>
        </is>
      </c>
    </row>
    <row r="6" ht="15" customHeight="1">
      <c r="A6" s="25" t="inlineStr">
        <is>
          <t>Valable pour</t>
        </is>
      </c>
      <c r="B6" s="26" t="inlineStr">
        <is>
          <t>Fichiers reçus le 15/10/2026, janvier 2020 à août 2026 selon le poste.</t>
        </is>
      </c>
    </row>
    <row r="7" ht="15" customHeight="1">
      <c r="A7" s="25" t="inlineStr">
        <is>
          <t>Limites</t>
        </is>
      </c>
      <c r="B7" s="26" t="inlineStr">
        <is>
          <t>Un mois reçu peut être incomplet si le fichier l'est.</t>
        </is>
      </c>
    </row>
    <row r="8"/>
    <row r="9"/>
    <row r="10" ht="30" customHeight="1">
      <c r="A10" s="8" t="inlineStr">
        <is>
          <t>Poste</t>
        </is>
      </c>
      <c r="B10" s="8" t="inlineStr">
        <is>
          <t>Sens</t>
        </is>
      </c>
      <c r="C10" s="8" t="inlineStr">
        <is>
          <t>Mois recus</t>
        </is>
      </c>
      <c r="D10" s="8" t="inlineStr">
        <is>
          <t>Lignes</t>
        </is>
      </c>
      <c r="E10" s="8" t="inlineStr">
        <is>
          <t>Montant</t>
        </is>
      </c>
    </row>
    <row r="11">
      <c r="A11" s="27" t="inlineStr">
        <is>
          <t>870</t>
        </is>
      </c>
      <c r="B11" s="28" t="inlineStr">
        <is>
          <t>aller</t>
        </is>
      </c>
      <c r="C11" s="29" t="n">
        <v>39</v>
      </c>
      <c r="D11" s="29" t="n">
        <v>734379</v>
      </c>
      <c r="E11" s="29" t="n">
        <v>6608738680</v>
      </c>
    </row>
    <row r="12">
      <c r="A12" s="27" t="inlineStr">
        <is>
          <t>870</t>
        </is>
      </c>
      <c r="B12" s="30" t="inlineStr">
        <is>
          <t>retour</t>
        </is>
      </c>
      <c r="C12" s="31" t="n">
        <v>43</v>
      </c>
      <c r="D12" s="31" t="n">
        <v>794940</v>
      </c>
      <c r="E12" s="31" t="n">
        <v>7195540920</v>
      </c>
    </row>
    <row r="13">
      <c r="A13" s="27" t="inlineStr">
        <is>
          <t>8Z6</t>
        </is>
      </c>
      <c r="B13" s="28" t="inlineStr">
        <is>
          <t>retour</t>
        </is>
      </c>
      <c r="C13" s="29" t="n">
        <v>24</v>
      </c>
      <c r="D13" s="29" t="n">
        <v>699202</v>
      </c>
      <c r="E13" s="29" t="n">
        <v>1619954356</v>
      </c>
    </row>
    <row r="14">
      <c r="A14" s="27" t="inlineStr">
        <is>
          <t>8Z7</t>
        </is>
      </c>
      <c r="B14" s="30" t="inlineStr">
        <is>
          <t>aller</t>
        </is>
      </c>
      <c r="C14" s="31" t="n">
        <v>10</v>
      </c>
      <c r="D14" s="31" t="n">
        <v>1327</v>
      </c>
      <c r="E14" s="31" t="n">
        <v>6635000</v>
      </c>
    </row>
    <row r="15">
      <c r="A15" s="27" t="inlineStr">
        <is>
          <t>8Z7</t>
        </is>
      </c>
      <c r="B15" s="28" t="inlineStr">
        <is>
          <t>retour</t>
        </is>
      </c>
      <c r="C15" s="29" t="n">
        <v>6</v>
      </c>
      <c r="D15" s="29" t="n">
        <v>789</v>
      </c>
      <c r="E15" s="29" t="n">
        <v>3945000</v>
      </c>
    </row>
    <row r="16">
      <c r="A16" s="27" t="inlineStr">
        <is>
          <t>936</t>
        </is>
      </c>
      <c r="B16" s="30" t="inlineStr">
        <is>
          <t>retour</t>
        </is>
      </c>
      <c r="C16" s="31" t="n">
        <v>31</v>
      </c>
      <c r="D16" s="31" t="n">
        <v>885607</v>
      </c>
      <c r="E16" s="31" t="n">
        <v>6370255261</v>
      </c>
    </row>
    <row r="17">
      <c r="A17" s="27" t="inlineStr">
        <is>
          <t>998</t>
        </is>
      </c>
      <c r="B17" s="28" t="inlineStr">
        <is>
          <t>aller</t>
        </is>
      </c>
      <c r="C17" s="29" t="n">
        <v>39</v>
      </c>
      <c r="D17" s="29" t="n">
        <v>407160</v>
      </c>
      <c r="E17" s="29" t="n">
        <v>5342720319</v>
      </c>
    </row>
    <row r="18">
      <c r="A18" s="27" t="inlineStr">
        <is>
          <t>998</t>
        </is>
      </c>
      <c r="B18" s="30" t="inlineStr">
        <is>
          <t>retour</t>
        </is>
      </c>
      <c r="C18" s="31" t="n">
        <v>80</v>
      </c>
      <c r="D18" s="31" t="n">
        <v>521420</v>
      </c>
      <c r="E18" s="31" t="n">
        <v>7146830174</v>
      </c>
    </row>
    <row r="19">
      <c r="A19" s="27" t="inlineStr">
        <is>
          <t>9W3</t>
        </is>
      </c>
      <c r="B19" s="28" t="inlineStr">
        <is>
          <t>aller</t>
        </is>
      </c>
      <c r="C19" s="29" t="n">
        <v>35</v>
      </c>
      <c r="D19" s="29" t="n">
        <v>2183</v>
      </c>
      <c r="E19" s="29" t="n">
        <v>21467284</v>
      </c>
    </row>
    <row r="20">
      <c r="A20" s="27" t="inlineStr">
        <is>
          <t>9W3</t>
        </is>
      </c>
      <c r="B20" s="30" t="inlineStr">
        <is>
          <t>retour</t>
        </is>
      </c>
      <c r="C20" s="31" t="n">
        <v>37</v>
      </c>
      <c r="D20" s="31" t="n">
        <v>2135</v>
      </c>
      <c r="E20" s="31" t="n">
        <v>21483697</v>
      </c>
    </row>
    <row r="21">
      <c r="A21" s="27" t="inlineStr">
        <is>
          <t>9X4</t>
        </is>
      </c>
      <c r="B21" s="28" t="inlineStr">
        <is>
          <t>aller</t>
        </is>
      </c>
      <c r="C21" s="29" t="n">
        <v>51</v>
      </c>
      <c r="D21" s="29" t="n">
        <v>65590</v>
      </c>
      <c r="E21" s="29" t="n">
        <v>3955320403</v>
      </c>
    </row>
    <row r="22">
      <c r="A22" s="27" t="inlineStr">
        <is>
          <t>9X4</t>
        </is>
      </c>
      <c r="B22" s="30" t="inlineStr">
        <is>
          <t>retour</t>
        </is>
      </c>
      <c r="C22" s="31" t="n">
        <v>43</v>
      </c>
      <c r="D22" s="31" t="n">
        <v>66252</v>
      </c>
      <c r="E22" s="31" t="n">
        <v>3989500133</v>
      </c>
    </row>
    <row r="23">
      <c r="A23" s="27" t="inlineStr">
        <is>
          <t>CGRAE</t>
        </is>
      </c>
      <c r="B23" s="28" t="inlineStr">
        <is>
          <t>aller</t>
        </is>
      </c>
      <c r="C23" s="29" t="n">
        <v>31</v>
      </c>
      <c r="D23" s="29" t="n">
        <v>11475</v>
      </c>
      <c r="E23" s="29" t="n">
        <v>136533538</v>
      </c>
    </row>
    <row r="24">
      <c r="A24" s="27" t="inlineStr">
        <is>
          <t>CGRAE</t>
        </is>
      </c>
      <c r="B24" s="30" t="inlineStr">
        <is>
          <t>retour</t>
        </is>
      </c>
      <c r="C24" s="31" t="n">
        <v>30</v>
      </c>
      <c r="D24" s="31" t="n">
        <v>11353</v>
      </c>
      <c r="E24" s="31" t="n">
        <v>134858143</v>
      </c>
    </row>
    <row r="25"/>
    <row r="26">
      <c r="A26"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1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4.6" customWidth="1" min="2" max="2"/>
    <col width="17.95" customWidth="1" min="3" max="3"/>
    <col width="17.95" customWidth="1" min="4" max="4"/>
    <col width="19.85" customWidth="1" min="5" max="5"/>
    <col width="18.8" customWidth="1" min="6" max="6"/>
    <col width="18.8" customWidth="1" min="7" max="7"/>
  </cols>
  <sheetData>
    <row r="1">
      <c r="A1" s="7" t="inlineStr">
        <is>
          <t>Tableau : Rapprochement des fichiers aller et retour, par poste</t>
        </is>
      </c>
    </row>
    <row r="2" ht="25" customHeight="1">
      <c r="A2" s="25" t="inlineStr">
        <is>
          <t>À quoi sert cet onglet</t>
        </is>
      </c>
      <c r="B2" s="26" t="inlineStr">
        <is>
          <t>Comparer ce que le FPPN a demandé (fichier aller) et ce qui a été précompté (fichier retour), poste par poste.</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Taux de recouvrement = montant retour / montant aller, sur les mois où les deux fichiers existent. Taux minimum et maximum : le plus faible et le plus fort des taux mensuels. Les valeurs sont calculées par les scripts de la mission et collées ici ; la formule de chaque colonne est donnée dans « Comment le calcul est fait ».</t>
        </is>
      </c>
    </row>
    <row r="5" ht="15" customHeight="1">
      <c r="A5" s="25" t="inlineStr">
        <is>
          <t>Comment lire le résultat</t>
        </is>
      </c>
      <c r="B5" s="26" t="inlineStr">
        <is>
          <t>Un taux de 97 % veut dire que 3 % de ce qui était demandé n'a pas été précompté.</t>
        </is>
      </c>
    </row>
    <row r="6" ht="15" customHeight="1">
      <c r="A6" s="25" t="inlineStr">
        <is>
          <t>Valable pour</t>
        </is>
      </c>
      <c r="B6" s="26" t="inlineStr">
        <is>
          <t>Mois communs aux fichiers aller et retour de chaque poste.</t>
        </is>
      </c>
    </row>
    <row r="7" ht="15" customHeight="1">
      <c r="A7" s="25" t="inlineStr">
        <is>
          <t>Limites</t>
        </is>
      </c>
      <c r="B7" s="26" t="inlineStr">
        <is>
          <t>Comparaison des totaux du mois, pas agent par agent.</t>
        </is>
      </c>
    </row>
    <row r="8"/>
    <row r="9"/>
    <row r="10" ht="30" customHeight="1">
      <c r="A10" s="8" t="inlineStr">
        <is>
          <t>Poste</t>
        </is>
      </c>
      <c r="B10" s="8" t="inlineStr">
        <is>
          <t>Mois communs</t>
        </is>
      </c>
      <c r="C10" s="8" t="inlineStr">
        <is>
          <t>Montant aller</t>
        </is>
      </c>
      <c r="D10" s="8" t="inlineStr">
        <is>
          <t>Montant retour</t>
        </is>
      </c>
      <c r="E10" s="8" t="inlineStr">
        <is>
          <t>Taux recouvrement</t>
        </is>
      </c>
      <c r="F10" s="8" t="inlineStr">
        <is>
          <t>Taux min mensuel</t>
        </is>
      </c>
      <c r="G10" s="8" t="inlineStr">
        <is>
          <t>Taux max mensuel</t>
        </is>
      </c>
    </row>
    <row r="11">
      <c r="A11" s="27" t="inlineStr">
        <is>
          <t>870</t>
        </is>
      </c>
      <c r="B11" s="29" t="n">
        <v>38</v>
      </c>
      <c r="C11" s="29" t="n">
        <v>6422575600</v>
      </c>
      <c r="D11" s="29" t="n">
        <v>6266994520</v>
      </c>
      <c r="E11" s="32" t="n">
        <v>0.9757759052302942</v>
      </c>
      <c r="F11" s="32" t="n">
        <v>0.9597304768534439</v>
      </c>
      <c r="G11" s="32" t="n">
        <v>0.9862437579081507</v>
      </c>
    </row>
    <row r="12">
      <c r="A12" s="27" t="inlineStr">
        <is>
          <t>998</t>
        </is>
      </c>
      <c r="B12" s="31" t="n">
        <v>39</v>
      </c>
      <c r="C12" s="31" t="n">
        <v>5342720319</v>
      </c>
      <c r="D12" s="31" t="n">
        <v>5221426994</v>
      </c>
      <c r="E12" s="33" t="n">
        <v>0.9772974593918661</v>
      </c>
      <c r="F12" s="33" t="n">
        <v>0.7696383299683615</v>
      </c>
      <c r="G12" s="33" t="n">
        <v>1.506248957911231</v>
      </c>
    </row>
    <row r="13">
      <c r="A13" s="27" t="inlineStr">
        <is>
          <t>9X4</t>
        </is>
      </c>
      <c r="B13" s="29" t="n">
        <v>40</v>
      </c>
      <c r="C13" s="29" t="n">
        <v>3776958695</v>
      </c>
      <c r="D13" s="29" t="n">
        <v>3706954888</v>
      </c>
      <c r="E13" s="32" t="n">
        <v>0.9814655619367317</v>
      </c>
      <c r="F13" s="32" t="n">
        <v>0.691882494215768</v>
      </c>
      <c r="G13" s="32" t="n">
        <v>0.998757698297866</v>
      </c>
    </row>
    <row r="14">
      <c r="A14" s="27" t="inlineStr">
        <is>
          <t>9W3</t>
        </is>
      </c>
      <c r="B14" s="31" t="n">
        <v>32</v>
      </c>
      <c r="C14" s="31" t="n">
        <v>19753437</v>
      </c>
      <c r="D14" s="31" t="n">
        <v>19528907</v>
      </c>
      <c r="E14" s="33" t="n">
        <v>0.9886333704863615</v>
      </c>
      <c r="F14" s="33" t="n">
        <v>0.8220351879669721</v>
      </c>
      <c r="G14" s="33" t="n">
        <v>1.936383298040201</v>
      </c>
    </row>
    <row r="15">
      <c r="A15" s="27" t="inlineStr">
        <is>
          <t>CGRAE</t>
        </is>
      </c>
      <c r="B15" s="29" t="n">
        <v>30</v>
      </c>
      <c r="C15" s="29" t="n">
        <v>134607981</v>
      </c>
      <c r="D15" s="29" t="n">
        <v>134858143</v>
      </c>
      <c r="E15" s="32" t="n">
        <v>1.001858448497196</v>
      </c>
      <c r="F15" s="32" t="n">
        <v>0.9662378619164926</v>
      </c>
      <c r="G15" s="32" t="n">
        <v>1.029850068388026</v>
      </c>
    </row>
    <row r="16">
      <c r="A16" s="27" t="inlineStr">
        <is>
          <t>8Z7</t>
        </is>
      </c>
      <c r="B16" s="31" t="n">
        <v>6</v>
      </c>
      <c r="C16" s="31" t="n">
        <v>4050000</v>
      </c>
      <c r="D16" s="31" t="n">
        <v>3945000</v>
      </c>
      <c r="E16" s="33" t="n">
        <v>0.9740740740740741</v>
      </c>
      <c r="F16" s="33" t="n">
        <v>0.9663865546218487</v>
      </c>
      <c r="G16" s="33" t="n">
        <v>0.9915966386554622</v>
      </c>
    </row>
    <row r="17"/>
    <row r="18">
      <c r="A18" s="14" t="inlineStr">
        <is>
          <t>Source : fichiers de précomptes de la Solde, de la CGRAE et du FPPN reçus le 15/10/2026 ; traitements Adenka</t>
        </is>
      </c>
    </row>
  </sheetData>
  <mergeCells count="6">
    <mergeCell ref="B3:G3"/>
    <mergeCell ref="B2:G2"/>
    <mergeCell ref="B5:G5"/>
    <mergeCell ref="B4:G4"/>
    <mergeCell ref="B7:G7"/>
    <mergeCell ref="B6:G6"/>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1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0" customWidth="1" min="3" max="3"/>
  </cols>
  <sheetData>
    <row r="1">
      <c r="A1" s="7" t="inlineStr">
        <is>
          <t>Tableau : Lignes écartées des traitements, par motif</t>
        </is>
      </c>
    </row>
    <row r="2" ht="15" customHeight="1">
      <c r="A2" s="25" t="inlineStr">
        <is>
          <t>À quoi sert cet onglet</t>
        </is>
      </c>
      <c r="B2" s="26" t="inlineStr">
        <is>
          <t>Lister les lignes écartées des calculs et pourquoi (ligne de total, montant doublé, colonne illisible).</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25" customHeight="1">
      <c r="A4" s="25" t="inlineStr">
        <is>
          <t>Comment le calcul est fait</t>
        </is>
      </c>
      <c r="B4" s="26" t="inlineStr">
        <is>
          <t>Chaque ligne écartée est comptée par motif. Les valeurs sont calculées par les scripts de la mission et collées ici ; la formule de chaque colonne est donnée dans « Comment le calcul est fait ».</t>
        </is>
      </c>
    </row>
    <row r="5" ht="15" customHeight="1">
      <c r="A5" s="25" t="inlineStr">
        <is>
          <t>Comment lire le résultat</t>
        </is>
      </c>
      <c r="B5" s="26" t="inlineStr">
        <is>
          <t>Les lignes écartées ne sont pas des pertes : ce sont des lignes qui auraient faussé les totaux.</t>
        </is>
      </c>
    </row>
    <row r="6" ht="15" customHeight="1">
      <c r="A6" s="25" t="inlineStr">
        <is>
          <t>Valable pour</t>
        </is>
      </c>
      <c r="B6" s="26" t="inlineStr">
        <is>
          <t>Fichiers reçus le 15/10/2026.</t>
        </is>
      </c>
    </row>
    <row r="7" ht="15" customHeight="1">
      <c r="A7" s="25" t="inlineStr">
        <is>
          <t>Limites</t>
        </is>
      </c>
      <c r="B7" s="26" t="inlineStr">
        <is>
          <t>Aucune.</t>
        </is>
      </c>
    </row>
    <row r="8"/>
    <row r="9"/>
    <row r="10" ht="30" customHeight="1">
      <c r="A10" s="8" t="inlineStr">
        <is>
          <t>Motif court</t>
        </is>
      </c>
      <c r="B10" s="8" t="inlineStr">
        <is>
          <t>Entrées</t>
        </is>
      </c>
      <c r="C10" s="8" t="inlineStr">
        <is>
          <t>Lignes</t>
        </is>
      </c>
    </row>
    <row r="11">
      <c r="A11" s="27" t="inlineStr">
        <is>
          <t>colonnes non reconnues</t>
        </is>
      </c>
      <c r="B11" s="29" t="n">
        <v>7</v>
      </c>
      <c r="C11" s="29" t="n">
        <v>31</v>
      </c>
    </row>
    <row r="12">
      <c r="A12" s="27" t="inlineStr">
        <is>
          <t>feuille annexe sans en-tête (autre feuille du fichier retenue)</t>
        </is>
      </c>
      <c r="B12" s="31" t="n">
        <v>14</v>
      </c>
      <c r="C12" s="31" t="n">
        <v>5308</v>
      </c>
    </row>
    <row r="13">
      <c r="A13" s="27" t="inlineStr">
        <is>
          <t>ligne de total ou sans nom</t>
        </is>
      </c>
      <c r="B13" s="29" t="n">
        <v>87</v>
      </c>
      <c r="C13" s="29" t="n">
        <v>87</v>
      </c>
    </row>
    <row r="14">
      <c r="A14" s="27" t="inlineStr">
        <is>
          <t>ligne texte non reconnue</t>
        </is>
      </c>
      <c r="B14" s="31" t="n">
        <v>22</v>
      </c>
      <c r="C14" s="31" t="n">
        <v>5498</v>
      </c>
    </row>
    <row r="15">
      <c r="A15" s="27" t="inlineStr">
        <is>
          <t>matricule invalide</t>
        </is>
      </c>
      <c r="B15" s="29" t="n">
        <v>124</v>
      </c>
      <c r="C15" s="29" t="n">
        <v>124</v>
      </c>
    </row>
    <row r="16">
      <c r="A16" s="27" t="inlineStr">
        <is>
          <t>mois non déterminé [(2023, 2), (2023, 3)]</t>
        </is>
      </c>
      <c r="B16" s="31" t="n">
        <v>1</v>
      </c>
      <c r="C16" s="31" t="n">
        <v>0</v>
      </c>
    </row>
    <row r="17"/>
    <row r="18">
      <c r="A18"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G44"/>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1.45" customWidth="1" min="3" max="3"/>
    <col width="15.65" customWidth="1" min="4" max="4"/>
    <col width="11.45" customWidth="1" min="5" max="5"/>
    <col width="15.65" customWidth="1" min="6" max="6"/>
    <col width="12.2" customWidth="1" min="7" max="7"/>
  </cols>
  <sheetData>
    <row r="1">
      <c r="A1" s="7" t="inlineStr">
        <is>
          <t>Tableau : Cotisants et retraités précomptés, par mois</t>
        </is>
      </c>
    </row>
    <row r="2" ht="25" customHeight="1">
      <c r="A2" s="25" t="inlineStr">
        <is>
          <t>À quoi sert cet onglet</t>
        </is>
      </c>
      <c r="B2" s="26" t="inlineStr">
        <is>
          <t>Compter, mois par mois, les policiers en activité qui cotisent (poste 936) et les retraités précomptés par la CGRAE.</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Cotisants = nombre de matricules différents précomptés dans le mois. Montant = somme précomptée. Les valeurs sont calculées par les scripts de la mission et collées ici ; la formule de chaque colonne est donnée dans « Comment le calcul est fait ».</t>
        </is>
      </c>
    </row>
    <row r="5" ht="15" customHeight="1">
      <c r="A5" s="25" t="inlineStr">
        <is>
          <t>Comment lire le résultat</t>
        </is>
      </c>
      <c r="B5" s="26" t="inlineStr">
        <is>
          <t>Une baisse brutale un mois isolé signale souvent un fichier incomplet (décembre 2024 est vide).</t>
        </is>
      </c>
    </row>
    <row r="6" ht="15" customHeight="1">
      <c r="A6" s="25" t="inlineStr">
        <is>
          <t>Valable pour</t>
        </is>
      </c>
      <c r="B6" s="26" t="inlineStr">
        <is>
          <t>Janvier 2024 à septembre 2026 (actifs), février 2024 à août 2026 (retraités).</t>
        </is>
      </c>
    </row>
    <row r="7" ht="15" customHeight="1">
      <c r="A7" s="25" t="inlineStr">
        <is>
          <t>Limites</t>
        </is>
      </c>
      <c r="B7" s="26" t="inlineStr">
        <is>
          <t>Pas d'âge ni de sexe dans ces fichiers.</t>
        </is>
      </c>
    </row>
    <row r="8"/>
    <row r="9"/>
    <row r="10" ht="30" customHeight="1">
      <c r="A10" s="8" t="inlineStr">
        <is>
          <t>Année</t>
        </is>
      </c>
      <c r="B10" s="8" t="inlineStr">
        <is>
          <t>Mois</t>
        </is>
      </c>
      <c r="C10" s="8" t="inlineStr">
        <is>
          <t>Cotisants</t>
        </is>
      </c>
      <c r="D10" s="8" t="inlineStr">
        <is>
          <t>Montant</t>
        </is>
      </c>
      <c r="E10" s="8" t="inlineStr">
        <is>
          <t>Retraités</t>
        </is>
      </c>
      <c r="F10" s="8" t="inlineStr">
        <is>
          <t>Montant CGRAE</t>
        </is>
      </c>
      <c r="G10" s="8" t="inlineStr">
        <is>
          <t>Libelle</t>
        </is>
      </c>
    </row>
    <row r="11">
      <c r="A11" s="34" t="n">
        <v>2024</v>
      </c>
      <c r="B11" s="35" t="n">
        <v>1</v>
      </c>
      <c r="C11" s="29" t="n">
        <v>23119</v>
      </c>
      <c r="D11" s="29" t="n">
        <v>177925157</v>
      </c>
      <c r="E11" s="28" t="n"/>
      <c r="F11" s="28" t="n"/>
      <c r="G11" s="28" t="inlineStr">
        <is>
          <t>janv. 24</t>
        </is>
      </c>
    </row>
    <row r="12">
      <c r="A12" s="34" t="n">
        <v>2024</v>
      </c>
      <c r="B12" s="36" t="n">
        <v>2</v>
      </c>
      <c r="C12" s="31" t="n">
        <v>23129</v>
      </c>
      <c r="D12" s="31" t="n">
        <v>182281412</v>
      </c>
      <c r="E12" s="31" t="n">
        <v>16</v>
      </c>
      <c r="F12" s="31" t="n">
        <v>202655</v>
      </c>
      <c r="G12" s="30" t="inlineStr">
        <is>
          <t>févr. 24</t>
        </is>
      </c>
    </row>
    <row r="13">
      <c r="A13" s="34" t="n">
        <v>2024</v>
      </c>
      <c r="B13" s="35" t="n">
        <v>3</v>
      </c>
      <c r="C13" s="29" t="n">
        <v>23123</v>
      </c>
      <c r="D13" s="29" t="n">
        <v>179627998</v>
      </c>
      <c r="E13" s="29" t="n">
        <v>84</v>
      </c>
      <c r="F13" s="29" t="n">
        <v>973058</v>
      </c>
      <c r="G13" s="28" t="inlineStr">
        <is>
          <t>mars 24</t>
        </is>
      </c>
    </row>
    <row r="14">
      <c r="A14" s="34" t="n">
        <v>2024</v>
      </c>
      <c r="B14" s="36" t="n">
        <v>4</v>
      </c>
      <c r="C14" s="31" t="n">
        <v>23126</v>
      </c>
      <c r="D14" s="31" t="n">
        <v>181231050</v>
      </c>
      <c r="E14" s="31" t="n">
        <v>105</v>
      </c>
      <c r="F14" s="31" t="n">
        <v>1225639</v>
      </c>
      <c r="G14" s="30" t="inlineStr">
        <is>
          <t>avr. 24</t>
        </is>
      </c>
    </row>
    <row r="15">
      <c r="A15" s="34" t="n">
        <v>2024</v>
      </c>
      <c r="B15" s="35" t="n">
        <v>5</v>
      </c>
      <c r="C15" s="29" t="n">
        <v>23416</v>
      </c>
      <c r="D15" s="29" t="n">
        <v>175381072</v>
      </c>
      <c r="E15" s="29" t="n">
        <v>134</v>
      </c>
      <c r="F15" s="29" t="n">
        <v>1530085</v>
      </c>
      <c r="G15" s="28" t="inlineStr">
        <is>
          <t>mai 24</t>
        </is>
      </c>
    </row>
    <row r="16">
      <c r="A16" s="34" t="n">
        <v>2024</v>
      </c>
      <c r="B16" s="36" t="n">
        <v>6</v>
      </c>
      <c r="C16" s="31" t="n">
        <v>23411</v>
      </c>
      <c r="D16" s="31" t="n">
        <v>175001969</v>
      </c>
      <c r="E16" s="30" t="n"/>
      <c r="F16" s="30" t="n"/>
      <c r="G16" s="30" t="inlineStr">
        <is>
          <t>juin 24</t>
        </is>
      </c>
    </row>
    <row r="17">
      <c r="A17" s="34" t="n">
        <v>2024</v>
      </c>
      <c r="B17" s="35" t="n">
        <v>7</v>
      </c>
      <c r="C17" s="29" t="n">
        <v>27698</v>
      </c>
      <c r="D17" s="29" t="n">
        <v>199931341</v>
      </c>
      <c r="E17" s="29" t="n">
        <v>176</v>
      </c>
      <c r="F17" s="29" t="n">
        <v>2097392</v>
      </c>
      <c r="G17" s="28" t="inlineStr">
        <is>
          <t>juil. 24</t>
        </is>
      </c>
    </row>
    <row r="18">
      <c r="A18" s="34" t="n">
        <v>2024</v>
      </c>
      <c r="B18" s="36" t="n">
        <v>8</v>
      </c>
      <c r="C18" s="31" t="n">
        <v>27682</v>
      </c>
      <c r="D18" s="31" t="n">
        <v>199494732</v>
      </c>
      <c r="E18" s="31" t="n">
        <v>196</v>
      </c>
      <c r="F18" s="31" t="n">
        <v>2328547</v>
      </c>
      <c r="G18" s="30" t="inlineStr">
        <is>
          <t>août 24</t>
        </is>
      </c>
    </row>
    <row r="19">
      <c r="A19" s="34" t="n">
        <v>2024</v>
      </c>
      <c r="B19" s="35" t="n">
        <v>9</v>
      </c>
      <c r="C19" s="29" t="n">
        <v>27670</v>
      </c>
      <c r="D19" s="29" t="n">
        <v>199180915</v>
      </c>
      <c r="E19" s="29" t="n">
        <v>237</v>
      </c>
      <c r="F19" s="29" t="n">
        <v>2778100</v>
      </c>
      <c r="G19" s="28" t="inlineStr">
        <is>
          <t>sept. 24</t>
        </is>
      </c>
    </row>
    <row r="20">
      <c r="A20" s="34" t="n">
        <v>2024</v>
      </c>
      <c r="B20" s="36" t="n">
        <v>10</v>
      </c>
      <c r="C20" s="31" t="n">
        <v>28168</v>
      </c>
      <c r="D20" s="31" t="n">
        <v>207774094</v>
      </c>
      <c r="E20" s="31" t="n">
        <v>255</v>
      </c>
      <c r="F20" s="31" t="n">
        <v>3019776</v>
      </c>
      <c r="G20" s="30" t="inlineStr">
        <is>
          <t>oct. 24</t>
        </is>
      </c>
    </row>
    <row r="21">
      <c r="A21" s="34" t="n">
        <v>2024</v>
      </c>
      <c r="B21" s="35" t="n">
        <v>11</v>
      </c>
      <c r="C21" s="29" t="n">
        <v>27606</v>
      </c>
      <c r="D21" s="29" t="n">
        <v>201164582</v>
      </c>
      <c r="E21" s="29" t="n">
        <v>280</v>
      </c>
      <c r="F21" s="29" t="n">
        <v>3347635</v>
      </c>
      <c r="G21" s="28" t="inlineStr">
        <is>
          <t>nov. 24</t>
        </is>
      </c>
    </row>
    <row r="22">
      <c r="A22" s="34" t="n">
        <v>2024</v>
      </c>
      <c r="B22" s="36" t="n">
        <v>12</v>
      </c>
      <c r="C22" s="30" t="n"/>
      <c r="D22" s="30" t="n"/>
      <c r="E22" s="31" t="n">
        <v>291</v>
      </c>
      <c r="F22" s="31" t="n">
        <v>3477487</v>
      </c>
      <c r="G22" s="30" t="inlineStr">
        <is>
          <t>déc. 24</t>
        </is>
      </c>
    </row>
    <row r="23">
      <c r="A23" s="34" t="n">
        <v>2025</v>
      </c>
      <c r="B23" s="35" t="n">
        <v>1</v>
      </c>
      <c r="C23" s="29" t="n">
        <v>27866</v>
      </c>
      <c r="D23" s="29" t="n">
        <v>202310848</v>
      </c>
      <c r="E23" s="29" t="n">
        <v>306</v>
      </c>
      <c r="F23" s="29" t="n">
        <v>3640015</v>
      </c>
      <c r="G23" s="28" t="inlineStr">
        <is>
          <t>janv. 25</t>
        </is>
      </c>
    </row>
    <row r="24">
      <c r="A24" s="34" t="n">
        <v>2025</v>
      </c>
      <c r="B24" s="36" t="n">
        <v>2</v>
      </c>
      <c r="C24" s="31" t="n">
        <v>27858</v>
      </c>
      <c r="D24" s="31" t="n">
        <v>202597314</v>
      </c>
      <c r="E24" s="31" t="n">
        <v>314</v>
      </c>
      <c r="F24" s="31" t="n">
        <v>3705595</v>
      </c>
      <c r="G24" s="30" t="inlineStr">
        <is>
          <t>févr. 25</t>
        </is>
      </c>
    </row>
    <row r="25">
      <c r="A25" s="34" t="n">
        <v>2025</v>
      </c>
      <c r="B25" s="35" t="n">
        <v>3</v>
      </c>
      <c r="C25" s="29" t="n">
        <v>27851</v>
      </c>
      <c r="D25" s="29" t="n">
        <v>202500850</v>
      </c>
      <c r="E25" s="29" t="n">
        <v>322</v>
      </c>
      <c r="F25" s="29" t="n">
        <v>3945438</v>
      </c>
      <c r="G25" s="28" t="inlineStr">
        <is>
          <t>mars 25</t>
        </is>
      </c>
    </row>
    <row r="26">
      <c r="A26" s="34" t="n">
        <v>2025</v>
      </c>
      <c r="B26" s="36" t="n">
        <v>4</v>
      </c>
      <c r="C26" s="31" t="n">
        <v>27758</v>
      </c>
      <c r="D26" s="31" t="n">
        <v>202215283</v>
      </c>
      <c r="E26" s="31" t="n">
        <v>336</v>
      </c>
      <c r="F26" s="31" t="n">
        <v>4100298</v>
      </c>
      <c r="G26" s="30" t="inlineStr">
        <is>
          <t>avr. 25</t>
        </is>
      </c>
    </row>
    <row r="27">
      <c r="A27" s="34" t="n">
        <v>2025</v>
      </c>
      <c r="B27" s="35" t="n">
        <v>5</v>
      </c>
      <c r="C27" s="29" t="n">
        <v>27702</v>
      </c>
      <c r="D27" s="29" t="n">
        <v>201893127</v>
      </c>
      <c r="E27" s="29" t="n">
        <v>358</v>
      </c>
      <c r="F27" s="29" t="n">
        <v>4388319</v>
      </c>
      <c r="G27" s="28" t="inlineStr">
        <is>
          <t>mai 25</t>
        </is>
      </c>
    </row>
    <row r="28">
      <c r="A28" s="34" t="n">
        <v>2025</v>
      </c>
      <c r="B28" s="36" t="n">
        <v>6</v>
      </c>
      <c r="C28" s="31" t="n">
        <v>27642</v>
      </c>
      <c r="D28" s="31" t="n">
        <v>201695866</v>
      </c>
      <c r="E28" s="31" t="n">
        <v>368</v>
      </c>
      <c r="F28" s="31" t="n">
        <v>4547518</v>
      </c>
      <c r="G28" s="30" t="inlineStr">
        <is>
          <t>juin 25</t>
        </is>
      </c>
    </row>
    <row r="29">
      <c r="A29" s="34" t="n">
        <v>2025</v>
      </c>
      <c r="B29" s="35" t="n">
        <v>7</v>
      </c>
      <c r="C29" s="29" t="n">
        <v>31724</v>
      </c>
      <c r="D29" s="29" t="n">
        <v>218399063</v>
      </c>
      <c r="E29" s="29" t="n">
        <v>386</v>
      </c>
      <c r="F29" s="29" t="n">
        <v>4646872</v>
      </c>
      <c r="G29" s="28" t="inlineStr">
        <is>
          <t>juil. 25</t>
        </is>
      </c>
    </row>
    <row r="30">
      <c r="A30" s="34" t="n">
        <v>2025</v>
      </c>
      <c r="B30" s="36" t="n">
        <v>8</v>
      </c>
      <c r="C30" s="31" t="n">
        <v>31716</v>
      </c>
      <c r="D30" s="31" t="n">
        <v>218514216</v>
      </c>
      <c r="E30" s="31" t="n">
        <v>409</v>
      </c>
      <c r="F30" s="31" t="n">
        <v>4951746</v>
      </c>
      <c r="G30" s="30" t="inlineStr">
        <is>
          <t>août 25</t>
        </is>
      </c>
    </row>
    <row r="31">
      <c r="A31" s="34" t="n">
        <v>2025</v>
      </c>
      <c r="B31" s="35" t="n">
        <v>9</v>
      </c>
      <c r="C31" s="29" t="n">
        <v>31683</v>
      </c>
      <c r="D31" s="29" t="n">
        <v>219402829</v>
      </c>
      <c r="E31" s="29" t="n">
        <v>468</v>
      </c>
      <c r="F31" s="29" t="n">
        <v>5714322</v>
      </c>
      <c r="G31" s="28" t="inlineStr">
        <is>
          <t>sept. 25</t>
        </is>
      </c>
    </row>
    <row r="32">
      <c r="A32" s="34" t="n">
        <v>2025</v>
      </c>
      <c r="B32" s="36" t="n">
        <v>10</v>
      </c>
      <c r="C32" s="31" t="n">
        <v>31683</v>
      </c>
      <c r="D32" s="31" t="n">
        <v>220013020</v>
      </c>
      <c r="E32" s="31" t="n">
        <v>495</v>
      </c>
      <c r="F32" s="31" t="n">
        <v>6007335</v>
      </c>
      <c r="G32" s="30" t="inlineStr">
        <is>
          <t>oct. 25</t>
        </is>
      </c>
    </row>
    <row r="33">
      <c r="A33" s="34" t="n">
        <v>2025</v>
      </c>
      <c r="B33" s="35" t="n">
        <v>11</v>
      </c>
      <c r="C33" s="29" t="n">
        <v>31647</v>
      </c>
      <c r="D33" s="29" t="n">
        <v>219752860</v>
      </c>
      <c r="E33" s="29" t="n">
        <v>506</v>
      </c>
      <c r="F33" s="29" t="n">
        <v>6010492</v>
      </c>
      <c r="G33" s="28" t="inlineStr">
        <is>
          <t>nov. 25</t>
        </is>
      </c>
    </row>
    <row r="34">
      <c r="A34" s="34" t="n">
        <v>2025</v>
      </c>
      <c r="B34" s="36" t="n">
        <v>12</v>
      </c>
      <c r="C34" s="31" t="n">
        <v>31676</v>
      </c>
      <c r="D34" s="31" t="n">
        <v>220189974</v>
      </c>
      <c r="E34" s="31" t="n">
        <v>532</v>
      </c>
      <c r="F34" s="31" t="n">
        <v>6289780</v>
      </c>
      <c r="G34" s="30" t="inlineStr">
        <is>
          <t>déc. 25</t>
        </is>
      </c>
    </row>
    <row r="35">
      <c r="A35" s="34" t="n">
        <v>2026</v>
      </c>
      <c r="B35" s="35" t="n">
        <v>1</v>
      </c>
      <c r="C35" s="29" t="n">
        <v>31269</v>
      </c>
      <c r="D35" s="29" t="n">
        <v>215790765</v>
      </c>
      <c r="E35" s="29" t="n">
        <v>592</v>
      </c>
      <c r="F35" s="29" t="n">
        <v>6949591</v>
      </c>
      <c r="G35" s="28" t="inlineStr">
        <is>
          <t>janv. 26</t>
        </is>
      </c>
    </row>
    <row r="36">
      <c r="A36" s="34" t="n">
        <v>2026</v>
      </c>
      <c r="B36" s="36" t="n">
        <v>2</v>
      </c>
      <c r="C36" s="31" t="n">
        <v>31260</v>
      </c>
      <c r="D36" s="31" t="n">
        <v>215927332</v>
      </c>
      <c r="E36" s="31" t="n">
        <v>587</v>
      </c>
      <c r="F36" s="31" t="n">
        <v>6904766</v>
      </c>
      <c r="G36" s="30" t="inlineStr">
        <is>
          <t>févr. 26</t>
        </is>
      </c>
    </row>
    <row r="37">
      <c r="A37" s="34" t="n">
        <v>2026</v>
      </c>
      <c r="B37" s="35" t="n">
        <v>3</v>
      </c>
      <c r="C37" s="29" t="n">
        <v>31248</v>
      </c>
      <c r="D37" s="29" t="n">
        <v>216133257</v>
      </c>
      <c r="E37" s="29" t="n">
        <v>584</v>
      </c>
      <c r="F37" s="29" t="n">
        <v>6862774</v>
      </c>
      <c r="G37" s="28" t="inlineStr">
        <is>
          <t>mars 26</t>
        </is>
      </c>
    </row>
    <row r="38">
      <c r="A38" s="34" t="n">
        <v>2026</v>
      </c>
      <c r="B38" s="36" t="n">
        <v>4</v>
      </c>
      <c r="C38" s="31" t="n">
        <v>31238</v>
      </c>
      <c r="D38" s="31" t="n">
        <v>216555445</v>
      </c>
      <c r="E38" s="31" t="n">
        <v>580</v>
      </c>
      <c r="F38" s="31" t="n">
        <v>6822690</v>
      </c>
      <c r="G38" s="30" t="inlineStr">
        <is>
          <t>avr. 26</t>
        </is>
      </c>
    </row>
    <row r="39">
      <c r="A39" s="34" t="n">
        <v>2026</v>
      </c>
      <c r="B39" s="35" t="n">
        <v>5</v>
      </c>
      <c r="C39" s="29" t="n">
        <v>31242</v>
      </c>
      <c r="D39" s="29" t="n">
        <v>224203841</v>
      </c>
      <c r="E39" s="29" t="n">
        <v>584</v>
      </c>
      <c r="F39" s="29" t="n">
        <v>6940839</v>
      </c>
      <c r="G39" s="28" t="inlineStr">
        <is>
          <t>mai 26</t>
        </is>
      </c>
    </row>
    <row r="40">
      <c r="A40" s="34" t="n">
        <v>2026</v>
      </c>
      <c r="B40" s="36" t="n">
        <v>6</v>
      </c>
      <c r="C40" s="31" t="n">
        <v>31232</v>
      </c>
      <c r="D40" s="31" t="n">
        <v>224150651</v>
      </c>
      <c r="E40" s="31" t="n">
        <v>591</v>
      </c>
      <c r="F40" s="31" t="n">
        <v>7040129</v>
      </c>
      <c r="G40" s="30" t="inlineStr">
        <is>
          <t>juin 26</t>
        </is>
      </c>
    </row>
    <row r="41">
      <c r="A41" s="34" t="n">
        <v>2026</v>
      </c>
      <c r="B41" s="35" t="n">
        <v>7</v>
      </c>
      <c r="C41" s="29" t="n">
        <v>31221</v>
      </c>
      <c r="D41" s="29" t="n">
        <v>224553743</v>
      </c>
      <c r="E41" s="29" t="n">
        <v>600</v>
      </c>
      <c r="F41" s="29" t="n">
        <v>7117178</v>
      </c>
      <c r="G41" s="28" t="inlineStr">
        <is>
          <t>juil. 26</t>
        </is>
      </c>
    </row>
    <row r="42">
      <c r="A42" s="34" t="n">
        <v>2026</v>
      </c>
      <c r="B42" s="36" t="n">
        <v>8</v>
      </c>
      <c r="C42" s="31" t="n">
        <v>31198</v>
      </c>
      <c r="D42" s="31" t="n">
        <v>224460655</v>
      </c>
      <c r="E42" s="31" t="n">
        <v>610</v>
      </c>
      <c r="F42" s="31" t="n">
        <v>7292072</v>
      </c>
      <c r="G42" s="30" t="inlineStr">
        <is>
          <t>août 26</t>
        </is>
      </c>
    </row>
    <row r="43"/>
    <row r="44">
      <c r="A44" s="14" t="inlineStr">
        <is>
          <t>Source : fichiers de précomptes de la Solde, de la CGRAE et du FPPN reçus le 15/10/2026 ; traitements Adenka</t>
        </is>
      </c>
    </row>
  </sheetData>
  <mergeCells count="6">
    <mergeCell ref="B3:G3"/>
    <mergeCell ref="B2:G2"/>
    <mergeCell ref="B5:G5"/>
    <mergeCell ref="B4:G4"/>
    <mergeCell ref="B7:G7"/>
    <mergeCell ref="B6:G6"/>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41"/>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4" customWidth="1" min="6" max="6"/>
  </cols>
  <sheetData>
    <row r="1">
      <c r="A1" s="7" t="inlineStr">
        <is>
          <t>Tableau : Entrées et sorties mensuelles de cotisants</t>
        </is>
      </c>
    </row>
    <row r="2" ht="25" customHeight="1">
      <c r="A2" s="25" t="inlineStr">
        <is>
          <t>À quoi sert cet onglet</t>
        </is>
      </c>
      <c r="B2" s="26" t="inlineStr">
        <is>
          <t>Compter les agents qui apparaissent (entrées) et disparaissent (sorties) des précomptes maladie d'un mois à l'autre.</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Entrées = matricules présents ce mois et absents le mois précédent ; sorties = l'inverse. Les valeurs sont calculées par les scripts de la mission et collées ici ; la formule de chaque colonne est donnée dans « Comment le calcul est fait ».</t>
        </is>
      </c>
    </row>
    <row r="5" ht="15" customHeight="1">
      <c r="A5" s="25" t="inlineStr">
        <is>
          <t>Comment lire le résultat</t>
        </is>
      </c>
      <c r="B5" s="26" t="inlineStr">
        <is>
          <t>Les entrées de juillet correspondent aux promotions de recrues.</t>
        </is>
      </c>
    </row>
    <row r="6" ht="15" customHeight="1">
      <c r="A6" s="25" t="inlineStr">
        <is>
          <t>Valable pour</t>
        </is>
      </c>
      <c r="B6" s="26" t="inlineStr">
        <is>
          <t>Février 2024 à septembre 2026.</t>
        </is>
      </c>
    </row>
    <row r="7" ht="15" customHeight="1">
      <c r="A7" s="25" t="inlineStr">
        <is>
          <t>Limites</t>
        </is>
      </c>
      <c r="B7" s="26" t="inlineStr">
        <is>
          <t>Ne distingue pas retraite, décès, radiation ou absence temporaire.</t>
        </is>
      </c>
    </row>
    <row r="8"/>
    <row r="9"/>
    <row r="10" ht="30" customHeight="1">
      <c r="A10" s="8" t="inlineStr">
        <is>
          <t>Mois</t>
        </is>
      </c>
      <c r="B10" s="8" t="inlineStr">
        <is>
          <t>Année</t>
        </is>
      </c>
      <c r="C10" s="8" t="inlineStr">
        <is>
          <t>M</t>
        </is>
      </c>
      <c r="D10" s="8" t="inlineStr">
        <is>
          <t>Entrées</t>
        </is>
      </c>
      <c r="E10" s="8" t="inlineStr">
        <is>
          <t>Sorties</t>
        </is>
      </c>
      <c r="F10" s="8" t="inlineStr">
        <is>
          <t>Effectif</t>
        </is>
      </c>
    </row>
    <row r="11">
      <c r="A11" s="27" t="inlineStr">
        <is>
          <t>févr. 24</t>
        </is>
      </c>
      <c r="B11" s="35" t="n">
        <v>2024</v>
      </c>
      <c r="C11" s="35" t="n">
        <v>2</v>
      </c>
      <c r="D11" s="29" t="n">
        <v>26</v>
      </c>
      <c r="E11" s="29" t="n">
        <v>16</v>
      </c>
      <c r="F11" s="29" t="n">
        <v>23129</v>
      </c>
    </row>
    <row r="12">
      <c r="A12" s="27" t="inlineStr">
        <is>
          <t>mars 24</t>
        </is>
      </c>
      <c r="B12" s="36" t="n">
        <v>2024</v>
      </c>
      <c r="C12" s="36" t="n">
        <v>3</v>
      </c>
      <c r="D12" s="31" t="n">
        <v>4</v>
      </c>
      <c r="E12" s="31" t="n">
        <v>10</v>
      </c>
      <c r="F12" s="31" t="n">
        <v>23123</v>
      </c>
    </row>
    <row r="13">
      <c r="A13" s="27" t="inlineStr">
        <is>
          <t>avr. 24</t>
        </is>
      </c>
      <c r="B13" s="35" t="n">
        <v>2024</v>
      </c>
      <c r="C13" s="35" t="n">
        <v>4</v>
      </c>
      <c r="D13" s="29" t="n">
        <v>17</v>
      </c>
      <c r="E13" s="29" t="n">
        <v>14</v>
      </c>
      <c r="F13" s="29" t="n">
        <v>23126</v>
      </c>
    </row>
    <row r="14">
      <c r="A14" s="27" t="inlineStr">
        <is>
          <t>mai 24</t>
        </is>
      </c>
      <c r="B14" s="36" t="n">
        <v>2024</v>
      </c>
      <c r="C14" s="36" t="n">
        <v>5</v>
      </c>
      <c r="D14" s="31" t="n">
        <v>640</v>
      </c>
      <c r="E14" s="31" t="n">
        <v>350</v>
      </c>
      <c r="F14" s="31" t="n">
        <v>23416</v>
      </c>
    </row>
    <row r="15">
      <c r="A15" s="27" t="inlineStr">
        <is>
          <t>juin 24</t>
        </is>
      </c>
      <c r="B15" s="35" t="n">
        <v>2024</v>
      </c>
      <c r="C15" s="35" t="n">
        <v>6</v>
      </c>
      <c r="D15" s="29" t="n">
        <v>3</v>
      </c>
      <c r="E15" s="29" t="n">
        <v>8</v>
      </c>
      <c r="F15" s="29" t="n">
        <v>23411</v>
      </c>
    </row>
    <row r="16">
      <c r="A16" s="27" t="inlineStr">
        <is>
          <t>juil. 24</t>
        </is>
      </c>
      <c r="B16" s="36" t="n">
        <v>2024</v>
      </c>
      <c r="C16" s="36" t="n">
        <v>7</v>
      </c>
      <c r="D16" s="31" t="n">
        <v>4926</v>
      </c>
      <c r="E16" s="31" t="n">
        <v>639</v>
      </c>
      <c r="F16" s="31" t="n">
        <v>27698</v>
      </c>
    </row>
    <row r="17">
      <c r="A17" s="27" t="inlineStr">
        <is>
          <t>août 24</t>
        </is>
      </c>
      <c r="B17" s="35" t="n">
        <v>2024</v>
      </c>
      <c r="C17" s="35" t="n">
        <v>8</v>
      </c>
      <c r="D17" s="29" t="n">
        <v>4</v>
      </c>
      <c r="E17" s="29" t="n">
        <v>20</v>
      </c>
      <c r="F17" s="29" t="n">
        <v>27682</v>
      </c>
    </row>
    <row r="18">
      <c r="A18" s="27" t="inlineStr">
        <is>
          <t>sept. 24</t>
        </is>
      </c>
      <c r="B18" s="36" t="n">
        <v>2024</v>
      </c>
      <c r="C18" s="36" t="n">
        <v>9</v>
      </c>
      <c r="D18" s="31" t="n">
        <v>3</v>
      </c>
      <c r="E18" s="31" t="n">
        <v>15</v>
      </c>
      <c r="F18" s="31" t="n">
        <v>27670</v>
      </c>
    </row>
    <row r="19">
      <c r="A19" s="27" t="inlineStr">
        <is>
          <t>oct. 24</t>
        </is>
      </c>
      <c r="B19" s="35" t="n">
        <v>2024</v>
      </c>
      <c r="C19" s="35" t="n">
        <v>10</v>
      </c>
      <c r="D19" s="29" t="n">
        <v>583</v>
      </c>
      <c r="E19" s="29" t="n">
        <v>85</v>
      </c>
      <c r="F19" s="29" t="n">
        <v>28168</v>
      </c>
    </row>
    <row r="20">
      <c r="A20" s="27" t="inlineStr">
        <is>
          <t>nov. 24</t>
        </is>
      </c>
      <c r="B20" s="36" t="n">
        <v>2024</v>
      </c>
      <c r="C20" s="36" t="n">
        <v>11</v>
      </c>
      <c r="D20" s="31" t="n">
        <v>34</v>
      </c>
      <c r="E20" s="31" t="n">
        <v>596</v>
      </c>
      <c r="F20" s="31" t="n">
        <v>27606</v>
      </c>
    </row>
    <row r="21">
      <c r="A21" s="27" t="inlineStr">
        <is>
          <t>févr. 25</t>
        </is>
      </c>
      <c r="B21" s="35" t="n">
        <v>2025</v>
      </c>
      <c r="C21" s="35" t="n">
        <v>2</v>
      </c>
      <c r="D21" s="29" t="n">
        <v>4</v>
      </c>
      <c r="E21" s="29" t="n">
        <v>12</v>
      </c>
      <c r="F21" s="29" t="n">
        <v>27858</v>
      </c>
    </row>
    <row r="22">
      <c r="A22" s="27" t="inlineStr">
        <is>
          <t>mars 25</t>
        </is>
      </c>
      <c r="B22" s="36" t="n">
        <v>2025</v>
      </c>
      <c r="C22" s="36" t="n">
        <v>3</v>
      </c>
      <c r="D22" s="31" t="n">
        <v>5</v>
      </c>
      <c r="E22" s="31" t="n">
        <v>12</v>
      </c>
      <c r="F22" s="31" t="n">
        <v>27851</v>
      </c>
    </row>
    <row r="23">
      <c r="A23" s="27" t="inlineStr">
        <is>
          <t>avr. 25</t>
        </is>
      </c>
      <c r="B23" s="35" t="n">
        <v>2025</v>
      </c>
      <c r="C23" s="35" t="n">
        <v>4</v>
      </c>
      <c r="D23" s="29" t="n">
        <v>8</v>
      </c>
      <c r="E23" s="29" t="n">
        <v>101</v>
      </c>
      <c r="F23" s="29" t="n">
        <v>27758</v>
      </c>
    </row>
    <row r="24">
      <c r="A24" s="27" t="inlineStr">
        <is>
          <t>mai 25</t>
        </is>
      </c>
      <c r="B24" s="36" t="n">
        <v>2025</v>
      </c>
      <c r="C24" s="36" t="n">
        <v>5</v>
      </c>
      <c r="D24" s="31" t="n">
        <v>2</v>
      </c>
      <c r="E24" s="31" t="n">
        <v>58</v>
      </c>
      <c r="F24" s="31" t="n">
        <v>27702</v>
      </c>
    </row>
    <row r="25">
      <c r="A25" s="27" t="inlineStr">
        <is>
          <t>juin 25</t>
        </is>
      </c>
      <c r="B25" s="35" t="n">
        <v>2025</v>
      </c>
      <c r="C25" s="35" t="n">
        <v>6</v>
      </c>
      <c r="D25" s="29" t="n">
        <v>4</v>
      </c>
      <c r="E25" s="29" t="n">
        <v>64</v>
      </c>
      <c r="F25" s="29" t="n">
        <v>27642</v>
      </c>
    </row>
    <row r="26">
      <c r="A26" s="27" t="inlineStr">
        <is>
          <t>juil. 25</t>
        </is>
      </c>
      <c r="B26" s="36" t="n">
        <v>2025</v>
      </c>
      <c r="C26" s="36" t="n">
        <v>7</v>
      </c>
      <c r="D26" s="31" t="n">
        <v>4127</v>
      </c>
      <c r="E26" s="31" t="n">
        <v>45</v>
      </c>
      <c r="F26" s="31" t="n">
        <v>31724</v>
      </c>
    </row>
    <row r="27">
      <c r="A27" s="27" t="inlineStr">
        <is>
          <t>août 25</t>
        </is>
      </c>
      <c r="B27" s="35" t="n">
        <v>2025</v>
      </c>
      <c r="C27" s="35" t="n">
        <v>8</v>
      </c>
      <c r="D27" s="29" t="n">
        <v>13</v>
      </c>
      <c r="E27" s="29" t="n">
        <v>21</v>
      </c>
      <c r="F27" s="29" t="n">
        <v>31716</v>
      </c>
    </row>
    <row r="28">
      <c r="A28" s="27" t="inlineStr">
        <is>
          <t>sept. 25</t>
        </is>
      </c>
      <c r="B28" s="36" t="n">
        <v>2025</v>
      </c>
      <c r="C28" s="36" t="n">
        <v>9</v>
      </c>
      <c r="D28" s="31" t="n">
        <v>9</v>
      </c>
      <c r="E28" s="31" t="n">
        <v>42</v>
      </c>
      <c r="F28" s="31" t="n">
        <v>31683</v>
      </c>
    </row>
    <row r="29">
      <c r="A29" s="27" t="inlineStr">
        <is>
          <t>oct. 25</t>
        </is>
      </c>
      <c r="B29" s="35" t="n">
        <v>2025</v>
      </c>
      <c r="C29" s="35" t="n">
        <v>10</v>
      </c>
      <c r="D29" s="29" t="n">
        <v>33</v>
      </c>
      <c r="E29" s="29" t="n">
        <v>33</v>
      </c>
      <c r="F29" s="29" t="n">
        <v>31683</v>
      </c>
    </row>
    <row r="30">
      <c r="A30" s="27" t="inlineStr">
        <is>
          <t>nov. 25</t>
        </is>
      </c>
      <c r="B30" s="36" t="n">
        <v>2025</v>
      </c>
      <c r="C30" s="36" t="n">
        <v>11</v>
      </c>
      <c r="D30" s="31" t="n">
        <v>19</v>
      </c>
      <c r="E30" s="31" t="n">
        <v>55</v>
      </c>
      <c r="F30" s="31" t="n">
        <v>31647</v>
      </c>
    </row>
    <row r="31">
      <c r="A31" s="27" t="inlineStr">
        <is>
          <t>déc. 25</t>
        </is>
      </c>
      <c r="B31" s="35" t="n">
        <v>2025</v>
      </c>
      <c r="C31" s="35" t="n">
        <v>12</v>
      </c>
      <c r="D31" s="29" t="n">
        <v>50</v>
      </c>
      <c r="E31" s="29" t="n">
        <v>21</v>
      </c>
      <c r="F31" s="29" t="n">
        <v>31676</v>
      </c>
    </row>
    <row r="32">
      <c r="A32" s="27" t="inlineStr">
        <is>
          <t>janv. 26</t>
        </is>
      </c>
      <c r="B32" s="36" t="n">
        <v>2026</v>
      </c>
      <c r="C32" s="36" t="n">
        <v>1</v>
      </c>
      <c r="D32" s="31" t="n">
        <v>35</v>
      </c>
      <c r="E32" s="31" t="n">
        <v>442</v>
      </c>
      <c r="F32" s="31" t="n">
        <v>31269</v>
      </c>
    </row>
    <row r="33">
      <c r="A33" s="27" t="inlineStr">
        <is>
          <t>févr. 26</t>
        </is>
      </c>
      <c r="B33" s="35" t="n">
        <v>2026</v>
      </c>
      <c r="C33" s="35" t="n">
        <v>2</v>
      </c>
      <c r="D33" s="29" t="n">
        <v>9</v>
      </c>
      <c r="E33" s="29" t="n">
        <v>18</v>
      </c>
      <c r="F33" s="29" t="n">
        <v>31260</v>
      </c>
    </row>
    <row r="34">
      <c r="A34" s="27" t="inlineStr">
        <is>
          <t>mars 26</t>
        </is>
      </c>
      <c r="B34" s="36" t="n">
        <v>2026</v>
      </c>
      <c r="C34" s="36" t="n">
        <v>3</v>
      </c>
      <c r="D34" s="31" t="n">
        <v>1</v>
      </c>
      <c r="E34" s="31" t="n">
        <v>13</v>
      </c>
      <c r="F34" s="31" t="n">
        <v>31248</v>
      </c>
    </row>
    <row r="35">
      <c r="A35" s="27" t="inlineStr">
        <is>
          <t>avr. 26</t>
        </is>
      </c>
      <c r="B35" s="35" t="n">
        <v>2026</v>
      </c>
      <c r="C35" s="35" t="n">
        <v>4</v>
      </c>
      <c r="D35" s="29" t="n">
        <v>14</v>
      </c>
      <c r="E35" s="29" t="n">
        <v>24</v>
      </c>
      <c r="F35" s="29" t="n">
        <v>31238</v>
      </c>
    </row>
    <row r="36">
      <c r="A36" s="27" t="inlineStr">
        <is>
          <t>mai 26</t>
        </is>
      </c>
      <c r="B36" s="36" t="n">
        <v>2026</v>
      </c>
      <c r="C36" s="36" t="n">
        <v>5</v>
      </c>
      <c r="D36" s="31" t="n">
        <v>22</v>
      </c>
      <c r="E36" s="31" t="n">
        <v>18</v>
      </c>
      <c r="F36" s="31" t="n">
        <v>31242</v>
      </c>
    </row>
    <row r="37">
      <c r="A37" s="27" t="inlineStr">
        <is>
          <t>juin 26</t>
        </is>
      </c>
      <c r="B37" s="35" t="n">
        <v>2026</v>
      </c>
      <c r="C37" s="35" t="n">
        <v>6</v>
      </c>
      <c r="D37" s="29" t="n">
        <v>10</v>
      </c>
      <c r="E37" s="29" t="n">
        <v>20</v>
      </c>
      <c r="F37" s="29" t="n">
        <v>31232</v>
      </c>
    </row>
    <row r="38">
      <c r="A38" s="27" t="inlineStr">
        <is>
          <t>juil. 26</t>
        </is>
      </c>
      <c r="B38" s="36" t="n">
        <v>2026</v>
      </c>
      <c r="C38" s="36" t="n">
        <v>7</v>
      </c>
      <c r="D38" s="31" t="n">
        <v>7</v>
      </c>
      <c r="E38" s="31" t="n">
        <v>18</v>
      </c>
      <c r="F38" s="31" t="n">
        <v>31221</v>
      </c>
    </row>
    <row r="39">
      <c r="A39" s="27" t="inlineStr">
        <is>
          <t>août 26</t>
        </is>
      </c>
      <c r="B39" s="35" t="n">
        <v>2026</v>
      </c>
      <c r="C39" s="35" t="n">
        <v>8</v>
      </c>
      <c r="D39" s="29" t="n">
        <v>1</v>
      </c>
      <c r="E39" s="29" t="n">
        <v>24</v>
      </c>
      <c r="F39" s="29" t="n">
        <v>31198</v>
      </c>
    </row>
    <row r="40"/>
    <row r="41">
      <c r="A41"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1.05" customWidth="1" min="2" max="2"/>
  </cols>
  <sheetData>
    <row r="1">
      <c r="A1" s="7" t="inlineStr">
        <is>
          <t>Tableau : Taux du précompte maladie (poste 936) rapporté au salaire de base</t>
        </is>
      </c>
    </row>
    <row r="2" ht="15" customHeight="1">
      <c r="A2" s="25" t="inlineStr">
        <is>
          <t>À quoi sert cet onglet</t>
        </is>
      </c>
      <c r="B2" s="26" t="inlineStr">
        <is>
          <t>Vérifier le taux du précompte maladie : montant précompté / salaire de base de l'agent.</t>
        </is>
      </c>
    </row>
    <row r="3" ht="15" customHeight="1">
      <c r="A3" s="25" t="inlineStr">
        <is>
          <t>D'où viennent les chiffres</t>
        </is>
      </c>
      <c r="B3" s="26" t="inlineStr">
        <is>
          <t>Fichiers retour du poste 936 qui contiennent le salaire de base (huit mois de 2024 et 2025).</t>
        </is>
      </c>
    </row>
    <row r="4" ht="37.5" customHeight="1">
      <c r="A4" s="25" t="inlineStr">
        <is>
          <t>Comment le calcul est fait</t>
        </is>
      </c>
      <c r="B4" s="26" t="inlineStr">
        <is>
          <t>Pour chaque ligne : taux = précompte / salaire de base ; les lignes sont regroupées par tranche de taux. Les valeurs sont calculées par les scripts de la mission et collées ici ; la formule de chaque colonne est donnée dans « Comment le calcul est fait ».</t>
        </is>
      </c>
    </row>
    <row r="5" ht="15" customHeight="1">
      <c r="A5" s="25" t="inlineStr">
        <is>
          <t>Comment lire le résultat</t>
        </is>
      </c>
      <c r="B5" s="26" t="inlineStr">
        <is>
          <t>La grande majorité des lignes est à 3,77 %, la part maladie du taux de 5 %.</t>
        </is>
      </c>
    </row>
    <row r="6" ht="15" customHeight="1">
      <c r="A6" s="25" t="inlineStr">
        <is>
          <t>Valable pour</t>
        </is>
      </c>
      <c r="B6" s="26" t="inlineStr">
        <is>
          <t>Les huit mois détaillés.</t>
        </is>
      </c>
    </row>
    <row r="7" ht="15" customHeight="1">
      <c r="A7" s="25" t="inlineStr">
        <is>
          <t>Limites</t>
        </is>
      </c>
      <c r="B7" s="26" t="inlineStr">
        <is>
          <t>Mois sans salaire de base non mesurés.</t>
        </is>
      </c>
    </row>
    <row r="8"/>
    <row r="9"/>
    <row r="10" ht="30" customHeight="1">
      <c r="A10" s="8" t="inlineStr">
        <is>
          <t>Taux</t>
        </is>
      </c>
      <c r="B10" s="8" t="inlineStr">
        <is>
          <t>Lignes</t>
        </is>
      </c>
    </row>
    <row r="11">
      <c r="A11" s="27" t="inlineStr">
        <is>
          <t>&lt; 3 %</t>
        </is>
      </c>
      <c r="B11" s="29" t="n">
        <v>20</v>
      </c>
    </row>
    <row r="12">
      <c r="A12" s="27" t="inlineStr">
        <is>
          <t>3 à 3,4 %</t>
        </is>
      </c>
      <c r="B12" s="31" t="n">
        <v>565</v>
      </c>
    </row>
    <row r="13">
      <c r="A13" s="27" t="inlineStr">
        <is>
          <t>3,4 à 3,45 %</t>
        </is>
      </c>
      <c r="B13" s="29" t="n">
        <v>1</v>
      </c>
    </row>
    <row r="14">
      <c r="A14" s="27" t="inlineStr">
        <is>
          <t>3,45 à 3,55 %</t>
        </is>
      </c>
      <c r="B14" s="31" t="n">
        <v>1</v>
      </c>
    </row>
    <row r="15">
      <c r="A15" s="27" t="inlineStr">
        <is>
          <t>3,55 à 3,6 %</t>
        </is>
      </c>
      <c r="B15" s="29" t="n">
        <v>0</v>
      </c>
    </row>
    <row r="16">
      <c r="A16" s="27" t="inlineStr">
        <is>
          <t>3,6 à 4 %</t>
        </is>
      </c>
      <c r="B16" s="31" t="n">
        <v>209023</v>
      </c>
    </row>
    <row r="17">
      <c r="A17" s="27" t="inlineStr">
        <is>
          <t>&gt; 4 %</t>
        </is>
      </c>
      <c r="B17" s="29" t="n">
        <v>59</v>
      </c>
    </row>
    <row r="18"/>
    <row r="19">
      <c r="A19"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15"/>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s>
  <sheetData>
    <row r="1">
      <c r="A1" s="7" t="inlineStr">
        <is>
          <t>Tableau : Rapport des précomptes décès (8Z6) et maladie (936)</t>
        </is>
      </c>
    </row>
    <row r="2" ht="15" customHeight="1">
      <c r="A2" s="25" t="inlineStr">
        <is>
          <t>À quoi sert cet onglet</t>
        </is>
      </c>
      <c r="B2" s="26" t="inlineStr">
        <is>
          <t>Rapporter le précompte décès (8Z6) au précompte maladie (936) pour vérifier la clé 1,23 % / 3,77 %.</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R = montant 8Z6 de l'année / montant 936 de l'année. La clé attendue est 1,23 / 3,77 = 32,63 %. Les valeurs sont calculées par les scripts de la mission et collées ici ; la formule de chaque colonne est donnée dans « Comment le calcul est fait ».</t>
        </is>
      </c>
    </row>
    <row r="5" ht="15" customHeight="1">
      <c r="A5" s="25" t="inlineStr">
        <is>
          <t>Comment lire le résultat</t>
        </is>
      </c>
      <c r="B5" s="26" t="inlineStr">
        <is>
          <t>Un rapport proche de 32,63 % confirme le taux décès de 1,23 %.</t>
        </is>
      </c>
    </row>
    <row r="6" ht="15" customHeight="1">
      <c r="A6" s="25" t="inlineStr">
        <is>
          <t>Valable pour</t>
        </is>
      </c>
      <c r="B6" s="26" t="inlineStr">
        <is>
          <t>Mois où les deux postes sont reçus, mars 2024 à septembre 2026.</t>
        </is>
      </c>
    </row>
    <row r="7" ht="15" customHeight="1">
      <c r="A7" s="25" t="inlineStr">
        <is>
          <t>Limites</t>
        </is>
      </c>
      <c r="B7" s="26" t="inlineStr">
        <is>
          <t>Janvier et février 2024 suivent une autre clé.</t>
        </is>
      </c>
    </row>
    <row r="8"/>
    <row r="9"/>
    <row r="10" ht="30" customHeight="1">
      <c r="A10" s="8" t="inlineStr">
        <is>
          <t>Année</t>
        </is>
      </c>
      <c r="B10" s="8" t="inlineStr">
        <is>
          <t>R</t>
        </is>
      </c>
    </row>
    <row r="11">
      <c r="A11" s="34" t="n">
        <v>2024</v>
      </c>
      <c r="B11" s="37" t="n">
        <v>0.3262179376829059</v>
      </c>
    </row>
    <row r="12">
      <c r="A12" s="34" t="n">
        <v>2025</v>
      </c>
      <c r="B12" s="38" t="n">
        <v>0.3262320693083369</v>
      </c>
    </row>
    <row r="13">
      <c r="A13" s="34" t="n">
        <v>2026</v>
      </c>
      <c r="B13" s="37" t="n">
        <v>0.3262292977275645</v>
      </c>
    </row>
    <row r="14"/>
    <row r="15">
      <c r="A15"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2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s>
  <sheetData>
    <row r="1">
      <c r="A1" s="7" t="inlineStr">
        <is>
          <t>Tableau : Ancienneté des agents cotisants</t>
        </is>
      </c>
    </row>
    <row r="2" ht="15" customHeight="1">
      <c r="A2" s="25" t="inlineStr">
        <is>
          <t>À quoi sert cet onglet</t>
        </is>
      </c>
      <c r="B2" s="26" t="inlineStr">
        <is>
          <t>Répartir les agents cotisants par ancienneté de service.</t>
        </is>
      </c>
    </row>
    <row r="3" ht="15" customHeight="1">
      <c r="A3" s="25" t="inlineStr">
        <is>
          <t>D'où viennent les chiffres</t>
        </is>
      </c>
      <c r="B3" s="26" t="inlineStr">
        <is>
          <t>Fichiers retour du poste 936 de janvier 2025 (date d'entrée de l'agent).</t>
        </is>
      </c>
    </row>
    <row r="4" ht="37.5" customHeight="1">
      <c r="A4" s="25" t="inlineStr">
        <is>
          <t>Comment le calcul est fait</t>
        </is>
      </c>
      <c r="B4" s="26" t="inlineStr">
        <is>
          <t>Ancienneté = janvier 2025 - date d'entrée, regroupée par tranches de cinq ans. Les valeurs sont calculées par les scripts de la mission et collées ici ; la formule de chaque colonne est donnée dans « Comment le calcul est fait ».</t>
        </is>
      </c>
    </row>
    <row r="5" ht="15" customHeight="1">
      <c r="A5" s="25" t="inlineStr">
        <is>
          <t>Comment lire le résultat</t>
        </is>
      </c>
      <c r="B5" s="26" t="inlineStr">
        <is>
          <t>Une population jeune cotise longtemps avant de partir à la retraite.</t>
        </is>
      </c>
    </row>
    <row r="6" ht="15" customHeight="1">
      <c r="A6" s="25" t="inlineStr">
        <is>
          <t>Valable pour</t>
        </is>
      </c>
      <c r="B6" s="26" t="inlineStr">
        <is>
          <t>Agents précomptés en janvier 2025.</t>
        </is>
      </c>
    </row>
    <row r="7" ht="15" customHeight="1">
      <c r="A7" s="25" t="inlineStr">
        <is>
          <t>Limites</t>
        </is>
      </c>
      <c r="B7" s="26" t="inlineStr">
        <is>
          <t>L'ancienneté ne remplace pas l'âge, absent des fichiers.</t>
        </is>
      </c>
    </row>
    <row r="8"/>
    <row r="9"/>
    <row r="10" ht="30" customHeight="1">
      <c r="A10" s="8" t="inlineStr">
        <is>
          <t>Ancienneté</t>
        </is>
      </c>
      <c r="B10" s="8" t="inlineStr">
        <is>
          <t>Agents</t>
        </is>
      </c>
    </row>
    <row r="11">
      <c r="A11" s="27" t="inlineStr">
        <is>
          <t>0-5 ans</t>
        </is>
      </c>
      <c r="B11" s="29" t="n">
        <v>11103</v>
      </c>
    </row>
    <row r="12">
      <c r="A12" s="27" t="inlineStr">
        <is>
          <t>5-10</t>
        </is>
      </c>
      <c r="B12" s="31" t="n">
        <v>4735</v>
      </c>
    </row>
    <row r="13">
      <c r="A13" s="27" t="inlineStr">
        <is>
          <t>10-15</t>
        </is>
      </c>
      <c r="B13" s="29" t="n">
        <v>1496</v>
      </c>
    </row>
    <row r="14">
      <c r="A14" s="27" t="inlineStr">
        <is>
          <t>15-20</t>
        </is>
      </c>
      <c r="B14" s="31" t="n">
        <v>4585</v>
      </c>
    </row>
    <row r="15">
      <c r="A15" s="27" t="inlineStr">
        <is>
          <t>20-25</t>
        </is>
      </c>
      <c r="B15" s="29" t="n">
        <v>3998</v>
      </c>
    </row>
    <row r="16">
      <c r="A16" s="27" t="inlineStr">
        <is>
          <t>25-30</t>
        </is>
      </c>
      <c r="B16" s="31" t="n">
        <v>1817</v>
      </c>
    </row>
    <row r="17">
      <c r="A17" s="27" t="inlineStr">
        <is>
          <t>30-35</t>
        </is>
      </c>
      <c r="B17" s="29" t="n">
        <v>139</v>
      </c>
    </row>
    <row r="18">
      <c r="A18" s="27" t="inlineStr">
        <is>
          <t>35 ans et +</t>
        </is>
      </c>
      <c r="B18" s="31" t="n">
        <v>2</v>
      </c>
    </row>
    <row r="19"/>
    <row r="20">
      <c r="A20"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I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5.1" customWidth="1" min="2" max="2"/>
    <col width="25.1" customWidth="1" min="3" max="3"/>
    <col width="17.95" customWidth="1" min="4" max="4"/>
    <col width="15.65" customWidth="1" min="5" max="5"/>
    <col width="15.65" customWidth="1" min="6" max="6"/>
    <col width="15.65" customWidth="1" min="7" max="7"/>
    <col width="14.5" customWidth="1" min="8" max="8"/>
    <col width="17.75" customWidth="1" min="9" max="9"/>
  </cols>
  <sheetData>
    <row r="1">
      <c r="A1" s="7" t="inlineStr">
        <is>
          <t>Tableau : Cotisations comptabilisées et précomptées, par exercice</t>
        </is>
      </c>
    </row>
    <row r="2" ht="15" customHeight="1">
      <c r="A2" s="25" t="inlineStr">
        <is>
          <t>À quoi sert cet onglet</t>
        </is>
      </c>
      <c r="B2" s="26" t="inlineStr">
        <is>
          <t>Comparer les cotisations inscrites en comptabilité et celles précomptées dans les fichiers.</t>
        </is>
      </c>
    </row>
    <row r="3" ht="75"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Cotisations comptabilisées : comptes 7010 (maladie) et 7021 (décès). Précomptes : somme des fichiers retour 936, 8Z6 et CGRAE de l'année, avec le nombre de mois reçus. Les valeurs sont calculées par les scripts de la mission et collées ici ; la formule de chaque colonne est donnée dans « Comment le calcul est fait ».</t>
        </is>
      </c>
    </row>
    <row r="5" ht="15" customHeight="1">
      <c r="A5" s="25" t="inlineStr">
        <is>
          <t>Comment lire le résultat</t>
        </is>
      </c>
      <c r="B5" s="26" t="inlineStr">
        <is>
          <t>Un écart entre comptabilité et précomptes s'explique d'abord par les mois non reçus.</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Précomptes disponibles à partir de 2024 seulement.</t>
        </is>
      </c>
    </row>
    <row r="8"/>
    <row r="9"/>
    <row r="10" ht="30" customHeight="1">
      <c r="A10" s="8" t="inlineStr">
        <is>
          <t>Exercice</t>
        </is>
      </c>
      <c r="B10" s="8" t="inlineStr">
        <is>
          <t>Cotisations maladie compta</t>
        </is>
      </c>
      <c r="C10" s="8" t="inlineStr">
        <is>
          <t>Cotisations décès compta</t>
        </is>
      </c>
      <c r="D10" s="8" t="inlineStr">
        <is>
          <t>Prec 936</t>
        </is>
      </c>
      <c r="E10" s="8" t="inlineStr">
        <is>
          <t>Prec 936 mois</t>
        </is>
      </c>
      <c r="F10" s="8" t="inlineStr">
        <is>
          <t>prec_8Z6</t>
        </is>
      </c>
      <c r="G10" s="8" t="inlineStr">
        <is>
          <t>prec_8Z6_mois</t>
        </is>
      </c>
      <c r="H10" s="8" t="inlineStr">
        <is>
          <t>Prec CGRAE</t>
        </is>
      </c>
      <c r="I10" s="8" t="inlineStr">
        <is>
          <t>Prec CGRAE mois</t>
        </is>
      </c>
    </row>
    <row r="11">
      <c r="A11" s="34" t="n">
        <v>2020</v>
      </c>
      <c r="B11" s="29" t="n">
        <v>1641320172</v>
      </c>
      <c r="C11" s="29" t="n">
        <v>703298329</v>
      </c>
      <c r="D11" s="28" t="n"/>
      <c r="E11" s="28" t="n"/>
      <c r="F11" s="28" t="n"/>
      <c r="G11" s="28" t="n"/>
      <c r="H11" s="28" t="n"/>
      <c r="I11" s="28" t="n"/>
    </row>
    <row r="12">
      <c r="A12" s="34" t="n">
        <v>2021</v>
      </c>
      <c r="B12" s="31" t="n">
        <v>1691332910</v>
      </c>
      <c r="C12" s="31" t="n">
        <v>725124908</v>
      </c>
      <c r="D12" s="30" t="n"/>
      <c r="E12" s="30" t="n"/>
      <c r="F12" s="30" t="n"/>
      <c r="G12" s="30" t="n"/>
      <c r="H12" s="30" t="n"/>
      <c r="I12" s="30" t="n"/>
    </row>
    <row r="13">
      <c r="A13" s="34" t="n">
        <v>2022</v>
      </c>
      <c r="B13" s="29" t="n">
        <v>1781124043</v>
      </c>
      <c r="C13" s="29" t="n">
        <v>763338861</v>
      </c>
      <c r="D13" s="28" t="n"/>
      <c r="E13" s="28" t="n"/>
      <c r="F13" s="28" t="n"/>
      <c r="G13" s="28" t="n"/>
      <c r="H13" s="28" t="n"/>
      <c r="I13" s="28" t="n"/>
    </row>
    <row r="14">
      <c r="A14" s="34" t="n">
        <v>2023</v>
      </c>
      <c r="B14" s="31" t="n">
        <v>1935844374</v>
      </c>
      <c r="C14" s="31" t="n">
        <v>829647591</v>
      </c>
      <c r="D14" s="30" t="n"/>
      <c r="E14" s="30" t="n"/>
      <c r="F14" s="30" t="n"/>
      <c r="G14" s="30" t="n"/>
      <c r="H14" s="30" t="n"/>
      <c r="I14" s="30" t="n"/>
    </row>
    <row r="15">
      <c r="A15" s="34" t="n">
        <v>2024</v>
      </c>
      <c r="B15" s="29" t="n">
        <v>2203312180</v>
      </c>
      <c r="C15" s="29" t="n">
        <v>934555069</v>
      </c>
      <c r="D15" s="29" t="n">
        <v>2078994322</v>
      </c>
      <c r="E15" s="29" t="n">
        <v>11</v>
      </c>
      <c r="F15" s="29" t="n">
        <v>285881429</v>
      </c>
      <c r="G15" s="29" t="n">
        <v>5</v>
      </c>
      <c r="H15" s="29" t="n">
        <v>20980374</v>
      </c>
      <c r="I15" s="29" t="n">
        <v>10</v>
      </c>
    </row>
    <row r="16">
      <c r="A16" s="34" t="n">
        <v>2025</v>
      </c>
      <c r="B16" s="31" t="n">
        <v>2409281030</v>
      </c>
      <c r="C16" s="31" t="n">
        <v>1008270692</v>
      </c>
      <c r="D16" s="31" t="n">
        <v>2529485250</v>
      </c>
      <c r="E16" s="31" t="n">
        <v>12</v>
      </c>
      <c r="F16" s="31" t="n">
        <v>759281950</v>
      </c>
      <c r="G16" s="31" t="n">
        <v>11</v>
      </c>
      <c r="H16" s="31" t="n">
        <v>57947730</v>
      </c>
      <c r="I16" s="31" t="n">
        <v>12</v>
      </c>
    </row>
    <row r="17">
      <c r="A17" s="34" t="n">
        <v>2026</v>
      </c>
      <c r="B17" s="29" t="n">
        <v>1690007290</v>
      </c>
      <c r="C17" s="29" t="n">
        <v>702190056</v>
      </c>
      <c r="D17" s="29" t="n">
        <v>1761775689</v>
      </c>
      <c r="E17" s="29" t="n">
        <v>8</v>
      </c>
      <c r="F17" s="29" t="n">
        <v>574790977</v>
      </c>
      <c r="G17" s="29" t="n">
        <v>8</v>
      </c>
      <c r="H17" s="29" t="n">
        <v>55930039</v>
      </c>
      <c r="I17" s="29" t="n">
        <v>8</v>
      </c>
    </row>
    <row r="18"/>
    <row r="19">
      <c r="A19" s="14" t="inlineStr">
        <is>
          <t>Source : balances des comptes du FPPN (Sage 100), 2020 au 31/08/2026 (2026 provisoire) ; traitements Adenka ; fichiers de précomptes</t>
        </is>
      </c>
    </row>
  </sheetData>
  <mergeCells count="6">
    <mergeCell ref="B7:I7"/>
    <mergeCell ref="B6:I6"/>
    <mergeCell ref="B2:I2"/>
    <mergeCell ref="B3:I3"/>
    <mergeCell ref="B5:I5"/>
    <mergeCell ref="B4:I4"/>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O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1.95" customWidth="1" min="2" max="2"/>
    <col width="21.95" customWidth="1" min="3" max="3"/>
    <col width="13.55" customWidth="1" min="4" max="4"/>
    <col width="19.85" customWidth="1" min="5" max="5"/>
    <col width="19.85" customWidth="1" min="6" max="6"/>
    <col width="24.05" customWidth="1" min="7" max="7"/>
    <col width="11.45" customWidth="1" min="8" max="8"/>
    <col width="23" customWidth="1" min="9" max="9"/>
    <col width="17.95" customWidth="1" min="10" max="10"/>
    <col width="12.5" customWidth="1" min="11" max="11"/>
    <col width="17.95" customWidth="1" min="12" max="12"/>
    <col width="17.95" customWidth="1" min="13" max="13"/>
    <col width="17.95" customWidth="1" min="14" max="14"/>
    <col width="17.95" customWidth="1" min="15" max="15"/>
  </cols>
  <sheetData>
    <row r="1">
      <c r="A1" s="7" t="inlineStr">
        <is>
          <t>Tableau : Sinistralité et résultat, par exercice</t>
        </is>
      </c>
    </row>
    <row r="2" ht="25" customHeight="1">
      <c r="A2" s="25" t="inlineStr">
        <is>
          <t>À quoi sert cet onglet</t>
        </is>
      </c>
      <c r="B2" s="26" t="inlineStr">
        <is>
          <t>Calculer, chaque année, la part des cotisations consommée par les prestations (S/C), les frais de gestion et le résultat.</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50" customHeight="1">
      <c r="A4" s="25" t="inlineStr">
        <is>
          <t>Comment le calcul est fait</t>
        </is>
      </c>
      <c r="B4" s="26" t="inlineStr">
        <is>
          <t>S/C maladie = prestations maladie (comptes 601, 6013, 6018, 60800007) / cotisations maladie (7010). S/C décès = prestations décès (6021, 6024) / cotisations décès (7021). Taux de frais = frais (61 à 66 hors 6518) / cotisations. Résultat = produits - charges. Les valeurs sont calculées par les scripts de la mission et collées ici ; la formule de chaque colonne est donnée dans « Comment le calcul est fait ».</t>
        </is>
      </c>
    </row>
    <row r="5" ht="15" customHeight="1">
      <c r="A5" s="25" t="inlineStr">
        <is>
          <t>Comment lire le résultat</t>
        </is>
      </c>
      <c r="B5" s="26" t="inlineStr">
        <is>
          <t>Un S/C de 75 % veut dire que 75 FCFA sur 100 FCFA de cotisations reviennent aux mutualistes en prestations.</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Sans provisions ni sinistres tardifs : prestations payées ou comptabilisées dans l'année.</t>
        </is>
      </c>
    </row>
    <row r="8"/>
    <row r="9"/>
    <row r="10" ht="30" customHeight="1">
      <c r="A10" s="8" t="inlineStr">
        <is>
          <t>Exercice</t>
        </is>
      </c>
      <c r="B10" s="8" t="inlineStr">
        <is>
          <t>Cotisations maladie</t>
        </is>
      </c>
      <c r="C10" s="8" t="inlineStr">
        <is>
          <t>Prestations maladie</t>
        </is>
      </c>
      <c r="D10" s="8" t="inlineStr">
        <is>
          <t>S/C maladie</t>
        </is>
      </c>
      <c r="E10" s="8" t="inlineStr">
        <is>
          <t>Cotisations décès</t>
        </is>
      </c>
      <c r="F10" s="8" t="inlineStr">
        <is>
          <t>Prestations décès</t>
        </is>
      </c>
      <c r="G10" s="8" t="inlineStr">
        <is>
          <t>Prime assurance décès</t>
        </is>
      </c>
      <c r="H10" s="8" t="inlineStr">
        <is>
          <t>S/C décès</t>
        </is>
      </c>
      <c r="I10" s="8" t="inlineStr">
        <is>
          <t>S/C décès avec prime</t>
        </is>
      </c>
      <c r="J10" s="8" t="inlineStr">
        <is>
          <t>Frais gestion</t>
        </is>
      </c>
      <c r="K10" s="8" t="inlineStr">
        <is>
          <t>Taux frais</t>
        </is>
      </c>
      <c r="L10" s="8" t="inlineStr">
        <is>
          <t>Produits</t>
        </is>
      </c>
      <c r="M10" s="8" t="inlineStr">
        <is>
          <t>Charges</t>
        </is>
      </c>
      <c r="N10" s="8" t="inlineStr">
        <is>
          <t>Résultat HAO</t>
        </is>
      </c>
      <c r="O10" s="8" t="inlineStr">
        <is>
          <t>Résultat</t>
        </is>
      </c>
    </row>
    <row r="11">
      <c r="A11" s="34" t="n">
        <v>2020</v>
      </c>
      <c r="B11" s="29" t="n">
        <v>1641320172</v>
      </c>
      <c r="C11" s="29" t="n">
        <v>205812056</v>
      </c>
      <c r="D11" s="32" t="n">
        <v>0.1253942158946426</v>
      </c>
      <c r="E11" s="29" t="n">
        <v>703298329</v>
      </c>
      <c r="F11" s="29" t="n">
        <v>3933335</v>
      </c>
      <c r="G11" s="29" t="n">
        <v>574393861</v>
      </c>
      <c r="H11" s="32" t="n">
        <v>0.005592697775341935</v>
      </c>
      <c r="I11" s="32" t="n">
        <v>0.8223070810111366</v>
      </c>
      <c r="J11" s="29" t="n">
        <v>1210624559</v>
      </c>
      <c r="K11" s="32" t="n">
        <v>0.5163418093321613</v>
      </c>
      <c r="L11" s="29" t="n">
        <v>2446772145</v>
      </c>
      <c r="M11" s="29" t="n">
        <v>2219865776</v>
      </c>
      <c r="N11" s="29" t="n">
        <v>791673330</v>
      </c>
      <c r="O11" s="29" t="n">
        <v>1018579699</v>
      </c>
    </row>
    <row r="12">
      <c r="A12" s="34" t="n">
        <v>2021</v>
      </c>
      <c r="B12" s="31" t="n">
        <v>1691332910</v>
      </c>
      <c r="C12" s="31" t="n">
        <v>101453171</v>
      </c>
      <c r="D12" s="33" t="n">
        <v>0.05998415238073976</v>
      </c>
      <c r="E12" s="31" t="n">
        <v>725124908</v>
      </c>
      <c r="F12" s="31" t="n">
        <v>401856666</v>
      </c>
      <c r="G12" s="31" t="n">
        <v>0</v>
      </c>
      <c r="H12" s="33" t="n">
        <v>0.5541895769494102</v>
      </c>
      <c r="I12" s="33" t="n">
        <v>0.5541895769494102</v>
      </c>
      <c r="J12" s="31" t="n">
        <v>961975477</v>
      </c>
      <c r="K12" s="33" t="n">
        <v>0.3980932213400631</v>
      </c>
      <c r="L12" s="31" t="n">
        <v>2750007516</v>
      </c>
      <c r="M12" s="31" t="n">
        <v>1690591690</v>
      </c>
      <c r="N12" s="31" t="n">
        <v>1024492376</v>
      </c>
      <c r="O12" s="31" t="n">
        <v>2083908202</v>
      </c>
    </row>
    <row r="13">
      <c r="A13" s="34" t="n">
        <v>2022</v>
      </c>
      <c r="B13" s="29" t="n">
        <v>1781124043</v>
      </c>
      <c r="C13" s="29" t="n">
        <v>115237773</v>
      </c>
      <c r="D13" s="32" t="n">
        <v>0.06469946517924804</v>
      </c>
      <c r="E13" s="29" t="n">
        <v>763338861</v>
      </c>
      <c r="F13" s="29" t="n">
        <v>116090000</v>
      </c>
      <c r="G13" s="29" t="n">
        <v>0</v>
      </c>
      <c r="H13" s="32" t="n">
        <v>0.1520818681337907</v>
      </c>
      <c r="I13" s="32" t="n">
        <v>0.1520818681337907</v>
      </c>
      <c r="J13" s="29" t="n">
        <v>1020461388</v>
      </c>
      <c r="K13" s="32" t="n">
        <v>0.4010517844043994</v>
      </c>
      <c r="L13" s="29" t="n">
        <v>3528937291</v>
      </c>
      <c r="M13" s="29" t="n">
        <v>1469604614</v>
      </c>
      <c r="N13" s="29" t="n">
        <v>1000000</v>
      </c>
      <c r="O13" s="29" t="n">
        <v>2060332677</v>
      </c>
    </row>
    <row r="14">
      <c r="A14" s="34" t="n">
        <v>2023</v>
      </c>
      <c r="B14" s="31" t="n">
        <v>1935844374</v>
      </c>
      <c r="C14" s="31" t="n">
        <v>521004362</v>
      </c>
      <c r="D14" s="33" t="n">
        <v>0.2691354578898603</v>
      </c>
      <c r="E14" s="31" t="n">
        <v>829647591</v>
      </c>
      <c r="F14" s="31" t="n">
        <v>141490000</v>
      </c>
      <c r="G14" s="31" t="n">
        <v>0</v>
      </c>
      <c r="H14" s="33" t="n">
        <v>0.1705422899251207</v>
      </c>
      <c r="I14" s="33" t="n">
        <v>0.1705422899251207</v>
      </c>
      <c r="J14" s="31" t="n">
        <v>1039977199</v>
      </c>
      <c r="K14" s="33" t="n">
        <v>0.3760550427055752</v>
      </c>
      <c r="L14" s="31" t="n">
        <v>2868219278</v>
      </c>
      <c r="M14" s="31" t="n">
        <v>1959743920</v>
      </c>
      <c r="N14" s="31" t="n">
        <v>22153744</v>
      </c>
      <c r="O14" s="31" t="n">
        <v>930629102</v>
      </c>
    </row>
    <row r="15">
      <c r="A15" s="34" t="n">
        <v>2024</v>
      </c>
      <c r="B15" s="29" t="n">
        <v>2203312180</v>
      </c>
      <c r="C15" s="29" t="n">
        <v>1060419627</v>
      </c>
      <c r="D15" s="32" t="n">
        <v>0.4812843303031166</v>
      </c>
      <c r="E15" s="29" t="n">
        <v>934555069</v>
      </c>
      <c r="F15" s="29" t="n">
        <v>203801664</v>
      </c>
      <c r="G15" s="29" t="n">
        <v>0</v>
      </c>
      <c r="H15" s="32" t="n">
        <v>0.218073467000798</v>
      </c>
      <c r="I15" s="32" t="n">
        <v>0.218073467000798</v>
      </c>
      <c r="J15" s="29" t="n">
        <v>987308865</v>
      </c>
      <c r="K15" s="32" t="n">
        <v>0.314643286874116</v>
      </c>
      <c r="L15" s="29" t="n">
        <v>3221346253</v>
      </c>
      <c r="M15" s="29" t="n">
        <v>2438320002</v>
      </c>
      <c r="N15" s="29" t="n">
        <v>9043390</v>
      </c>
      <c r="O15" s="29" t="n">
        <v>792069641</v>
      </c>
    </row>
    <row r="16">
      <c r="A16" s="34" t="n">
        <v>2025</v>
      </c>
      <c r="B16" s="31" t="n">
        <v>2409281030</v>
      </c>
      <c r="C16" s="31" t="n">
        <v>1771635361</v>
      </c>
      <c r="D16" s="33" t="n">
        <v>0.7353377787563454</v>
      </c>
      <c r="E16" s="31" t="n">
        <v>1008270692</v>
      </c>
      <c r="F16" s="31" t="n">
        <v>193136666</v>
      </c>
      <c r="G16" s="31" t="n">
        <v>0</v>
      </c>
      <c r="H16" s="33" t="n">
        <v>0.1915523951379517</v>
      </c>
      <c r="I16" s="33" t="n">
        <v>0.1915523951379517</v>
      </c>
      <c r="J16" s="31" t="n">
        <v>1101350021</v>
      </c>
      <c r="K16" s="33" t="n">
        <v>0.3222628684476717</v>
      </c>
      <c r="L16" s="31" t="n">
        <v>3671499865</v>
      </c>
      <c r="M16" s="31" t="n">
        <v>3250431812</v>
      </c>
      <c r="N16" s="31" t="n">
        <v>16831858</v>
      </c>
      <c r="O16" s="31" t="n">
        <v>437899911</v>
      </c>
    </row>
    <row r="17">
      <c r="A17" s="34" t="n">
        <v>2026</v>
      </c>
      <c r="B17" s="29" t="n">
        <v>1690007290</v>
      </c>
      <c r="C17" s="29" t="n">
        <v>1646039117</v>
      </c>
      <c r="D17" s="32" t="n">
        <v>0.9739834418110705</v>
      </c>
      <c r="E17" s="29" t="n">
        <v>702190056</v>
      </c>
      <c r="F17" s="29" t="n">
        <v>152816666</v>
      </c>
      <c r="G17" s="29" t="n">
        <v>0</v>
      </c>
      <c r="H17" s="32" t="n">
        <v>0.217628638705758</v>
      </c>
      <c r="I17" s="32" t="n">
        <v>0.217628638705758</v>
      </c>
      <c r="J17" s="29" t="n">
        <v>1055460837</v>
      </c>
      <c r="K17" s="32" t="n">
        <v>0.4412097684017747</v>
      </c>
      <c r="L17" s="29" t="n">
        <v>2413060120</v>
      </c>
      <c r="M17" s="29" t="n">
        <v>2854316620</v>
      </c>
      <c r="N17" s="29" t="n">
        <v>0</v>
      </c>
      <c r="O17" s="29" t="n">
        <v>-441256500</v>
      </c>
    </row>
    <row r="18"/>
    <row r="19">
      <c r="A19" s="14" t="inlineStr">
        <is>
          <t>Source : balances des comptes du FPPN (Sage 100), 2020 au 31/08/2026 (2026 provisoire) ; traitements Adenka</t>
        </is>
      </c>
    </row>
  </sheetData>
  <mergeCells count="6">
    <mergeCell ref="B4:O4"/>
    <mergeCell ref="B6:O6"/>
    <mergeCell ref="B2:O2"/>
    <mergeCell ref="B7:O7"/>
    <mergeCell ref="B3:O3"/>
    <mergeCell ref="B5:O5"/>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H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45.55" customWidth="1" min="1" max="1"/>
    <col width="15.65" customWidth="1" min="2" max="2"/>
    <col width="14.5" customWidth="1" min="3" max="3"/>
    <col width="14.5" customWidth="1" min="4" max="4"/>
    <col width="15.65" customWidth="1" min="5" max="5"/>
    <col width="15.65" customWidth="1" min="6" max="6"/>
    <col width="15.65" customWidth="1" min="7" max="7"/>
    <col width="15.65" customWidth="1" min="8" max="8"/>
  </cols>
  <sheetData>
    <row r="1">
      <c r="A1" s="7" t="inlineStr">
        <is>
          <t>Tableau : Prestations maladie par nature (FCFA)</t>
        </is>
      </c>
    </row>
    <row r="2" ht="15" customHeight="1">
      <c r="A2" s="25" t="inlineStr">
        <is>
          <t>À quoi sert cet onglet</t>
        </is>
      </c>
      <c r="B2" s="26" t="inlineStr">
        <is>
          <t>Détailler les prestations maladie par nature (pharmacie, hospitalisation, consultations…).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Somme des soldes des sous-comptes de prestations maladie, regroupés par nature selon leur intitulé. Les valeurs sont calculées par les scripts de la mission et collées ici ; la formule de chaque colonne est donnée dans « Comment le calcul est fait ».</t>
        </is>
      </c>
    </row>
    <row r="5" ht="15" customHeight="1">
      <c r="A5" s="25" t="inlineStr">
        <is>
          <t>Comment lire le résultat</t>
        </is>
      </c>
      <c r="B5" s="26" t="inlineStr">
        <is>
          <t>Les natures en forte hausse expliquent la croissance des prestations.</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Nature telle que libellée par le FPPN.</t>
        </is>
      </c>
    </row>
    <row r="8"/>
    <row r="9"/>
    <row r="10" ht="30" customHeight="1">
      <c r="A10" s="8" t="inlineStr">
        <is>
          <t>Nature</t>
        </is>
      </c>
      <c r="B10" s="8" t="inlineStr">
        <is>
          <t>2020</t>
        </is>
      </c>
      <c r="C10" s="8" t="inlineStr">
        <is>
          <t>2021</t>
        </is>
      </c>
      <c r="D10" s="8" t="inlineStr">
        <is>
          <t>2022</t>
        </is>
      </c>
      <c r="E10" s="8" t="inlineStr">
        <is>
          <t>2023</t>
        </is>
      </c>
      <c r="F10" s="8" t="inlineStr">
        <is>
          <t>2024</t>
        </is>
      </c>
      <c r="G10" s="8" t="inlineStr">
        <is>
          <t>2025</t>
        </is>
      </c>
      <c r="H10" s="8" t="inlineStr">
        <is>
          <t>2026</t>
        </is>
      </c>
    </row>
    <row r="11">
      <c r="A11" s="27" t="inlineStr">
        <is>
          <t>Pharmacie</t>
        </is>
      </c>
      <c r="B11" s="29" t="n">
        <v>26107586</v>
      </c>
      <c r="C11" s="29" t="n">
        <v>25313112</v>
      </c>
      <c r="D11" s="29" t="n">
        <v>13055215</v>
      </c>
      <c r="E11" s="29" t="n">
        <v>22869440</v>
      </c>
      <c r="F11" s="29" t="n">
        <v>32549138</v>
      </c>
      <c r="G11" s="29" t="n">
        <v>38076031</v>
      </c>
      <c r="H11" s="29" t="n">
        <v>85750869</v>
      </c>
    </row>
    <row r="12">
      <c r="A12" s="27" t="inlineStr">
        <is>
          <t>Consultations</t>
        </is>
      </c>
      <c r="B12" s="31" t="n">
        <v>9838300</v>
      </c>
      <c r="C12" s="31" t="n">
        <v>9569200</v>
      </c>
      <c r="D12" s="31" t="n">
        <v>4288328</v>
      </c>
      <c r="E12" s="31" t="n">
        <v>53402204</v>
      </c>
      <c r="F12" s="31" t="n">
        <v>154053302</v>
      </c>
      <c r="G12" s="31" t="n">
        <v>173759919</v>
      </c>
      <c r="H12" s="31" t="n">
        <v>223956736</v>
      </c>
    </row>
    <row r="13">
      <c r="A13" s="27" t="inlineStr">
        <is>
          <t>Hospitalisations</t>
        </is>
      </c>
      <c r="B13" s="29" t="n">
        <v>11748500</v>
      </c>
      <c r="C13" s="29" t="n">
        <v>12702282</v>
      </c>
      <c r="D13" s="29" t="n">
        <v>6383100</v>
      </c>
      <c r="E13" s="29" t="n">
        <v>32598428</v>
      </c>
      <c r="F13" s="29" t="n">
        <v>10815234</v>
      </c>
      <c r="G13" s="29" t="n">
        <v>23247618</v>
      </c>
      <c r="H13" s="29" t="n">
        <v>36938840</v>
      </c>
    </row>
    <row r="14">
      <c r="A14" s="27" t="inlineStr">
        <is>
          <t>Analyses médicales</t>
        </is>
      </c>
      <c r="B14" s="31" t="n">
        <v>23155760</v>
      </c>
      <c r="C14" s="31" t="n">
        <v>15394010</v>
      </c>
      <c r="D14" s="31" t="n">
        <v>10313251</v>
      </c>
      <c r="E14" s="31" t="n">
        <v>73194458</v>
      </c>
      <c r="F14" s="31" t="n">
        <v>142781059</v>
      </c>
      <c r="G14" s="31" t="n">
        <v>234266144</v>
      </c>
      <c r="H14" s="31" t="n">
        <v>214752158</v>
      </c>
    </row>
    <row r="15">
      <c r="A15" s="27" t="inlineStr">
        <is>
          <t>Radio et imagerie</t>
        </is>
      </c>
      <c r="B15" s="29" t="n">
        <v>11304893</v>
      </c>
      <c r="C15" s="29" t="n">
        <v>6463050</v>
      </c>
      <c r="D15" s="29" t="n">
        <v>15365475</v>
      </c>
      <c r="E15" s="29" t="n">
        <v>65166228</v>
      </c>
      <c r="F15" s="29" t="n">
        <v>147686479</v>
      </c>
      <c r="G15" s="29" t="n">
        <v>249812169</v>
      </c>
      <c r="H15" s="29" t="n">
        <v>391563218</v>
      </c>
    </row>
    <row r="16">
      <c r="A16" s="27" t="inlineStr">
        <is>
          <t>Autres prestations maladie</t>
        </is>
      </c>
      <c r="B16" s="31" t="n">
        <v>110679822</v>
      </c>
      <c r="C16" s="31" t="n">
        <v>23379217</v>
      </c>
      <c r="D16" s="31" t="n">
        <v>50185972</v>
      </c>
      <c r="E16" s="31" t="n">
        <v>241125951</v>
      </c>
      <c r="F16" s="31" t="n">
        <v>508863835</v>
      </c>
      <c r="G16" s="31" t="n">
        <v>995311355</v>
      </c>
      <c r="H16" s="31" t="n">
        <v>584656222</v>
      </c>
    </row>
    <row r="17">
      <c r="A17" s="27" t="inlineStr">
        <is>
          <t>Autres (transport, rééducation, bons)</t>
        </is>
      </c>
      <c r="B17" s="29" t="n">
        <v>12977195</v>
      </c>
      <c r="C17" s="29" t="n">
        <v>8632300</v>
      </c>
      <c r="D17" s="29" t="n">
        <v>15646432</v>
      </c>
      <c r="E17" s="29" t="n">
        <v>32647653</v>
      </c>
      <c r="F17" s="29" t="n">
        <v>63670580</v>
      </c>
      <c r="G17" s="29" t="n">
        <v>57162125</v>
      </c>
      <c r="H17" s="29" t="n">
        <v>108421074</v>
      </c>
    </row>
    <row r="18"/>
    <row r="19">
      <c r="A19" s="14" t="inlineStr">
        <is>
          <t>Source : balances des comptes du FPPN (Sage 100), 2020 au 31/08/2026 (2026 provisoire) ; traitements Adenka</t>
        </is>
      </c>
    </row>
  </sheetData>
  <mergeCells count="6">
    <mergeCell ref="B4:H4"/>
    <mergeCell ref="B6:H6"/>
    <mergeCell ref="B2:H2"/>
    <mergeCell ref="B7:H7"/>
    <mergeCell ref="B3:H3"/>
    <mergeCell ref="B5:H5"/>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AB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9.85" customWidth="1" min="2" max="2"/>
    <col width="20.9" customWidth="1" min="3" max="3"/>
    <col width="17.95" customWidth="1" min="4" max="4"/>
    <col width="19.1" customWidth="1" min="5" max="5"/>
    <col width="17.95" customWidth="1" min="6" max="6"/>
    <col width="17.95" customWidth="1" min="7" max="7"/>
    <col width="15.65" customWidth="1" min="8" max="8"/>
    <col width="19.85" customWidth="1" min="9" max="9"/>
    <col width="25.1" customWidth="1" min="10" max="10"/>
    <col width="21.95" customWidth="1" min="11" max="11"/>
    <col width="21.95" customWidth="1" min="12" max="12"/>
    <col width="25.1" customWidth="1" min="13" max="13"/>
    <col width="17.95" customWidth="1" min="14" max="14"/>
    <col width="25.1" customWidth="1" min="15" max="15"/>
    <col width="25.1" customWidth="1" min="16" max="16"/>
    <col width="17.95" customWidth="1" min="17" max="17"/>
    <col width="18.8" customWidth="1" min="18" max="18"/>
    <col width="20.25" customWidth="1" min="19" max="19"/>
    <col width="15.65" customWidth="1" min="20" max="20"/>
    <col width="19.1" customWidth="1" min="21" max="21"/>
    <col width="19.1" customWidth="1" min="22" max="22"/>
    <col width="24.05" customWidth="1" min="23" max="23"/>
    <col width="20.9" customWidth="1" min="24" max="24"/>
    <col width="24.05" customWidth="1" min="25" max="25"/>
    <col width="25.1" customWidth="1" min="26" max="26"/>
    <col width="19.85" customWidth="1" min="27" max="27"/>
    <col width="19.1" customWidth="1" min="28" max="28"/>
  </cols>
  <sheetData>
    <row r="1">
      <c r="A1" s="7" t="inlineStr">
        <is>
          <t>Tableau : Postes du bilan utilisés par le rapport (FCFA)</t>
        </is>
      </c>
    </row>
    <row r="2" ht="25" customHeight="1">
      <c r="A2" s="25" t="inlineStr">
        <is>
          <t>À quoi sert cet onglet</t>
        </is>
      </c>
      <c r="B2" s="26" t="inlineStr">
        <is>
          <t>Rassembler les postes du bilan utilisés dans le rapport : provisions, épargne, actifs réservés, trésorerie, créances, fonds propres.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75" customHeight="1">
      <c r="A4" s="25" t="inlineStr">
        <is>
          <t>Comment le calcul est fait</t>
        </is>
      </c>
      <c r="B4" s="26" t="inlineStr">
        <is>
          <t>Chaque colonne est le solde d'un groupe de comptes : provision maladie (15801, 19011), obsèques (15802, 19012), PEP (411951), EFC (411952), banques de l'épargne (5211020, 5221020, 5211030, 5221030, 526120), FCP (5330), créance sur l'hôpital (47111100), CMP (47111101, 47111104, 47111105), Grenier (47111102), terrains (222), réserves (10, 11), report à nouveau (120, 121), pertes (129). Couverture de l'épargne = actifs réservés / épargne. Les valeurs sont calculées par les scripts de la mission et collées ici ; la formule de chaque colonne est donnée dans « Comment le calcul est fait ».</t>
        </is>
      </c>
    </row>
    <row r="5" ht="25" customHeight="1">
      <c r="A5" s="25" t="inlineStr">
        <is>
          <t>Comment lire le résultat</t>
        </is>
      </c>
      <c r="B5" s="26" t="inlineStr">
        <is>
          <t>Une couverture de l'épargne de 16 % veut dire que les actifs réservés ne rembourseraient que 16 FCFA sur 100 FCFA d'épargne.</t>
        </is>
      </c>
    </row>
    <row r="6" ht="15" customHeight="1">
      <c r="A6" s="25" t="inlineStr">
        <is>
          <t>Valable pour</t>
        </is>
      </c>
      <c r="B6" s="26" t="inlineStr">
        <is>
          <t>Au 31/12 de 2020 à 2025 et au 31/08/2026 (provisoire).</t>
        </is>
      </c>
    </row>
    <row r="7" ht="15" customHeight="1">
      <c r="A7" s="25" t="inlineStr">
        <is>
          <t>Limites</t>
        </is>
      </c>
      <c r="B7" s="26" t="inlineStr">
        <is>
          <t>Valeurs comptables, non réévaluées.</t>
        </is>
      </c>
    </row>
    <row r="8"/>
    <row r="9"/>
    <row r="10" ht="30" customHeight="1">
      <c r="A10" s="8" t="inlineStr">
        <is>
          <t>Exercice</t>
        </is>
      </c>
      <c r="B10" s="8" t="inlineStr">
        <is>
          <t>Provision maladie</t>
        </is>
      </c>
      <c r="C10" s="8" t="inlineStr">
        <is>
          <t>Provision obseques</t>
        </is>
      </c>
      <c r="D10" s="8" t="inlineStr">
        <is>
          <t>Épargne PEP</t>
        </is>
      </c>
      <c r="E10" s="8" t="inlineStr">
        <is>
          <t>Épargne EFC</t>
        </is>
      </c>
      <c r="F10" s="8" t="inlineStr">
        <is>
          <t>Banque EFC</t>
        </is>
      </c>
      <c r="G10" s="8" t="inlineStr">
        <is>
          <t>Banque PEP</t>
        </is>
      </c>
      <c r="H10" s="8" t="inlineStr">
        <is>
          <t>Fcp</t>
        </is>
      </c>
      <c r="I10" s="8" t="inlineStr">
        <is>
          <t>Trésorerie totale</t>
        </is>
      </c>
      <c r="J10" s="8" t="inlineStr">
        <is>
          <t>Creance hopital police</t>
        </is>
      </c>
      <c r="K10" s="8" t="inlineStr">
        <is>
          <t>CMP investissements</t>
        </is>
      </c>
      <c r="L10" s="8" t="inlineStr">
        <is>
          <t>Grenier financement</t>
        </is>
      </c>
      <c r="M10" s="8" t="inlineStr">
        <is>
          <t>Cotisations a recevoir etat</t>
        </is>
      </c>
      <c r="N10" s="8" t="inlineStr">
        <is>
          <t>Terrains</t>
        </is>
      </c>
      <c r="O10" s="8" t="inlineStr">
        <is>
          <t>Immobilisations nettes</t>
        </is>
      </c>
      <c r="P10" s="8" t="inlineStr">
        <is>
          <t>Fournisseurs cliniques</t>
        </is>
      </c>
      <c r="Q10" s="8" t="inlineStr">
        <is>
          <t>Réserves</t>
        </is>
      </c>
      <c r="R10" s="8" t="inlineStr">
        <is>
          <t>Report a nouveau</t>
        </is>
      </c>
      <c r="S10" s="8" t="inlineStr">
        <is>
          <t>Pertes cumulees</t>
        </is>
      </c>
      <c r="T10" s="8" t="inlineStr">
        <is>
          <t>Prêts PEP</t>
        </is>
      </c>
      <c r="U10" s="8" t="inlineStr">
        <is>
          <t>Total actif</t>
        </is>
      </c>
      <c r="V10" s="8" t="inlineStr">
        <is>
          <t>Épargne totale</t>
        </is>
      </c>
      <c r="W10" s="8" t="inlineStr">
        <is>
          <t>Actifs dédiés épargne</t>
        </is>
      </c>
      <c r="X10" s="8" t="inlineStr">
        <is>
          <t>Couverture épargne</t>
        </is>
      </c>
      <c r="Y10" s="8" t="inlineStr">
        <is>
          <t>Provisions techniques</t>
        </is>
      </c>
      <c r="Z10" s="8" t="inlineStr">
        <is>
          <t>Fonds propres hors résultat</t>
        </is>
      </c>
      <c r="AA10" s="8" t="inlineStr">
        <is>
          <t>Résultat exercice</t>
        </is>
      </c>
      <c r="AB10" s="8" t="inlineStr">
        <is>
          <t>Fonds propres</t>
        </is>
      </c>
    </row>
    <row r="11">
      <c r="A11" s="34" t="n">
        <v>2020</v>
      </c>
      <c r="B11" s="29" t="n">
        <v>2867602878</v>
      </c>
      <c r="C11" s="29" t="n">
        <v>1961695412</v>
      </c>
      <c r="D11" s="29" t="n">
        <v>7366229747</v>
      </c>
      <c r="E11" s="29" t="n">
        <v>3461975893</v>
      </c>
      <c r="F11" s="29" t="n">
        <v>107161972</v>
      </c>
      <c r="G11" s="29" t="n">
        <v>606880812</v>
      </c>
      <c r="H11" s="29" t="n">
        <v>0</v>
      </c>
      <c r="I11" s="29" t="n">
        <v>630462899</v>
      </c>
      <c r="J11" s="29" t="n">
        <v>3407519850</v>
      </c>
      <c r="K11" s="29" t="n">
        <v>2984680712</v>
      </c>
      <c r="L11" s="29" t="n">
        <v>0</v>
      </c>
      <c r="M11" s="29" t="n">
        <v>254145</v>
      </c>
      <c r="N11" s="29" t="n">
        <v>3931156624</v>
      </c>
      <c r="O11" s="29" t="n">
        <v>5420135286</v>
      </c>
      <c r="P11" s="29" t="n">
        <v>1394774547</v>
      </c>
      <c r="Q11" s="29" t="n">
        <v>2899400000</v>
      </c>
      <c r="R11" s="29" t="n">
        <v>730697877</v>
      </c>
      <c r="S11" s="29" t="n">
        <v>-11391759309</v>
      </c>
      <c r="T11" s="29" t="n">
        <v>472864656</v>
      </c>
      <c r="U11" s="29" t="n">
        <v>14446097044</v>
      </c>
      <c r="V11" s="29" t="n">
        <v>10828205640</v>
      </c>
      <c r="W11" s="29" t="n">
        <v>714042784</v>
      </c>
      <c r="X11" s="32" t="n">
        <v>0.0659428540368947</v>
      </c>
      <c r="Y11" s="29" t="n">
        <v>4829298290</v>
      </c>
      <c r="Z11" s="29" t="n">
        <v>-7761661432</v>
      </c>
      <c r="AA11" s="29" t="n">
        <v>1018579699</v>
      </c>
      <c r="AB11" s="29" t="n">
        <v>-6743081733</v>
      </c>
    </row>
    <row r="12">
      <c r="A12" s="34" t="n">
        <v>2021</v>
      </c>
      <c r="B12" s="31" t="n">
        <v>2867602878</v>
      </c>
      <c r="C12" s="31" t="n">
        <v>1961695412</v>
      </c>
      <c r="D12" s="31" t="n">
        <v>6362356294</v>
      </c>
      <c r="E12" s="31" t="n">
        <v>3785064982</v>
      </c>
      <c r="F12" s="31" t="n">
        <v>262657422</v>
      </c>
      <c r="G12" s="31" t="n">
        <v>1694553616</v>
      </c>
      <c r="H12" s="31" t="n">
        <v>0</v>
      </c>
      <c r="I12" s="31" t="n">
        <v>2300331943</v>
      </c>
      <c r="J12" s="31" t="n">
        <v>3407519850</v>
      </c>
      <c r="K12" s="31" t="n">
        <v>3521598249</v>
      </c>
      <c r="L12" s="31" t="n">
        <v>27030000</v>
      </c>
      <c r="M12" s="31" t="n">
        <v>-1025855</v>
      </c>
      <c r="N12" s="31" t="n">
        <v>3443682500</v>
      </c>
      <c r="O12" s="31" t="n">
        <v>4916701524</v>
      </c>
      <c r="P12" s="31" t="n">
        <v>875220557</v>
      </c>
      <c r="Q12" s="31" t="n">
        <v>2899400000</v>
      </c>
      <c r="R12" s="31" t="n">
        <v>0</v>
      </c>
      <c r="S12" s="31" t="n">
        <v>-9642481733</v>
      </c>
      <c r="T12" s="31" t="n">
        <v>443107707</v>
      </c>
      <c r="U12" s="31" t="n">
        <v>16195461159</v>
      </c>
      <c r="V12" s="31" t="n">
        <v>10147421276</v>
      </c>
      <c r="W12" s="31" t="n">
        <v>1957211038</v>
      </c>
      <c r="X12" s="33" t="n">
        <v>0.1928776764821092</v>
      </c>
      <c r="Y12" s="31" t="n">
        <v>4829298290</v>
      </c>
      <c r="Z12" s="31" t="n">
        <v>-6743081733</v>
      </c>
      <c r="AA12" s="31" t="n">
        <v>2083908202</v>
      </c>
      <c r="AB12" s="31" t="n">
        <v>-4659173531</v>
      </c>
    </row>
    <row r="13">
      <c r="A13" s="34" t="n">
        <v>2022</v>
      </c>
      <c r="B13" s="29" t="n">
        <v>2867602878</v>
      </c>
      <c r="C13" s="29" t="n">
        <v>1961695412</v>
      </c>
      <c r="D13" s="29" t="n">
        <v>4910897006</v>
      </c>
      <c r="E13" s="29" t="n">
        <v>4453948287</v>
      </c>
      <c r="F13" s="29" t="n">
        <v>234795606</v>
      </c>
      <c r="G13" s="29" t="n">
        <v>654048627</v>
      </c>
      <c r="H13" s="29" t="n">
        <v>0</v>
      </c>
      <c r="I13" s="29" t="n">
        <v>1233051977</v>
      </c>
      <c r="J13" s="29" t="n">
        <v>3407519850</v>
      </c>
      <c r="K13" s="29" t="n">
        <v>3785598221</v>
      </c>
      <c r="L13" s="29" t="n">
        <v>458483900</v>
      </c>
      <c r="M13" s="29" t="n">
        <v>-1025855</v>
      </c>
      <c r="N13" s="29" t="n">
        <v>3443682500</v>
      </c>
      <c r="O13" s="29" t="n">
        <v>4888463485</v>
      </c>
      <c r="P13" s="29" t="n">
        <v>533144348</v>
      </c>
      <c r="Q13" s="29" t="n">
        <v>2899400000</v>
      </c>
      <c r="R13" s="29" t="n">
        <v>2083908202</v>
      </c>
      <c r="S13" s="29" t="n">
        <v>-9642481733</v>
      </c>
      <c r="T13" s="29" t="n">
        <v>420053362</v>
      </c>
      <c r="U13" s="29" t="n">
        <v>15510713126</v>
      </c>
      <c r="V13" s="29" t="n">
        <v>9364845293</v>
      </c>
      <c r="W13" s="29" t="n">
        <v>888844233</v>
      </c>
      <c r="X13" s="32" t="n">
        <v>0.09491285816161747</v>
      </c>
      <c r="Y13" s="29" t="n">
        <v>4829298290</v>
      </c>
      <c r="Z13" s="29" t="n">
        <v>-4659173531</v>
      </c>
      <c r="AA13" s="29" t="n">
        <v>2060332677</v>
      </c>
      <c r="AB13" s="29" t="n">
        <v>-2598840854</v>
      </c>
    </row>
    <row r="14">
      <c r="A14" s="34" t="n">
        <v>2023</v>
      </c>
      <c r="B14" s="31" t="n">
        <v>2867602878</v>
      </c>
      <c r="C14" s="31" t="n">
        <v>1961695412</v>
      </c>
      <c r="D14" s="31" t="n">
        <v>3560105617</v>
      </c>
      <c r="E14" s="31" t="n">
        <v>5561470959</v>
      </c>
      <c r="F14" s="31" t="n">
        <v>315891725</v>
      </c>
      <c r="G14" s="31" t="n">
        <v>523320344</v>
      </c>
      <c r="H14" s="31" t="n">
        <v>0</v>
      </c>
      <c r="I14" s="31" t="n">
        <v>1116267103</v>
      </c>
      <c r="J14" s="31" t="n">
        <v>3407519850</v>
      </c>
      <c r="K14" s="31" t="n">
        <v>4069396329</v>
      </c>
      <c r="L14" s="31" t="n">
        <v>504192100</v>
      </c>
      <c r="M14" s="31" t="n">
        <v>-3037100</v>
      </c>
      <c r="N14" s="31" t="n">
        <v>3443682500</v>
      </c>
      <c r="O14" s="31" t="n">
        <v>5151329261</v>
      </c>
      <c r="P14" s="31" t="n">
        <v>271270756</v>
      </c>
      <c r="Q14" s="31" t="n">
        <v>3083619879</v>
      </c>
      <c r="R14" s="31" t="n">
        <v>1876112798</v>
      </c>
      <c r="S14" s="31" t="n">
        <v>-7558573531</v>
      </c>
      <c r="T14" s="31" t="n">
        <v>390764705</v>
      </c>
      <c r="U14" s="31" t="n">
        <v>16167155123</v>
      </c>
      <c r="V14" s="31" t="n">
        <v>9121576576</v>
      </c>
      <c r="W14" s="31" t="n">
        <v>839212069</v>
      </c>
      <c r="X14" s="33" t="n">
        <v>0.09200296264661868</v>
      </c>
      <c r="Y14" s="31" t="n">
        <v>4829298290</v>
      </c>
      <c r="Z14" s="31" t="n">
        <v>-2598840854</v>
      </c>
      <c r="AA14" s="31" t="n">
        <v>930629102</v>
      </c>
      <c r="AB14" s="31" t="n">
        <v>-1668211752</v>
      </c>
    </row>
    <row r="15">
      <c r="A15" s="34" t="n">
        <v>2024</v>
      </c>
      <c r="B15" s="29" t="n">
        <v>2867602878</v>
      </c>
      <c r="C15" s="29" t="n">
        <v>1961695412</v>
      </c>
      <c r="D15" s="29" t="n">
        <v>3830323779</v>
      </c>
      <c r="E15" s="29" t="n">
        <v>6954740653</v>
      </c>
      <c r="F15" s="29" t="n">
        <v>154446091</v>
      </c>
      <c r="G15" s="29" t="n">
        <v>545479696</v>
      </c>
      <c r="H15" s="29" t="n">
        <v>0</v>
      </c>
      <c r="I15" s="29" t="n">
        <v>979838445</v>
      </c>
      <c r="J15" s="29" t="n">
        <v>3407519850</v>
      </c>
      <c r="K15" s="29" t="n">
        <v>4944656429</v>
      </c>
      <c r="L15" s="29" t="n">
        <v>650882600</v>
      </c>
      <c r="M15" s="29" t="n">
        <v>605765122</v>
      </c>
      <c r="N15" s="29" t="n">
        <v>3443682500</v>
      </c>
      <c r="O15" s="29" t="n">
        <v>6790107498</v>
      </c>
      <c r="P15" s="29" t="n">
        <v>236353873</v>
      </c>
      <c r="Q15" s="29" t="n">
        <v>3604772176</v>
      </c>
      <c r="R15" s="29" t="n">
        <v>0</v>
      </c>
      <c r="S15" s="29" t="n">
        <v>-5272983928</v>
      </c>
      <c r="T15" s="29" t="n">
        <v>380674236</v>
      </c>
      <c r="U15" s="29" t="n">
        <v>19396236478</v>
      </c>
      <c r="V15" s="29" t="n">
        <v>10785064432</v>
      </c>
      <c r="W15" s="29" t="n">
        <v>699925787</v>
      </c>
      <c r="X15" s="32" t="n">
        <v>0.06489769174890359</v>
      </c>
      <c r="Y15" s="29" t="n">
        <v>4829298290</v>
      </c>
      <c r="Z15" s="29" t="n">
        <v>-1668211752</v>
      </c>
      <c r="AA15" s="29" t="n">
        <v>792069641</v>
      </c>
      <c r="AB15" s="29" t="n">
        <v>-876142111</v>
      </c>
    </row>
    <row r="16">
      <c r="A16" s="34" t="n">
        <v>2025</v>
      </c>
      <c r="B16" s="31" t="n">
        <v>2867602878</v>
      </c>
      <c r="C16" s="31" t="n">
        <v>1961695412</v>
      </c>
      <c r="D16" s="31" t="n">
        <v>4965221920</v>
      </c>
      <c r="E16" s="31" t="n">
        <v>8848845044</v>
      </c>
      <c r="F16" s="31" t="n">
        <v>912316390</v>
      </c>
      <c r="G16" s="31" t="n">
        <v>195839135</v>
      </c>
      <c r="H16" s="31" t="n">
        <v>500000000</v>
      </c>
      <c r="I16" s="31" t="n">
        <v>1964171543</v>
      </c>
      <c r="J16" s="31" t="n">
        <v>3407519850</v>
      </c>
      <c r="K16" s="31" t="n">
        <v>6002976947</v>
      </c>
      <c r="L16" s="31" t="n">
        <v>817121335</v>
      </c>
      <c r="M16" s="31" t="n">
        <v>704189157</v>
      </c>
      <c r="N16" s="31" t="n">
        <v>5245896750</v>
      </c>
      <c r="O16" s="31" t="n">
        <v>6814784076</v>
      </c>
      <c r="P16" s="31" t="n">
        <v>242140869</v>
      </c>
      <c r="Q16" s="31" t="n">
        <v>4396841817</v>
      </c>
      <c r="R16" s="31" t="n">
        <v>0</v>
      </c>
      <c r="S16" s="31" t="n">
        <v>-5272983928</v>
      </c>
      <c r="T16" s="31" t="n">
        <v>379204261</v>
      </c>
      <c r="U16" s="31" t="n">
        <v>21722068914</v>
      </c>
      <c r="V16" s="31" t="n">
        <v>13814066964</v>
      </c>
      <c r="W16" s="31" t="n">
        <v>1608155525</v>
      </c>
      <c r="X16" s="33" t="n">
        <v>0.1164143426545503</v>
      </c>
      <c r="Y16" s="31" t="n">
        <v>4829298290</v>
      </c>
      <c r="Z16" s="31" t="n">
        <v>-876142111</v>
      </c>
      <c r="AA16" s="31" t="n">
        <v>437899911</v>
      </c>
      <c r="AB16" s="31" t="n">
        <v>-438242200</v>
      </c>
    </row>
    <row r="17">
      <c r="A17" s="34" t="n">
        <v>2026</v>
      </c>
      <c r="B17" s="29" t="n">
        <v>2867602878</v>
      </c>
      <c r="C17" s="29" t="n">
        <v>1961695412</v>
      </c>
      <c r="D17" s="29" t="n">
        <v>5229245425</v>
      </c>
      <c r="E17" s="29" t="n">
        <v>10514270966</v>
      </c>
      <c r="F17" s="29" t="n">
        <v>2025548745</v>
      </c>
      <c r="G17" s="29" t="n">
        <v>37336916</v>
      </c>
      <c r="H17" s="29" t="n">
        <v>500000000</v>
      </c>
      <c r="I17" s="29" t="n">
        <v>3359100618</v>
      </c>
      <c r="J17" s="29" t="n">
        <v>3407519850</v>
      </c>
      <c r="K17" s="29" t="n">
        <v>7083534565</v>
      </c>
      <c r="L17" s="29" t="n">
        <v>915477260</v>
      </c>
      <c r="M17" s="29" t="n">
        <v>-5629803</v>
      </c>
      <c r="N17" s="29" t="n">
        <v>5245896750</v>
      </c>
      <c r="O17" s="29" t="n">
        <v>6863564240</v>
      </c>
      <c r="P17" s="29" t="n">
        <v>690234451</v>
      </c>
      <c r="Q17" s="29" t="n">
        <v>4396841817</v>
      </c>
      <c r="R17" s="29" t="n">
        <v>437899911</v>
      </c>
      <c r="S17" s="29" t="n">
        <v>-5272983928</v>
      </c>
      <c r="T17" s="29" t="n">
        <v>379204261</v>
      </c>
      <c r="U17" s="29" t="n">
        <v>23692620745</v>
      </c>
      <c r="V17" s="29" t="n">
        <v>15743516391</v>
      </c>
      <c r="W17" s="29" t="n">
        <v>2562885661</v>
      </c>
      <c r="X17" s="32" t="n">
        <v>0.1627899128345373</v>
      </c>
      <c r="Y17" s="29" t="n">
        <v>4829298290</v>
      </c>
      <c r="Z17" s="29" t="n">
        <v>-438242200</v>
      </c>
      <c r="AA17" s="29" t="n">
        <v>-441256500</v>
      </c>
      <c r="AB17" s="29" t="n">
        <v>-879498700</v>
      </c>
    </row>
    <row r="18"/>
    <row r="19">
      <c r="A19" s="14" t="inlineStr">
        <is>
          <t>Source : balances des comptes du FPPN (Sage 100), 2020 au 31/08/2026 (2026 provisoire) ; traitements Adenka</t>
        </is>
      </c>
    </row>
  </sheetData>
  <mergeCells count="6">
    <mergeCell ref="B4:AB4"/>
    <mergeCell ref="B7:AB7"/>
    <mergeCell ref="B6:AB6"/>
    <mergeCell ref="B2:AB2"/>
    <mergeCell ref="B3:AB3"/>
    <mergeCell ref="B5:AB5"/>
  </mergeCell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3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12.5" customWidth="1" min="3" max="3"/>
    <col width="19.1" customWidth="1" min="4" max="4"/>
    <col width="17.95" customWidth="1" min="5" max="5"/>
  </cols>
  <sheetData>
    <row r="1">
      <c r="A1" s="7" t="inlineStr">
        <is>
          <t>Tableau : Versements au Plan Épargne Plus</t>
        </is>
      </c>
    </row>
    <row r="2" ht="15" customHeight="1">
      <c r="A2" s="25" t="inlineStr">
        <is>
          <t>À quoi sert cet onglet</t>
        </is>
      </c>
      <c r="B2" s="26" t="inlineStr">
        <is>
          <t>Suivre les versements au Plan Épargne Plus (PEP) par année.</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 Compte 41195100 des balances.</t>
        </is>
      </c>
    </row>
    <row r="4" ht="37.5" customHeight="1">
      <c r="A4" s="25" t="inlineStr">
        <is>
          <t>Comment le calcul est fait</t>
        </is>
      </c>
      <c r="B4" s="26" t="inlineStr">
        <is>
          <t>Versements = somme des précomptes du poste 998 rattachés au PEP ; épargnants = matricules différents ; cumul = somme depuis 2001. Les valeurs sont calculées par les scripts de la mission et collées ici ; la formule de chaque colonne est donnée dans « Comment le calcul est fait ».</t>
        </is>
      </c>
    </row>
    <row r="5" ht="15" customHeight="1">
      <c r="A5" s="25" t="inlineStr">
        <is>
          <t>Comment lire le résultat</t>
        </is>
      </c>
      <c r="B5" s="26" t="inlineStr">
        <is>
          <t>Le cumul des versements ne tient pas compte des retraits : il ne vaut pas épargne due.</t>
        </is>
      </c>
    </row>
    <row r="6" ht="15" customHeight="1">
      <c r="A6" s="25" t="inlineStr">
        <is>
          <t>Valable pour</t>
        </is>
      </c>
      <c r="B6" s="26" t="inlineStr">
        <is>
          <t>Années présentes dans les fichiers retour du PEP (2001 à 2026).</t>
        </is>
      </c>
    </row>
    <row r="7" ht="15" customHeight="1">
      <c r="A7" s="25" t="inlineStr">
        <is>
          <t>Limites</t>
        </is>
      </c>
      <c r="B7" s="26" t="inlineStr">
        <is>
          <t>Fichiers anciens incomplets.</t>
        </is>
      </c>
    </row>
    <row r="8"/>
    <row r="9"/>
    <row r="10" ht="30" customHeight="1">
      <c r="A10" s="8" t="inlineStr">
        <is>
          <t>Année</t>
        </is>
      </c>
      <c r="B10" s="8" t="inlineStr">
        <is>
          <t>Versements</t>
        </is>
      </c>
      <c r="C10" s="8" t="inlineStr">
        <is>
          <t>Epargnants</t>
        </is>
      </c>
      <c r="D10" s="8" t="inlineStr">
        <is>
          <t>Cumul</t>
        </is>
      </c>
      <c r="E10" s="8" t="inlineStr">
        <is>
          <t>Compte 41195100</t>
        </is>
      </c>
    </row>
    <row r="11">
      <c r="A11" s="34" t="n">
        <v>2001</v>
      </c>
      <c r="B11" s="29" t="n">
        <v>32643665</v>
      </c>
      <c r="C11" s="29" t="n">
        <v>869</v>
      </c>
      <c r="D11" s="29" t="n">
        <v>32643665</v>
      </c>
      <c r="E11" s="28" t="n"/>
    </row>
    <row r="12">
      <c r="A12" s="34" t="n">
        <v>2002</v>
      </c>
      <c r="B12" s="31" t="n">
        <v>61037019</v>
      </c>
      <c r="C12" s="31" t="n">
        <v>1408</v>
      </c>
      <c r="D12" s="31" t="n">
        <v>93680684</v>
      </c>
      <c r="E12" s="30" t="n"/>
    </row>
    <row r="13">
      <c r="A13" s="34" t="n">
        <v>2003</v>
      </c>
      <c r="B13" s="29" t="n">
        <v>98286400</v>
      </c>
      <c r="C13" s="29" t="n">
        <v>1952</v>
      </c>
      <c r="D13" s="29" t="n">
        <v>191967084</v>
      </c>
      <c r="E13" s="28" t="n"/>
    </row>
    <row r="14">
      <c r="A14" s="34" t="n">
        <v>2004</v>
      </c>
      <c r="B14" s="31" t="n">
        <v>92257861</v>
      </c>
      <c r="C14" s="31" t="n">
        <v>1873</v>
      </c>
      <c r="D14" s="31" t="n">
        <v>284224945</v>
      </c>
      <c r="E14" s="30" t="n"/>
    </row>
    <row r="15">
      <c r="A15" s="34" t="n">
        <v>2005</v>
      </c>
      <c r="B15" s="29" t="n">
        <v>52432929</v>
      </c>
      <c r="C15" s="29" t="n">
        <v>1012</v>
      </c>
      <c r="D15" s="29" t="n">
        <v>336657874</v>
      </c>
      <c r="E15" s="28" t="n"/>
    </row>
    <row r="16">
      <c r="A16" s="34" t="n">
        <v>2006</v>
      </c>
      <c r="B16" s="31" t="n">
        <v>48851790</v>
      </c>
      <c r="C16" s="31" t="n">
        <v>915</v>
      </c>
      <c r="D16" s="31" t="n">
        <v>385509664</v>
      </c>
      <c r="E16" s="30" t="n"/>
    </row>
    <row r="17">
      <c r="A17" s="34" t="n">
        <v>2007</v>
      </c>
      <c r="B17" s="29" t="n">
        <v>46168491</v>
      </c>
      <c r="C17" s="29" t="n">
        <v>856</v>
      </c>
      <c r="D17" s="29" t="n">
        <v>431678155</v>
      </c>
      <c r="E17" s="28" t="n"/>
    </row>
    <row r="18">
      <c r="A18" s="34" t="n">
        <v>2008</v>
      </c>
      <c r="B18" s="31" t="n">
        <v>50334943</v>
      </c>
      <c r="C18" s="31" t="n">
        <v>1039</v>
      </c>
      <c r="D18" s="31" t="n">
        <v>482013098</v>
      </c>
      <c r="E18" s="30" t="n"/>
    </row>
    <row r="19">
      <c r="A19" s="34" t="n">
        <v>2009</v>
      </c>
      <c r="B19" s="29" t="n">
        <v>62097895</v>
      </c>
      <c r="C19" s="29" t="n">
        <v>1083</v>
      </c>
      <c r="D19" s="29" t="n">
        <v>544110993</v>
      </c>
      <c r="E19" s="28" t="n"/>
    </row>
    <row r="20">
      <c r="A20" s="34" t="n">
        <v>2010</v>
      </c>
      <c r="B20" s="31" t="n">
        <v>57894711</v>
      </c>
      <c r="C20" s="31" t="n">
        <v>915</v>
      </c>
      <c r="D20" s="31" t="n">
        <v>602005704</v>
      </c>
      <c r="E20" s="30" t="n"/>
    </row>
    <row r="21">
      <c r="A21" s="34" t="n">
        <v>2011</v>
      </c>
      <c r="B21" s="29" t="n">
        <v>16855203</v>
      </c>
      <c r="C21" s="29" t="n">
        <v>364</v>
      </c>
      <c r="D21" s="29" t="n">
        <v>618860907</v>
      </c>
      <c r="E21" s="28" t="n"/>
    </row>
    <row r="22">
      <c r="A22" s="34" t="n">
        <v>2012</v>
      </c>
      <c r="B22" s="31" t="n">
        <v>89852519</v>
      </c>
      <c r="C22" s="31" t="n">
        <v>1584</v>
      </c>
      <c r="D22" s="31" t="n">
        <v>708713426</v>
      </c>
      <c r="E22" s="30" t="n"/>
    </row>
    <row r="23">
      <c r="A23" s="34" t="n">
        <v>2013</v>
      </c>
      <c r="B23" s="29" t="n">
        <v>71011671</v>
      </c>
      <c r="C23" s="29" t="n">
        <v>1489</v>
      </c>
      <c r="D23" s="29" t="n">
        <v>779725097</v>
      </c>
      <c r="E23" s="28" t="n"/>
    </row>
    <row r="24">
      <c r="A24" s="34" t="n">
        <v>2014</v>
      </c>
      <c r="B24" s="31" t="n">
        <v>629444986</v>
      </c>
      <c r="C24" s="31" t="n">
        <v>2320</v>
      </c>
      <c r="D24" s="31" t="n">
        <v>1409170083</v>
      </c>
      <c r="E24" s="30" t="n"/>
    </row>
    <row r="25">
      <c r="A25" s="34" t="n">
        <v>2015</v>
      </c>
      <c r="B25" s="29" t="n">
        <v>1023789808</v>
      </c>
      <c r="C25" s="29" t="n">
        <v>2329</v>
      </c>
      <c r="D25" s="29" t="n">
        <v>2432959891</v>
      </c>
      <c r="E25" s="28" t="n"/>
    </row>
    <row r="26">
      <c r="A26" s="34" t="n">
        <v>2016</v>
      </c>
      <c r="B26" s="31" t="n">
        <v>810228842</v>
      </c>
      <c r="C26" s="31" t="n">
        <v>2137</v>
      </c>
      <c r="D26" s="31" t="n">
        <v>3243188733</v>
      </c>
      <c r="E26" s="30" t="n"/>
    </row>
    <row r="27">
      <c r="A27" s="34" t="n">
        <v>2017</v>
      </c>
      <c r="B27" s="29" t="n">
        <v>652108398</v>
      </c>
      <c r="C27" s="29" t="n">
        <v>2095</v>
      </c>
      <c r="D27" s="29" t="n">
        <v>3895297131</v>
      </c>
      <c r="E27" s="28" t="n"/>
    </row>
    <row r="28">
      <c r="A28" s="34" t="n">
        <v>2018</v>
      </c>
      <c r="B28" s="31" t="n">
        <v>533806376</v>
      </c>
      <c r="C28" s="31" t="n">
        <v>1876</v>
      </c>
      <c r="D28" s="31" t="n">
        <v>4429103507</v>
      </c>
      <c r="E28" s="30" t="n"/>
    </row>
    <row r="29">
      <c r="A29" s="34" t="n">
        <v>2019</v>
      </c>
      <c r="B29" s="29" t="n">
        <v>410055781</v>
      </c>
      <c r="C29" s="29" t="n">
        <v>1603</v>
      </c>
      <c r="D29" s="29" t="n">
        <v>4839159288</v>
      </c>
      <c r="E29" s="28" t="n"/>
    </row>
    <row r="30">
      <c r="A30" s="34" t="n">
        <v>2020</v>
      </c>
      <c r="B30" s="31" t="n">
        <v>293756537</v>
      </c>
      <c r="C30" s="31" t="n">
        <v>1327</v>
      </c>
      <c r="D30" s="31" t="n">
        <v>5132915825</v>
      </c>
      <c r="E30" s="31" t="n">
        <v>7366229747</v>
      </c>
    </row>
    <row r="31">
      <c r="A31" s="34" t="n">
        <v>2021</v>
      </c>
      <c r="B31" s="29" t="n">
        <v>322774529</v>
      </c>
      <c r="C31" s="29" t="n">
        <v>1870</v>
      </c>
      <c r="D31" s="29" t="n">
        <v>5455690354</v>
      </c>
      <c r="E31" s="29" t="n">
        <v>6362356294</v>
      </c>
    </row>
    <row r="32">
      <c r="A32" s="34" t="n">
        <v>2022</v>
      </c>
      <c r="B32" s="31" t="n">
        <v>509643904</v>
      </c>
      <c r="C32" s="31" t="n">
        <v>2916</v>
      </c>
      <c r="D32" s="31" t="n">
        <v>5965334258</v>
      </c>
      <c r="E32" s="31" t="n">
        <v>4910897006</v>
      </c>
    </row>
    <row r="33">
      <c r="A33" s="34" t="n">
        <v>2023</v>
      </c>
      <c r="B33" s="29" t="n">
        <v>927826515</v>
      </c>
      <c r="C33" s="29" t="n">
        <v>7017</v>
      </c>
      <c r="D33" s="29" t="n">
        <v>6893160773</v>
      </c>
      <c r="E33" s="29" t="n">
        <v>3560105617</v>
      </c>
    </row>
    <row r="34">
      <c r="A34" s="34" t="n">
        <v>2024</v>
      </c>
      <c r="B34" s="31" t="n">
        <v>1456063820</v>
      </c>
      <c r="C34" s="31" t="n">
        <v>12623</v>
      </c>
      <c r="D34" s="31" t="n">
        <v>8349224593</v>
      </c>
      <c r="E34" s="31" t="n">
        <v>3830323779</v>
      </c>
    </row>
    <row r="35">
      <c r="A35" s="34" t="n">
        <v>2025</v>
      </c>
      <c r="B35" s="29" t="n">
        <v>2029929725</v>
      </c>
      <c r="C35" s="29" t="n">
        <v>16932</v>
      </c>
      <c r="D35" s="29" t="n">
        <v>10379154318</v>
      </c>
      <c r="E35" s="29" t="n">
        <v>4965221920</v>
      </c>
    </row>
    <row r="36">
      <c r="A36" s="34" t="n">
        <v>2026</v>
      </c>
      <c r="B36" s="31" t="n">
        <v>1606835144</v>
      </c>
      <c r="C36" s="31" t="n">
        <v>17199</v>
      </c>
      <c r="D36" s="31" t="n">
        <v>11985989462</v>
      </c>
      <c r="E36" s="31" t="n">
        <v>5229245425</v>
      </c>
    </row>
    <row r="37"/>
    <row r="38">
      <c r="A38" s="14" t="inlineStr">
        <is>
          <t>Source : fichiers de précomptes de la Solde, de la CGRAE et du FPPN reçus le 15/10/2026 ; traitements Adenka ; balances (compte 41195100)</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F16"/>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12.5" customWidth="1" min="3" max="3"/>
    <col width="10" customWidth="1" min="4" max="4"/>
    <col width="19.1" customWidth="1" min="5" max="5"/>
    <col width="18.8" customWidth="1" min="6" max="6"/>
  </cols>
  <sheetData>
    <row r="1">
      <c r="A1" s="7" t="inlineStr">
        <is>
          <t>Tableau : Versements à l'Entraide de Fin de Carrière</t>
        </is>
      </c>
    </row>
    <row r="2" ht="15" customHeight="1">
      <c r="A2" s="25" t="inlineStr">
        <is>
          <t>À quoi sert cet onglet</t>
        </is>
      </c>
      <c r="B2" s="26" t="inlineStr">
        <is>
          <t>Suivre les versements à l'Entraide de Fin de Carrière (EFC) par année.</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 Compte 41195200 des balances.</t>
        </is>
      </c>
    </row>
    <row r="4" ht="37.5" customHeight="1">
      <c r="A4" s="25" t="inlineStr">
        <is>
          <t>Comment le calcul est fait</t>
        </is>
      </c>
      <c r="B4" s="26" t="inlineStr">
        <is>
          <t>Versements = somme des précomptes du poste 870 ; épargnants = matricules différents ; variation du compte = solde de fin - solde de début. Les valeurs sont calculées par les scripts de la mission et collées ici ; la formule de chaque colonne est donnée dans « Comment le calcul est fait ».</t>
        </is>
      </c>
    </row>
    <row r="5" ht="15" customHeight="1">
      <c r="A5" s="25" t="inlineStr">
        <is>
          <t>Comment lire le résultat</t>
        </is>
      </c>
      <c r="B5" s="26" t="inlineStr">
        <is>
          <t>La variation du compte doit être proche des versements moins les sorties.</t>
        </is>
      </c>
    </row>
    <row r="6" ht="15" customHeight="1">
      <c r="A6" s="25" t="inlineStr">
        <is>
          <t>Valable pour</t>
        </is>
      </c>
      <c r="B6" s="26" t="inlineStr">
        <is>
          <t>2023 à 2026 (mois reçus).</t>
        </is>
      </c>
    </row>
    <row r="7" ht="15" customHeight="1">
      <c r="A7" s="25" t="inlineStr">
        <is>
          <t>Limites</t>
        </is>
      </c>
      <c r="B7" s="26" t="inlineStr">
        <is>
          <t>Sorties individuelles non transmises.</t>
        </is>
      </c>
    </row>
    <row r="8"/>
    <row r="9"/>
    <row r="10" ht="30" customHeight="1">
      <c r="A10" s="8" t="inlineStr">
        <is>
          <t>Année</t>
        </is>
      </c>
      <c r="B10" s="8" t="inlineStr">
        <is>
          <t>Versements</t>
        </is>
      </c>
      <c r="C10" s="8" t="inlineStr">
        <is>
          <t>Epargnants</t>
        </is>
      </c>
      <c r="D10" s="8" t="inlineStr">
        <is>
          <t>Mois</t>
        </is>
      </c>
      <c r="E10" s="8" t="inlineStr">
        <is>
          <t>Compte 41195200</t>
        </is>
      </c>
      <c r="F10" s="8" t="inlineStr">
        <is>
          <t>Variation compte</t>
        </is>
      </c>
    </row>
    <row r="11">
      <c r="A11" s="34" t="n">
        <v>2023</v>
      </c>
      <c r="B11" s="29" t="n">
        <v>1414649440</v>
      </c>
      <c r="C11" s="29" t="n">
        <v>14995</v>
      </c>
      <c r="D11" s="35" t="n">
        <v>12</v>
      </c>
      <c r="E11" s="29" t="n">
        <v>5561470959</v>
      </c>
      <c r="F11" s="28" t="n"/>
    </row>
    <row r="12">
      <c r="A12" s="34" t="n">
        <v>2024</v>
      </c>
      <c r="B12" s="31" t="n">
        <v>1833953120</v>
      </c>
      <c r="C12" s="31" t="n">
        <v>20039</v>
      </c>
      <c r="D12" s="36" t="n">
        <v>12</v>
      </c>
      <c r="E12" s="31" t="n">
        <v>6954740653</v>
      </c>
      <c r="F12" s="31" t="n">
        <v>1393269694</v>
      </c>
    </row>
    <row r="13">
      <c r="A13" s="34" t="n">
        <v>2025</v>
      </c>
      <c r="B13" s="29" t="n">
        <v>2160317640</v>
      </c>
      <c r="C13" s="29" t="n">
        <v>24151</v>
      </c>
      <c r="D13" s="35" t="n">
        <v>11</v>
      </c>
      <c r="E13" s="29" t="n">
        <v>8848845044</v>
      </c>
      <c r="F13" s="29" t="n">
        <v>1894104391</v>
      </c>
    </row>
    <row r="14">
      <c r="A14" s="34" t="n">
        <v>2026</v>
      </c>
      <c r="B14" s="31" t="n">
        <v>1786620720</v>
      </c>
      <c r="C14" s="31" t="n">
        <v>23960</v>
      </c>
      <c r="D14" s="36" t="n">
        <v>8</v>
      </c>
      <c r="E14" s="31" t="n">
        <v>10514270966</v>
      </c>
      <c r="F14" s="31" t="n">
        <v>1665425922</v>
      </c>
    </row>
    <row r="15"/>
    <row r="16">
      <c r="A16" s="14" t="inlineStr">
        <is>
          <t>Source : fichiers de précomptes de la Solde, de la CGRAE et du FPPN reçus le 15/10/2026 ; traitements Adenka ; balances (compte 41195200)</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F25"/>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1.05" customWidth="1" min="2" max="2"/>
    <col width="17.95" customWidth="1" min="3" max="3"/>
    <col width="13.55" customWidth="1" min="4" max="4"/>
  </cols>
  <sheetData>
    <row r="1">
      <c r="A1" s="7" t="inlineStr">
        <is>
          <t>Tableau : Références du poste 998 (Plan Épargne Plus)</t>
        </is>
      </c>
    </row>
    <row r="2" ht="15" customHeight="1">
      <c r="A2" s="25" t="inlineStr">
        <is>
          <t>À quoi sert cet onglet</t>
        </is>
      </c>
      <c r="B2" s="26" t="inlineStr">
        <is>
          <t>Répartir le poste 998 entre ses produits (PEP et autres références).</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25" customHeight="1">
      <c r="A4" s="25" t="inlineStr">
        <is>
          <t>Comment le calcul est fait</t>
        </is>
      </c>
      <c r="B4" s="26" t="inlineStr">
        <is>
          <t>Lignes, montants et mutualistes regroupés par référence de produit. Les valeurs sont calculées par les scripts de la mission et collées ici ; la formule de chaque colonne est donnée dans « Comment le calcul est fait ».</t>
        </is>
      </c>
    </row>
    <row r="5" ht="15" customHeight="1">
      <c r="A5" s="25" t="inlineStr">
        <is>
          <t>Comment lire le résultat</t>
        </is>
      </c>
      <c r="B5" s="26" t="inlineStr">
        <is>
          <t>Le poste 998 ne porte pas que le PEP.</t>
        </is>
      </c>
    </row>
    <row r="6" ht="15" customHeight="1">
      <c r="A6" s="25" t="inlineStr">
        <is>
          <t>Valable pour</t>
        </is>
      </c>
      <c r="B6" s="26" t="inlineStr">
        <is>
          <t>2020 à août 2026.</t>
        </is>
      </c>
    </row>
    <row r="7" ht="15" customHeight="1">
      <c r="A7" s="25" t="inlineStr">
        <is>
          <t>Limites</t>
        </is>
      </c>
      <c r="B7" s="26" t="inlineStr">
        <is>
          <t>Références dont le produit n'est pas documenté.</t>
        </is>
      </c>
    </row>
    <row r="8"/>
    <row r="9"/>
    <row r="10" ht="30" customHeight="1">
      <c r="A10" s="8" t="inlineStr">
        <is>
          <t>Produit</t>
        </is>
      </c>
      <c r="B10" s="8" t="inlineStr">
        <is>
          <t>Lignes</t>
        </is>
      </c>
      <c r="C10" s="8" t="inlineStr">
        <is>
          <t>Montant</t>
        </is>
      </c>
      <c r="D10" s="8" t="inlineStr">
        <is>
          <t>Mutualistes</t>
        </is>
      </c>
    </row>
    <row r="11">
      <c r="A11" s="27" t="inlineStr">
        <is>
          <t>PEP</t>
        </is>
      </c>
      <c r="B11" s="29" t="n">
        <v>460252</v>
      </c>
      <c r="C11" s="29" t="n">
        <v>6270087894</v>
      </c>
      <c r="D11" s="29" t="n">
        <v>18495</v>
      </c>
    </row>
    <row r="12">
      <c r="A12" s="27" t="inlineStr">
        <is>
          <t>sans référence</t>
        </is>
      </c>
      <c r="B12" s="31" t="n">
        <v>55703</v>
      </c>
      <c r="C12" s="31" t="n">
        <v>702069750</v>
      </c>
      <c r="D12" s="31" t="n">
        <v>16603</v>
      </c>
    </row>
    <row r="13">
      <c r="A13" s="27" t="inlineStr">
        <is>
          <t>PTI</t>
        </is>
      </c>
      <c r="B13" s="29" t="n">
        <v>1206</v>
      </c>
      <c r="C13" s="29" t="n">
        <v>108489526</v>
      </c>
      <c r="D13" s="29" t="n">
        <v>51</v>
      </c>
    </row>
    <row r="14">
      <c r="A14" s="27" t="inlineStr">
        <is>
          <t>RPEP</t>
        </is>
      </c>
      <c r="B14" s="31" t="n">
        <v>2368</v>
      </c>
      <c r="C14" s="31" t="n">
        <v>30896500</v>
      </c>
      <c r="D14" s="31" t="n">
        <v>2367</v>
      </c>
    </row>
    <row r="15">
      <c r="A15" s="27" t="inlineStr">
        <is>
          <t>EP</t>
        </is>
      </c>
      <c r="B15" s="29" t="n">
        <v>1722</v>
      </c>
      <c r="C15" s="29" t="n">
        <v>30284000</v>
      </c>
      <c r="D15" s="29" t="n">
        <v>1715</v>
      </c>
    </row>
    <row r="16">
      <c r="A16" s="27" t="inlineStr">
        <is>
          <t>TI</t>
        </is>
      </c>
      <c r="B16" s="31" t="n">
        <v>24</v>
      </c>
      <c r="C16" s="31" t="n">
        <v>2246770</v>
      </c>
      <c r="D16" s="31" t="n">
        <v>24</v>
      </c>
    </row>
    <row r="17">
      <c r="A17" s="27" t="inlineStr">
        <is>
          <t>R-PEP</t>
        </is>
      </c>
      <c r="B17" s="29" t="n">
        <v>90</v>
      </c>
      <c r="C17" s="29" t="n">
        <v>1290000</v>
      </c>
      <c r="D17" s="29" t="n">
        <v>88</v>
      </c>
    </row>
    <row r="18">
      <c r="A18" s="27" t="inlineStr">
        <is>
          <t>PTQ</t>
        </is>
      </c>
      <c r="B18" s="31" t="n">
        <v>43</v>
      </c>
      <c r="C18" s="31" t="n">
        <v>1255064</v>
      </c>
      <c r="D18" s="31" t="n">
        <v>3</v>
      </c>
    </row>
    <row r="19">
      <c r="A19" s="27" t="inlineStr">
        <is>
          <t>EFC</t>
        </is>
      </c>
      <c r="B19" s="29" t="n">
        <v>6</v>
      </c>
      <c r="C19" s="29" t="n">
        <v>60000</v>
      </c>
      <c r="D19" s="29" t="n">
        <v>2</v>
      </c>
    </row>
    <row r="20">
      <c r="A20" s="27" t="inlineStr">
        <is>
          <t>CTRL</t>
        </is>
      </c>
      <c r="B20" s="31" t="n">
        <v>1</v>
      </c>
      <c r="C20" s="31" t="n">
        <v>50000</v>
      </c>
      <c r="D20" s="31" t="n">
        <v>1</v>
      </c>
    </row>
    <row r="21">
      <c r="A21" s="27" t="inlineStr">
        <is>
          <t>PTS</t>
        </is>
      </c>
      <c r="B21" s="29" t="n">
        <v>3</v>
      </c>
      <c r="C21" s="29" t="n">
        <v>45000</v>
      </c>
      <c r="D21" s="29" t="n">
        <v>1</v>
      </c>
    </row>
    <row r="22">
      <c r="A22" s="27" t="inlineStr">
        <is>
          <t>TQ</t>
        </is>
      </c>
      <c r="B22" s="31" t="n">
        <v>1</v>
      </c>
      <c r="C22" s="31" t="n">
        <v>41670</v>
      </c>
      <c r="D22" s="31" t="n">
        <v>1</v>
      </c>
    </row>
    <row r="23">
      <c r="A23" s="27" t="inlineStr">
        <is>
          <t>PET</t>
        </is>
      </c>
      <c r="B23" s="29" t="n">
        <v>1</v>
      </c>
      <c r="C23" s="29" t="n">
        <v>14000</v>
      </c>
      <c r="D23" s="29" t="n">
        <v>1</v>
      </c>
    </row>
    <row r="24"/>
    <row r="25">
      <c r="A25"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F25"/>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85" customWidth="1" min="1" max="1"/>
    <col width="10" customWidth="1" min="2" max="2"/>
    <col width="17.95" customWidth="1" min="3" max="3"/>
    <col width="17.95" customWidth="1" min="4" max="4"/>
    <col width="25.1" customWidth="1" min="5" max="5"/>
  </cols>
  <sheetData>
    <row r="1">
      <c r="A1" s="7" t="inlineStr">
        <is>
          <t>Tableau : Encours des prêts du Grenier</t>
        </is>
      </c>
    </row>
    <row r="2" ht="15" customHeight="1">
      <c r="A2" s="25" t="inlineStr">
        <is>
          <t>À quoi sert cet onglet</t>
        </is>
      </c>
      <c r="B2" s="26" t="inlineStr">
        <is>
          <t>Suivre l'encours des prêts du Grenier et le financement apporté par le FPPN.</t>
        </is>
      </c>
    </row>
    <row r="3" ht="25" customHeight="1">
      <c r="A3" s="25" t="inlineStr">
        <is>
          <t>D'où viennent les chiffres</t>
        </is>
      </c>
      <c r="B3" s="26" t="inlineStr">
        <is>
          <t>Exports du logiciel de prêts du Grenier reçus le 15/10/2026 : « BalanceAgeeDetaille … .xls » (encours et retards par prêt) et « production_de_la_periode … .xls » (prêts débloqués). Compte 47111102 des balances.</t>
        </is>
      </c>
    </row>
    <row r="4" ht="37.5" customHeight="1">
      <c r="A4" s="25" t="inlineStr">
        <is>
          <t>Comment le calcul est fait</t>
        </is>
      </c>
      <c r="B4" s="26" t="inlineStr">
        <is>
          <t>Encours = capital restant dû à l'arrêté ; débloqué = montant initial des prêts en cours. Les valeurs sont calculées par les scripts de la mission et collées ici ; la formule de chaque colonne est donnée dans « Comment le calcul est fait ».</t>
        </is>
      </c>
    </row>
    <row r="5" ht="15" customHeight="1">
      <c r="A5" s="25" t="inlineStr">
        <is>
          <t>Comment lire le résultat</t>
        </is>
      </c>
      <c r="B5" s="26" t="inlineStr">
        <is>
          <t>Le financement du FPPN supérieur à l'encours signale de la trésorerie non encore prêtée.</t>
        </is>
      </c>
    </row>
    <row r="6" ht="15" customHeight="1">
      <c r="A6" s="25" t="inlineStr">
        <is>
          <t>Valable pour</t>
        </is>
      </c>
      <c r="B6" s="26" t="inlineStr">
        <is>
          <t>Arrêtés du 31/12/2021 au 30/09/2026.</t>
        </is>
      </c>
    </row>
    <row r="7" ht="15" customHeight="1">
      <c r="A7" s="25" t="inlineStr">
        <is>
          <t>Limites</t>
        </is>
      </c>
      <c r="B7" s="26" t="inlineStr">
        <is>
          <t>Exports non rapprochés des contrats.</t>
        </is>
      </c>
    </row>
    <row r="8"/>
    <row r="9"/>
    <row r="10" ht="30" customHeight="1">
      <c r="A10" s="8" t="inlineStr">
        <is>
          <t>Arrêté</t>
        </is>
      </c>
      <c r="B10" s="8" t="inlineStr">
        <is>
          <t>Prêts</t>
        </is>
      </c>
      <c r="C10" s="8" t="inlineStr">
        <is>
          <t>Encours</t>
        </is>
      </c>
      <c r="D10" s="8" t="inlineStr">
        <is>
          <t>Débloqué</t>
        </is>
      </c>
      <c r="E10" s="8" t="inlineStr">
        <is>
          <t>Financement FPPN 47111102</t>
        </is>
      </c>
    </row>
    <row r="11">
      <c r="A11" s="39" t="n">
        <v>44561</v>
      </c>
      <c r="B11" s="29" t="n">
        <v>17</v>
      </c>
      <c r="C11" s="29" t="n">
        <v>7900000</v>
      </c>
      <c r="D11" s="29" t="n">
        <v>7900000</v>
      </c>
      <c r="E11" s="29" t="n">
        <v>27030000</v>
      </c>
    </row>
    <row r="12">
      <c r="A12" s="39" t="n">
        <v>44926</v>
      </c>
      <c r="B12" s="31" t="n">
        <v>624</v>
      </c>
      <c r="C12" s="31" t="n">
        <v>182555907</v>
      </c>
      <c r="D12" s="31" t="n">
        <v>255085100</v>
      </c>
      <c r="E12" s="31" t="n">
        <v>458483900</v>
      </c>
    </row>
    <row r="13">
      <c r="A13" s="39" t="n">
        <v>45291</v>
      </c>
      <c r="B13" s="29" t="n">
        <v>1252</v>
      </c>
      <c r="C13" s="29" t="n">
        <v>375172174</v>
      </c>
      <c r="D13" s="29" t="n">
        <v>528269195</v>
      </c>
      <c r="E13" s="29" t="n">
        <v>504192100</v>
      </c>
    </row>
    <row r="14">
      <c r="A14" s="39" t="n">
        <v>45657</v>
      </c>
      <c r="B14" s="31" t="n">
        <v>1856</v>
      </c>
      <c r="C14" s="31" t="n">
        <v>566643134</v>
      </c>
      <c r="D14" s="31" t="n">
        <v>886956398</v>
      </c>
      <c r="E14" s="31" t="n">
        <v>650882600</v>
      </c>
    </row>
    <row r="15">
      <c r="A15" s="39" t="n">
        <v>46022</v>
      </c>
      <c r="B15" s="29" t="n">
        <v>2609</v>
      </c>
      <c r="C15" s="29" t="n">
        <v>829623319</v>
      </c>
      <c r="D15" s="29" t="n">
        <v>1232515994</v>
      </c>
      <c r="E15" s="29" t="n">
        <v>817121335</v>
      </c>
    </row>
    <row r="16">
      <c r="A16" s="39" t="n">
        <v>46053</v>
      </c>
      <c r="B16" s="31" t="n">
        <v>2746</v>
      </c>
      <c r="C16" s="31" t="n">
        <v>921828686</v>
      </c>
      <c r="D16" s="31" t="n">
        <v>1292347269</v>
      </c>
      <c r="E16" s="30" t="n"/>
    </row>
    <row r="17">
      <c r="A17" s="39" t="n">
        <v>46112</v>
      </c>
      <c r="B17" s="29" t="n">
        <v>3023</v>
      </c>
      <c r="C17" s="29" t="n">
        <v>914626505</v>
      </c>
      <c r="D17" s="29" t="n">
        <v>1423364300</v>
      </c>
      <c r="E17" s="28" t="n"/>
    </row>
    <row r="18">
      <c r="A18" s="39" t="n">
        <v>46142</v>
      </c>
      <c r="B18" s="31" t="n">
        <v>2733</v>
      </c>
      <c r="C18" s="31" t="n">
        <v>855926713</v>
      </c>
      <c r="D18" s="31" t="n">
        <v>1333870325</v>
      </c>
      <c r="E18" s="30" t="n"/>
    </row>
    <row r="19">
      <c r="A19" s="39" t="n">
        <v>46173</v>
      </c>
      <c r="B19" s="29" t="n">
        <v>2737</v>
      </c>
      <c r="C19" s="29" t="n">
        <v>876963500</v>
      </c>
      <c r="D19" s="29" t="n">
        <v>1348205000</v>
      </c>
      <c r="E19" s="28" t="n"/>
    </row>
    <row r="20">
      <c r="A20" s="39" t="n">
        <v>46203</v>
      </c>
      <c r="B20" s="31" t="n">
        <v>2810</v>
      </c>
      <c r="C20" s="31" t="n">
        <v>902618406</v>
      </c>
      <c r="D20" s="31" t="n">
        <v>1366117950</v>
      </c>
      <c r="E20" s="30" t="n"/>
    </row>
    <row r="21">
      <c r="A21" s="39" t="n">
        <v>46234</v>
      </c>
      <c r="B21" s="29" t="n">
        <v>2957</v>
      </c>
      <c r="C21" s="29" t="n">
        <v>986253136</v>
      </c>
      <c r="D21" s="29" t="n">
        <v>1443432950</v>
      </c>
      <c r="E21" s="28" t="n"/>
    </row>
    <row r="22">
      <c r="A22" s="39" t="n">
        <v>46265</v>
      </c>
      <c r="B22" s="31" t="n">
        <v>2959</v>
      </c>
      <c r="C22" s="31" t="n">
        <v>1044302107</v>
      </c>
      <c r="D22" s="31" t="n">
        <v>1462731375</v>
      </c>
      <c r="E22" s="31" t="n">
        <v>915477260</v>
      </c>
    </row>
    <row r="23">
      <c r="A23" s="39" t="n">
        <v>46295</v>
      </c>
      <c r="B23" s="29" t="n">
        <v>3104</v>
      </c>
      <c r="C23" s="29" t="n">
        <v>1133762619</v>
      </c>
      <c r="D23" s="29" t="n">
        <v>1606681138</v>
      </c>
      <c r="E23" s="28" t="n"/>
    </row>
    <row r="24"/>
    <row r="25">
      <c r="A25" s="14" t="inlineStr">
        <is>
          <t>Source : exports du logiciel de prêts du Grenier du Policier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F1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7.95" customWidth="1" min="3" max="3"/>
    <col width="14.6" customWidth="1" min="4" max="4"/>
  </cols>
  <sheetData>
    <row r="1">
      <c r="A1" s="7" t="inlineStr">
        <is>
          <t>Tableau : Encours du Grenier par tranche de retard</t>
        </is>
      </c>
    </row>
    <row r="2" ht="15" customHeight="1">
      <c r="A2" s="25" t="inlineStr">
        <is>
          <t>À quoi sert cet onglet</t>
        </is>
      </c>
      <c r="B2" s="26" t="inlineStr">
        <is>
          <t>Répartir l'encours du Grenier par tranche de retard de remboursement.</t>
        </is>
      </c>
    </row>
    <row r="3" ht="25" customHeight="1">
      <c r="A3" s="25" t="inlineStr">
        <is>
          <t>D'où viennent les chiffres</t>
        </is>
      </c>
      <c r="B3" s="26" t="inlineStr">
        <is>
          <t>Exports du logiciel de prêts du Grenier reçus le 15/10/2026 : « BalanceAgeeDetaille … .xls » (encours et retards par prêt) et « production_de_la_periode … .xls » (prêts débloqués).</t>
        </is>
      </c>
    </row>
    <row r="4" ht="37.5" customHeight="1">
      <c r="A4" s="25" t="inlineStr">
        <is>
          <t>Comment le calcul est fait</t>
        </is>
      </c>
      <c r="B4" s="26" t="inlineStr">
        <is>
          <t>Chaque prêt est classé selon son nombre de jours de retard ; part = encours de la tranche / encours total. Les valeurs sont calculées par les scripts de la mission et collées ici ; la formule de chaque colonne est donnée dans « Comment le calcul est fait ».</t>
        </is>
      </c>
    </row>
    <row r="5" ht="15" customHeight="1">
      <c r="A5" s="25" t="inlineStr">
        <is>
          <t>Comment lire le résultat</t>
        </is>
      </c>
      <c r="B5" s="26" t="inlineStr">
        <is>
          <t>Plus la tranche est ancienne, plus le risque de perte est élevé.</t>
        </is>
      </c>
    </row>
    <row r="6" ht="15" customHeight="1">
      <c r="A6" s="25" t="inlineStr">
        <is>
          <t>Valable pour</t>
        </is>
      </c>
      <c r="B6" s="26" t="inlineStr">
        <is>
          <t>Dernier arrêté reçu.</t>
        </is>
      </c>
    </row>
    <row r="7" ht="15" customHeight="1">
      <c r="A7" s="25" t="inlineStr">
        <is>
          <t>Limites</t>
        </is>
      </c>
      <c r="B7" s="26" t="inlineStr">
        <is>
          <t>Retard compté sur l'échéance impayée la plus ancienne.</t>
        </is>
      </c>
    </row>
    <row r="8"/>
    <row r="9"/>
    <row r="10" ht="30" customHeight="1">
      <c r="A10" s="8" t="inlineStr">
        <is>
          <t>Tranche</t>
        </is>
      </c>
      <c r="B10" s="8" t="inlineStr">
        <is>
          <t>Prêts</t>
        </is>
      </c>
      <c r="C10" s="8" t="inlineStr">
        <is>
          <t>Encours</t>
        </is>
      </c>
      <c r="D10" s="8" t="inlineStr">
        <is>
          <t>Part encours</t>
        </is>
      </c>
    </row>
    <row r="11">
      <c r="A11" s="27" t="inlineStr">
        <is>
          <t>À jour</t>
        </is>
      </c>
      <c r="B11" s="29" t="n">
        <v>2793</v>
      </c>
      <c r="C11" s="29" t="n">
        <v>1018427306</v>
      </c>
      <c r="D11" s="32" t="n">
        <v>0.9752228777222988</v>
      </c>
    </row>
    <row r="12">
      <c r="A12" s="27" t="inlineStr">
        <is>
          <t>1 à 30 j</t>
        </is>
      </c>
      <c r="B12" s="31" t="n">
        <v>16</v>
      </c>
      <c r="C12" s="31" t="n">
        <v>6712196</v>
      </c>
      <c r="D12" s="33" t="n">
        <v>0.00642744657413585</v>
      </c>
    </row>
    <row r="13">
      <c r="A13" s="27" t="inlineStr">
        <is>
          <t>31 à 90 j</t>
        </is>
      </c>
      <c r="B13" s="29" t="n">
        <v>7</v>
      </c>
      <c r="C13" s="29" t="n">
        <v>1317345</v>
      </c>
      <c r="D13" s="32" t="n">
        <v>0.001261459678353402</v>
      </c>
    </row>
    <row r="14">
      <c r="A14" s="27" t="inlineStr">
        <is>
          <t>91 à 180 j</t>
        </is>
      </c>
      <c r="B14" s="31" t="n">
        <v>17</v>
      </c>
      <c r="C14" s="31" t="n">
        <v>3018448</v>
      </c>
      <c r="D14" s="33" t="n">
        <v>0.002890397309138054</v>
      </c>
    </row>
    <row r="15">
      <c r="A15" s="27" t="inlineStr">
        <is>
          <t>181 à 365 j</t>
        </is>
      </c>
      <c r="B15" s="29" t="n">
        <v>99</v>
      </c>
      <c r="C15" s="29" t="n">
        <v>10088997</v>
      </c>
      <c r="D15" s="32" t="n">
        <v>0.009660994584204167</v>
      </c>
    </row>
    <row r="16">
      <c r="A16" s="27" t="inlineStr">
        <is>
          <t>Plus de 365 j</t>
        </is>
      </c>
      <c r="B16" s="31" t="n">
        <v>27</v>
      </c>
      <c r="C16" s="31" t="n">
        <v>4737815</v>
      </c>
      <c r="D16" s="33" t="n">
        <v>0.004536824131869725</v>
      </c>
    </row>
    <row r="17"/>
    <row r="18">
      <c r="A18" s="14" t="inlineStr">
        <is>
          <t>Source : exports du logiciel de prêts du Grenier du Policier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F25"/>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1.05" customWidth="1" min="2" max="2"/>
    <col width="11.05" customWidth="1" min="3" max="3"/>
  </cols>
  <sheetData>
    <row r="1">
      <c r="A1" s="7" t="inlineStr">
        <is>
          <t>Tableau : Portefeuille en retard du Grenier (plus de 30 et de 90 jours)</t>
        </is>
      </c>
    </row>
    <row r="2" ht="15" customHeight="1">
      <c r="A2" s="25" t="inlineStr">
        <is>
          <t>À quoi sert cet onglet</t>
        </is>
      </c>
      <c r="B2" s="26" t="inlineStr">
        <is>
          <t>Suivre le portefeuille en retard (PAR30, PAR90) dans le temps.</t>
        </is>
      </c>
    </row>
    <row r="3" ht="25" customHeight="1">
      <c r="A3" s="25" t="inlineStr">
        <is>
          <t>D'où viennent les chiffres</t>
        </is>
      </c>
      <c r="B3" s="26" t="inlineStr">
        <is>
          <t>Exports du logiciel de prêts du Grenier reçus le 15/10/2026 : « BalanceAgeeDetaille … .xls » (encours et retards par prêt) et « production_de_la_periode … .xls » (prêts débloqués).</t>
        </is>
      </c>
    </row>
    <row r="4" ht="37.5" customHeight="1">
      <c r="A4" s="25" t="inlineStr">
        <is>
          <t>Comment le calcul est fait</t>
        </is>
      </c>
      <c r="B4" s="26" t="inlineStr">
        <is>
          <t>PAR30 = encours des prêts en retard de plus de 30 jours / encours total ; PAR90 de même à 90 jours. Les valeurs sont calculées par les scripts de la mission et collées ici ; la formule de chaque colonne est donnée dans « Comment le calcul est fait ».</t>
        </is>
      </c>
    </row>
    <row r="5" ht="15" customHeight="1">
      <c r="A5" s="25" t="inlineStr">
        <is>
          <t>Comment lire le résultat</t>
        </is>
      </c>
      <c r="B5" s="26" t="inlineStr">
        <is>
          <t>Un PAR30 sous 5 % est généralement considéré comme sain pour un petit crédit.</t>
        </is>
      </c>
    </row>
    <row r="6" ht="15" customHeight="1">
      <c r="A6" s="25" t="inlineStr">
        <is>
          <t>Valable pour</t>
        </is>
      </c>
      <c r="B6" s="26" t="inlineStr">
        <is>
          <t>Arrêtés du 31/12/2021 au 30/09/2026.</t>
        </is>
      </c>
    </row>
    <row r="7" ht="15" customHeight="1">
      <c r="A7" s="25" t="inlineStr">
        <is>
          <t>Limites</t>
        </is>
      </c>
      <c r="B7" s="26" t="inlineStr">
        <is>
          <t>Seuil de 5 % : référence de la microfinance, non texte du FPPN.</t>
        </is>
      </c>
    </row>
    <row r="8"/>
    <row r="9"/>
    <row r="10" ht="30" customHeight="1">
      <c r="A10" s="8" t="inlineStr">
        <is>
          <t>Arrêté</t>
        </is>
      </c>
      <c r="B10" s="8" t="inlineStr">
        <is>
          <t>PAR30</t>
        </is>
      </c>
      <c r="C10" s="8" t="inlineStr">
        <is>
          <t>PAR90</t>
        </is>
      </c>
    </row>
    <row r="11">
      <c r="A11" s="27" t="inlineStr">
        <is>
          <t>31/12/2021</t>
        </is>
      </c>
      <c r="B11" s="32" t="n">
        <v>0</v>
      </c>
      <c r="C11" s="32" t="n">
        <v>0</v>
      </c>
    </row>
    <row r="12">
      <c r="A12" s="27" t="inlineStr">
        <is>
          <t>31/12/2022</t>
        </is>
      </c>
      <c r="B12" s="33" t="n">
        <v>0.08738661083149722</v>
      </c>
      <c r="C12" s="33" t="n">
        <v>0.08738661083149722</v>
      </c>
    </row>
    <row r="13">
      <c r="A13" s="27" t="inlineStr">
        <is>
          <t>31/12/2023</t>
        </is>
      </c>
      <c r="B13" s="32" t="n">
        <v>0.002385427443774121</v>
      </c>
      <c r="C13" s="32" t="n">
        <v>0.002385427443774121</v>
      </c>
    </row>
    <row r="14">
      <c r="A14" s="27" t="inlineStr">
        <is>
          <t>31/12/2024</t>
        </is>
      </c>
      <c r="B14" s="33" t="n">
        <v>0.01716886593388071</v>
      </c>
      <c r="C14" s="33" t="n">
        <v>0.01315121026420131</v>
      </c>
    </row>
    <row r="15">
      <c r="A15" s="27" t="inlineStr">
        <is>
          <t>31/12/2025</t>
        </is>
      </c>
      <c r="B15" s="32" t="n">
        <v>0.03795162729749645</v>
      </c>
      <c r="C15" s="32" t="n">
        <v>0.008491012533846098</v>
      </c>
    </row>
    <row r="16">
      <c r="A16" s="27" t="inlineStr">
        <is>
          <t>31/01/2026</t>
        </is>
      </c>
      <c r="B16" s="33" t="n">
        <v>0.6196423757201238</v>
      </c>
      <c r="C16" s="33" t="n">
        <v>0.009256401031546983</v>
      </c>
    </row>
    <row r="17">
      <c r="A17" s="27" t="inlineStr">
        <is>
          <t>31/03/2026</t>
        </is>
      </c>
      <c r="B17" s="32" t="n">
        <v>0.3537033950268039</v>
      </c>
      <c r="C17" s="32" t="n">
        <v>0.3523194661847242</v>
      </c>
    </row>
    <row r="18">
      <c r="A18" s="27" t="inlineStr">
        <is>
          <t>30/04/2026</t>
        </is>
      </c>
      <c r="B18" s="33" t="n">
        <v>0.2198639569740827</v>
      </c>
      <c r="C18" s="33" t="n">
        <v>0.2192505166035167</v>
      </c>
    </row>
    <row r="19">
      <c r="A19" s="27" t="inlineStr">
        <is>
          <t>31/05/2026</t>
        </is>
      </c>
      <c r="B19" s="32" t="n">
        <v>0.1399290631822191</v>
      </c>
      <c r="C19" s="32" t="n">
        <v>0.137823531994205</v>
      </c>
    </row>
    <row r="20">
      <c r="A20" s="27" t="inlineStr">
        <is>
          <t>30/06/2026</t>
        </is>
      </c>
      <c r="B20" s="33" t="n">
        <v>0.08519240743247153</v>
      </c>
      <c r="C20" s="33" t="n">
        <v>0.08172855495703242</v>
      </c>
    </row>
    <row r="21">
      <c r="A21" s="27" t="inlineStr">
        <is>
          <t>31/07/2026</t>
        </is>
      </c>
      <c r="B21" s="32" t="n">
        <v>0.03962086159592196</v>
      </c>
      <c r="C21" s="32" t="n">
        <v>0.03790809239059292</v>
      </c>
    </row>
    <row r="22">
      <c r="A22" s="27" t="inlineStr">
        <is>
          <t>31/08/2026</t>
        </is>
      </c>
      <c r="B22" s="33" t="n">
        <v>0.01834967570356535</v>
      </c>
      <c r="C22" s="33" t="n">
        <v>0.01708821602521195</v>
      </c>
    </row>
    <row r="23">
      <c r="A23" s="27" t="inlineStr">
        <is>
          <t>30/09/2026</t>
        </is>
      </c>
      <c r="B23" s="32" t="n">
        <v>0.01727123356498668</v>
      </c>
      <c r="C23" s="32" t="n">
        <v>0.01080051220139937</v>
      </c>
    </row>
    <row r="24"/>
    <row r="25">
      <c r="A25" s="14" t="inlineStr">
        <is>
          <t>Source : exports du logiciel de prêts du Grenier du Policier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I1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5.1" customWidth="1" min="2" max="2"/>
    <col width="17.75" customWidth="1" min="3" max="3"/>
    <col width="21.95" customWidth="1" min="4" max="4"/>
    <col width="16.7" customWidth="1" min="5" max="5"/>
    <col width="16.7" customWidth="1" min="6" max="6"/>
    <col width="15.65" customWidth="1" min="7" max="7"/>
    <col width="17.75" customWidth="1" min="8" max="8"/>
    <col width="24.05" customWidth="1" min="9" max="9"/>
  </cols>
  <sheetData>
    <row r="1">
      <c r="A1" s="7" t="inlineStr">
        <is>
          <t>Tableau : Production du Grenier par type de prêt (FCFA)</t>
        </is>
      </c>
    </row>
    <row r="2" ht="15" customHeight="1">
      <c r="A2" s="25" t="inlineStr">
        <is>
          <t>À quoi sert cet onglet</t>
        </is>
      </c>
      <c r="B2" s="26" t="inlineStr">
        <is>
          <t>Montrer les montants prêtés chaque année par type de crédit.</t>
        </is>
      </c>
    </row>
    <row r="3" ht="25" customHeight="1">
      <c r="A3" s="25" t="inlineStr">
        <is>
          <t>D'où viennent les chiffres</t>
        </is>
      </c>
      <c r="B3" s="26" t="inlineStr">
        <is>
          <t>Exports du logiciel de prêts du Grenier reçus le 15/10/2026 : « BalanceAgeeDetaille … .xls » (encours et retards par prêt) et « production_de_la_periode … .xls » (prêts débloqués).</t>
        </is>
      </c>
    </row>
    <row r="4" ht="25" customHeight="1">
      <c r="A4" s="25" t="inlineStr">
        <is>
          <t>Comment le calcul est fait</t>
        </is>
      </c>
      <c r="B4" s="26" t="inlineStr">
        <is>
          <t>Somme des montants débloqués de l'année par type de crédit. Les valeurs sont calculées par les scripts de la mission et collées ici ; la formule de chaque colonne est donnée dans « Comment le calcul est fait ».</t>
        </is>
      </c>
    </row>
    <row r="5" ht="15" customHeight="1">
      <c r="A5" s="25" t="inlineStr">
        <is>
          <t>Comment lire le résultat</t>
        </is>
      </c>
      <c r="B5" s="26" t="inlineStr">
        <is>
          <t>La hausse de la production augmente l'épargne immobilisée en prêts.</t>
        </is>
      </c>
    </row>
    <row r="6" ht="15" customHeight="1">
      <c r="A6" s="25" t="inlineStr">
        <is>
          <t>Valable pour</t>
        </is>
      </c>
      <c r="B6" s="26" t="inlineStr">
        <is>
          <t>2021 à septembre 2026.</t>
        </is>
      </c>
    </row>
    <row r="7" ht="15" customHeight="1">
      <c r="A7" s="25" t="inlineStr">
        <is>
          <t>Limites</t>
        </is>
      </c>
      <c r="B7" s="26" t="inlineStr">
        <is>
          <t>Aucune.</t>
        </is>
      </c>
    </row>
    <row r="8"/>
    <row r="9"/>
    <row r="10" ht="30" customHeight="1">
      <c r="A10" s="8" t="inlineStr">
        <is>
          <t>Année</t>
        </is>
      </c>
      <c r="B10" s="8" t="inlineStr">
        <is>
          <t>ACTIVITES GENERATRICE DE REVENUS</t>
        </is>
      </c>
      <c r="C10" s="8" t="inlineStr">
        <is>
          <t>CREDIT DE SANTE</t>
        </is>
      </c>
      <c r="D10" s="8" t="inlineStr">
        <is>
          <t>CREDIT GRENIER SHOP</t>
        </is>
      </c>
      <c r="E10" s="8" t="inlineStr">
        <is>
          <t>CREDIT HABITAT</t>
        </is>
      </c>
      <c r="F10" s="8" t="inlineStr">
        <is>
          <t>CREDIT MARIAGE</t>
        </is>
      </c>
      <c r="G10" s="8" t="inlineStr">
        <is>
          <t>CRÉDIT FLASH</t>
        </is>
      </c>
      <c r="H10" s="8" t="inlineStr">
        <is>
          <t>CRÉDIT SCOLAIRE</t>
        </is>
      </c>
      <c r="I10" s="8" t="inlineStr">
        <is>
          <t>EQUIPEMENT DOMESTIQUE</t>
        </is>
      </c>
    </row>
    <row r="11">
      <c r="A11" s="34" t="n">
        <v>2021</v>
      </c>
      <c r="B11" s="29" t="n">
        <v>0</v>
      </c>
      <c r="C11" s="29" t="n">
        <v>500000</v>
      </c>
      <c r="D11" s="29" t="n">
        <v>0</v>
      </c>
      <c r="E11" s="29" t="n">
        <v>0</v>
      </c>
      <c r="F11" s="29" t="n">
        <v>0</v>
      </c>
      <c r="G11" s="29" t="n">
        <v>0</v>
      </c>
      <c r="H11" s="29" t="n">
        <v>3700000</v>
      </c>
      <c r="I11" s="29" t="n">
        <v>3700000</v>
      </c>
    </row>
    <row r="12">
      <c r="A12" s="34" t="n">
        <v>2022</v>
      </c>
      <c r="B12" s="31" t="n">
        <v>42260000</v>
      </c>
      <c r="C12" s="31" t="n">
        <v>20500000</v>
      </c>
      <c r="D12" s="31" t="n">
        <v>0</v>
      </c>
      <c r="E12" s="31" t="n">
        <v>55820000</v>
      </c>
      <c r="F12" s="31" t="n">
        <v>3690000</v>
      </c>
      <c r="G12" s="31" t="n">
        <v>22440100</v>
      </c>
      <c r="H12" s="31" t="n">
        <v>106550000</v>
      </c>
      <c r="I12" s="31" t="n">
        <v>18515000</v>
      </c>
    </row>
    <row r="13">
      <c r="A13" s="34" t="n">
        <v>2023</v>
      </c>
      <c r="B13" s="29" t="n">
        <v>44235000</v>
      </c>
      <c r="C13" s="29" t="n">
        <v>55265000</v>
      </c>
      <c r="D13" s="29" t="n">
        <v>0</v>
      </c>
      <c r="E13" s="29" t="n">
        <v>150605000</v>
      </c>
      <c r="F13" s="29" t="n">
        <v>7825000</v>
      </c>
      <c r="G13" s="29" t="n">
        <v>143012090</v>
      </c>
      <c r="H13" s="29" t="n">
        <v>236870000</v>
      </c>
      <c r="I13" s="29" t="n">
        <v>28080000</v>
      </c>
    </row>
    <row r="14">
      <c r="A14" s="34" t="n">
        <v>2024</v>
      </c>
      <c r="B14" s="31" t="n">
        <v>50835000</v>
      </c>
      <c r="C14" s="31" t="n">
        <v>111885000</v>
      </c>
      <c r="D14" s="31" t="n">
        <v>2217888</v>
      </c>
      <c r="E14" s="31" t="n">
        <v>252625000</v>
      </c>
      <c r="F14" s="31" t="n">
        <v>15480000</v>
      </c>
      <c r="G14" s="31" t="n">
        <v>209941000</v>
      </c>
      <c r="H14" s="31" t="n">
        <v>509425010</v>
      </c>
      <c r="I14" s="31" t="n">
        <v>32665000</v>
      </c>
    </row>
    <row r="15">
      <c r="A15" s="34" t="n">
        <v>2025</v>
      </c>
      <c r="B15" s="29" t="n">
        <v>66625000</v>
      </c>
      <c r="C15" s="29" t="n">
        <v>170425000</v>
      </c>
      <c r="D15" s="29" t="n">
        <v>5009675</v>
      </c>
      <c r="E15" s="29" t="n">
        <v>508842669</v>
      </c>
      <c r="F15" s="29" t="n">
        <v>21750000</v>
      </c>
      <c r="G15" s="29" t="n">
        <v>268242800</v>
      </c>
      <c r="H15" s="29" t="n">
        <v>555305000</v>
      </c>
      <c r="I15" s="29" t="n">
        <v>13200000</v>
      </c>
    </row>
    <row r="16">
      <c r="A16" s="34" t="n">
        <v>2026</v>
      </c>
      <c r="B16" s="31" t="n">
        <v>79280000</v>
      </c>
      <c r="C16" s="31" t="n">
        <v>199205000</v>
      </c>
      <c r="D16" s="31" t="n">
        <v>892175</v>
      </c>
      <c r="E16" s="31" t="n">
        <v>540495000</v>
      </c>
      <c r="F16" s="31" t="n">
        <v>19450000</v>
      </c>
      <c r="G16" s="31" t="n">
        <v>151510000</v>
      </c>
      <c r="H16" s="31" t="n">
        <v>370515000</v>
      </c>
      <c r="I16" s="31" t="n">
        <v>22455000</v>
      </c>
    </row>
    <row r="17"/>
    <row r="18">
      <c r="A18" s="14" t="inlineStr">
        <is>
          <t>Source : exports du logiciel de prêts du Grenier du Policier reçus le 15/10/2026 ; traitements Adenka</t>
        </is>
      </c>
    </row>
  </sheetData>
  <mergeCells count="6">
    <mergeCell ref="B7:I7"/>
    <mergeCell ref="B6:I6"/>
    <mergeCell ref="B2:I2"/>
    <mergeCell ref="B3:I3"/>
    <mergeCell ref="B5:I5"/>
    <mergeCell ref="B4:I4"/>
  </mergeCells>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F2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9.85" customWidth="1" min="2" max="2"/>
    <col width="15.65" customWidth="1" min="3" max="3"/>
    <col width="21.95" customWidth="1" min="4" max="4"/>
    <col width="16.7" customWidth="1" min="5" max="5"/>
  </cols>
  <sheetData>
    <row r="1">
      <c r="A1" s="7" t="inlineStr">
        <is>
          <t>Tableau : Échéances du Grenier et précomptes du poste 9X4</t>
        </is>
      </c>
    </row>
    <row r="2" ht="15" customHeight="1">
      <c r="A2" s="25" t="inlineStr">
        <is>
          <t>À quoi sert cet onglet</t>
        </is>
      </c>
      <c r="B2" s="26" t="inlineStr">
        <is>
          <t>Comparer les échéances dues sur les prêts et les remboursements précomptés (poste 9X4).</t>
        </is>
      </c>
    </row>
    <row r="3" ht="62.5" customHeight="1">
      <c r="A3" s="25" t="inlineStr">
        <is>
          <t>D'où viennent les chiffres</t>
        </is>
      </c>
      <c r="B3" s="26" t="inlineStr">
        <is>
          <t>Exports du logiciel de prêts du Grenier reçus le 15/10/2026 : « BalanceAgeeDetaille … .xls » (encours et retards par prêt) et « production_de_la_periode … .xls » (prêts débloqués). 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Échéances = somme des mensualités des prêts en cours du mois ; précomptes = somme du poste 9X4 du mois. Les valeurs sont calculées par les scripts de la mission et collées ici ; la formule de chaque colonne est donnée dans « Comment le calcul est fait ».</t>
        </is>
      </c>
    </row>
    <row r="5" ht="15" customHeight="1">
      <c r="A5" s="25" t="inlineStr">
        <is>
          <t>Comment lire le résultat</t>
        </is>
      </c>
      <c r="B5" s="26" t="inlineStr">
        <is>
          <t>Des précomptes inférieurs aux échéances signalent des remboursements non prélevés.</t>
        </is>
      </c>
    </row>
    <row r="6" ht="15" customHeight="1">
      <c r="A6" s="25" t="inlineStr">
        <is>
          <t>Valable pour</t>
        </is>
      </c>
      <c r="B6" s="26" t="inlineStr">
        <is>
          <t>Mois de 2026 reçus.</t>
        </is>
      </c>
    </row>
    <row r="7" ht="15" customHeight="1">
      <c r="A7" s="25" t="inlineStr">
        <is>
          <t>Limites</t>
        </is>
      </c>
      <c r="B7" s="26" t="inlineStr">
        <is>
          <t>Remboursements hors précompte non visibles.</t>
        </is>
      </c>
    </row>
    <row r="8"/>
    <row r="9"/>
    <row r="10" ht="30" customHeight="1">
      <c r="A10" s="8" t="inlineStr">
        <is>
          <t>Mois</t>
        </is>
      </c>
      <c r="B10" s="8" t="inlineStr">
        <is>
          <t>Échéances balance</t>
        </is>
      </c>
      <c r="C10" s="8" t="inlineStr">
        <is>
          <t>Précompte 9x4</t>
        </is>
      </c>
      <c r="D10" s="8" t="inlineStr">
        <is>
          <t>Emprunteurs balance</t>
        </is>
      </c>
      <c r="E10" s="8" t="inlineStr">
        <is>
          <t>Précomptes 9x4</t>
        </is>
      </c>
    </row>
    <row r="11">
      <c r="A11" s="27" t="inlineStr">
        <is>
          <t>janv. 26</t>
        </is>
      </c>
      <c r="B11" s="29" t="n">
        <v>167784430</v>
      </c>
      <c r="C11" s="29" t="n">
        <v>142557746</v>
      </c>
      <c r="D11" s="29" t="n">
        <v>2336</v>
      </c>
      <c r="E11" s="29" t="n">
        <v>2000</v>
      </c>
    </row>
    <row r="12">
      <c r="A12" s="27" t="inlineStr">
        <is>
          <t>mars 26</t>
        </is>
      </c>
      <c r="B12" s="31" t="n">
        <v>184076769</v>
      </c>
      <c r="C12" s="31" t="n">
        <v>139420845</v>
      </c>
      <c r="D12" s="31" t="n">
        <v>2535</v>
      </c>
      <c r="E12" s="31" t="n">
        <v>1951</v>
      </c>
    </row>
    <row r="13">
      <c r="A13" s="27" t="inlineStr">
        <is>
          <t>avr. 26</t>
        </is>
      </c>
      <c r="B13" s="29" t="n">
        <v>168474822</v>
      </c>
      <c r="C13" s="29" t="n">
        <v>138410953</v>
      </c>
      <c r="D13" s="29" t="n">
        <v>2291</v>
      </c>
      <c r="E13" s="29" t="n">
        <v>1900</v>
      </c>
    </row>
    <row r="14">
      <c r="A14" s="27" t="inlineStr">
        <is>
          <t>mai 26</t>
        </is>
      </c>
      <c r="B14" s="31" t="n">
        <v>169652320</v>
      </c>
      <c r="C14" s="31" t="n">
        <v>143081813</v>
      </c>
      <c r="D14" s="31" t="n">
        <v>2313</v>
      </c>
      <c r="E14" s="31" t="n">
        <v>1965</v>
      </c>
    </row>
    <row r="15">
      <c r="A15" s="27" t="inlineStr">
        <is>
          <t>juin 26</t>
        </is>
      </c>
      <c r="B15" s="29" t="n">
        <v>172760779</v>
      </c>
      <c r="C15" s="29" t="n">
        <v>147496219</v>
      </c>
      <c r="D15" s="29" t="n">
        <v>2377</v>
      </c>
      <c r="E15" s="29" t="n">
        <v>2061</v>
      </c>
    </row>
    <row r="16">
      <c r="A16" s="27" t="inlineStr">
        <is>
          <t>juil. 26</t>
        </is>
      </c>
      <c r="B16" s="31" t="n">
        <v>182530820</v>
      </c>
      <c r="C16" s="31" t="n">
        <v>150817238</v>
      </c>
      <c r="D16" s="31" t="n">
        <v>2500</v>
      </c>
      <c r="E16" s="31" t="n">
        <v>2115</v>
      </c>
    </row>
    <row r="17">
      <c r="A17" s="27" t="inlineStr">
        <is>
          <t>août 26</t>
        </is>
      </c>
      <c r="B17" s="29" t="n">
        <v>184892374</v>
      </c>
      <c r="C17" s="29" t="n">
        <v>156330374</v>
      </c>
      <c r="D17" s="29" t="n">
        <v>2514</v>
      </c>
      <c r="E17" s="29" t="n">
        <v>2177</v>
      </c>
    </row>
    <row r="18">
      <c r="A18" s="27" t="inlineStr">
        <is>
          <t>sept. 26</t>
        </is>
      </c>
      <c r="B18" s="31" t="n">
        <v>198058299</v>
      </c>
      <c r="C18" s="30" t="n"/>
      <c r="D18" s="31" t="n">
        <v>2637</v>
      </c>
      <c r="E18" s="31" t="n">
        <v>0</v>
      </c>
    </row>
    <row r="19"/>
    <row r="20">
      <c r="A20" s="14" t="inlineStr">
        <is>
          <t>Source : exports du logiciel de prêts du Grenier du Policier reçus le 15/10/2026 ; traitements Adenka ; fichiers de précomptes</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F42"/>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1.45" customWidth="1" min="3" max="3"/>
    <col width="13.35" customWidth="1" min="4" max="4"/>
    <col width="10" customWidth="1" min="5" max="5"/>
    <col width="12.2" customWidth="1" min="6" max="6"/>
  </cols>
  <sheetData>
    <row r="1">
      <c r="A1" s="7" t="inlineStr">
        <is>
          <t>Tableau : Retraités précomptés par la CGRAE, par mois</t>
        </is>
      </c>
    </row>
    <row r="2" ht="15" customHeight="1">
      <c r="A2" s="25" t="inlineStr">
        <is>
          <t>À quoi sert cet onglet</t>
        </is>
      </c>
      <c r="B2" s="26" t="inlineStr">
        <is>
          <t>Compter les retraités précomptés par la CGRAE et leur cotisation moyenne.</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Retraités = matricules différents du mois ; cotisation moyenne = montant / retraités. Les valeurs sont calculées par les scripts de la mission et collées ici ; la formule de chaque colonne est donnée dans « Comment le calcul est fait ».</t>
        </is>
      </c>
    </row>
    <row r="5" ht="15" customHeight="1">
      <c r="A5" s="25" t="inlineStr">
        <is>
          <t>Comment lire le résultat</t>
        </is>
      </c>
      <c r="B5" s="26" t="inlineStr">
        <is>
          <t>La population de retraités cotisants augmente rapidement.</t>
        </is>
      </c>
    </row>
    <row r="6" ht="15" customHeight="1">
      <c r="A6" s="25" t="inlineStr">
        <is>
          <t>Valable pour</t>
        </is>
      </c>
      <c r="B6" s="26" t="inlineStr">
        <is>
          <t>Février 2024 à août 2026.</t>
        </is>
      </c>
    </row>
    <row r="7" ht="15" customHeight="1">
      <c r="A7" s="25" t="inlineStr">
        <is>
          <t>Limites</t>
        </is>
      </c>
      <c r="B7" s="26" t="inlineStr">
        <is>
          <t>Retraités sans quotité cessible non précomptés.</t>
        </is>
      </c>
    </row>
    <row r="8"/>
    <row r="9"/>
    <row r="10" ht="30" customHeight="1">
      <c r="A10" s="8" t="inlineStr">
        <is>
          <t>Année</t>
        </is>
      </c>
      <c r="B10" s="8" t="inlineStr">
        <is>
          <t>Mois</t>
        </is>
      </c>
      <c r="C10" s="8" t="inlineStr">
        <is>
          <t>Retraités</t>
        </is>
      </c>
      <c r="D10" s="8" t="inlineStr">
        <is>
          <t>Montant</t>
        </is>
      </c>
      <c r="E10" s="8" t="inlineStr">
        <is>
          <t>Moyen</t>
        </is>
      </c>
      <c r="F10" s="8" t="inlineStr">
        <is>
          <t>Libelle</t>
        </is>
      </c>
    </row>
    <row r="11">
      <c r="A11" s="34" t="n">
        <v>2024</v>
      </c>
      <c r="B11" s="35" t="n">
        <v>2</v>
      </c>
      <c r="C11" s="29" t="n">
        <v>16</v>
      </c>
      <c r="D11" s="29" t="n">
        <v>202655</v>
      </c>
      <c r="E11" s="29" t="n">
        <v>12665.9375</v>
      </c>
      <c r="F11" s="28" t="inlineStr">
        <is>
          <t>févr. 24</t>
        </is>
      </c>
    </row>
    <row r="12">
      <c r="A12" s="34" t="n">
        <v>2024</v>
      </c>
      <c r="B12" s="36" t="n">
        <v>3</v>
      </c>
      <c r="C12" s="31" t="n">
        <v>84</v>
      </c>
      <c r="D12" s="31" t="n">
        <v>973058</v>
      </c>
      <c r="E12" s="31" t="n">
        <v>11584.02380952381</v>
      </c>
      <c r="F12" s="30" t="inlineStr">
        <is>
          <t>mars 24</t>
        </is>
      </c>
    </row>
    <row r="13">
      <c r="A13" s="34" t="n">
        <v>2024</v>
      </c>
      <c r="B13" s="35" t="n">
        <v>4</v>
      </c>
      <c r="C13" s="29" t="n">
        <v>105</v>
      </c>
      <c r="D13" s="29" t="n">
        <v>1225639</v>
      </c>
      <c r="E13" s="29" t="n">
        <v>11672.75238095238</v>
      </c>
      <c r="F13" s="28" t="inlineStr">
        <is>
          <t>avr. 24</t>
        </is>
      </c>
    </row>
    <row r="14">
      <c r="A14" s="34" t="n">
        <v>2024</v>
      </c>
      <c r="B14" s="36" t="n">
        <v>5</v>
      </c>
      <c r="C14" s="31" t="n">
        <v>134</v>
      </c>
      <c r="D14" s="31" t="n">
        <v>1530085</v>
      </c>
      <c r="E14" s="31" t="n">
        <v>11418.5447761194</v>
      </c>
      <c r="F14" s="30" t="inlineStr">
        <is>
          <t>mai 24</t>
        </is>
      </c>
    </row>
    <row r="15">
      <c r="A15" s="34" t="n">
        <v>2024</v>
      </c>
      <c r="B15" s="35" t="n">
        <v>7</v>
      </c>
      <c r="C15" s="29" t="n">
        <v>176</v>
      </c>
      <c r="D15" s="29" t="n">
        <v>2097392</v>
      </c>
      <c r="E15" s="29" t="n">
        <v>11917</v>
      </c>
      <c r="F15" s="28" t="inlineStr">
        <is>
          <t>juil. 24</t>
        </is>
      </c>
    </row>
    <row r="16">
      <c r="A16" s="34" t="n">
        <v>2024</v>
      </c>
      <c r="B16" s="36" t="n">
        <v>8</v>
      </c>
      <c r="C16" s="31" t="n">
        <v>196</v>
      </c>
      <c r="D16" s="31" t="n">
        <v>2328547</v>
      </c>
      <c r="E16" s="31" t="n">
        <v>11880.34183673469</v>
      </c>
      <c r="F16" s="30" t="inlineStr">
        <is>
          <t>août 24</t>
        </is>
      </c>
    </row>
    <row r="17">
      <c r="A17" s="34" t="n">
        <v>2024</v>
      </c>
      <c r="B17" s="35" t="n">
        <v>9</v>
      </c>
      <c r="C17" s="29" t="n">
        <v>237</v>
      </c>
      <c r="D17" s="29" t="n">
        <v>2778100</v>
      </c>
      <c r="E17" s="29" t="n">
        <v>11721.94092827004</v>
      </c>
      <c r="F17" s="28" t="inlineStr">
        <is>
          <t>sept. 24</t>
        </is>
      </c>
    </row>
    <row r="18">
      <c r="A18" s="34" t="n">
        <v>2024</v>
      </c>
      <c r="B18" s="36" t="n">
        <v>10</v>
      </c>
      <c r="C18" s="31" t="n">
        <v>255</v>
      </c>
      <c r="D18" s="31" t="n">
        <v>3019776</v>
      </c>
      <c r="E18" s="31" t="n">
        <v>11842.25882352941</v>
      </c>
      <c r="F18" s="30" t="inlineStr">
        <is>
          <t>oct. 24</t>
        </is>
      </c>
    </row>
    <row r="19">
      <c r="A19" s="34" t="n">
        <v>2024</v>
      </c>
      <c r="B19" s="35" t="n">
        <v>11</v>
      </c>
      <c r="C19" s="29" t="n">
        <v>280</v>
      </c>
      <c r="D19" s="29" t="n">
        <v>3347635</v>
      </c>
      <c r="E19" s="29" t="n">
        <v>11955.83928571429</v>
      </c>
      <c r="F19" s="28" t="inlineStr">
        <is>
          <t>nov. 24</t>
        </is>
      </c>
    </row>
    <row r="20">
      <c r="A20" s="34" t="n">
        <v>2024</v>
      </c>
      <c r="B20" s="36" t="n">
        <v>12</v>
      </c>
      <c r="C20" s="31" t="n">
        <v>291</v>
      </c>
      <c r="D20" s="31" t="n">
        <v>3477487</v>
      </c>
      <c r="E20" s="31" t="n">
        <v>11950.12714776632</v>
      </c>
      <c r="F20" s="30" t="inlineStr">
        <is>
          <t>déc. 24</t>
        </is>
      </c>
    </row>
    <row r="21">
      <c r="A21" s="34" t="n">
        <v>2025</v>
      </c>
      <c r="B21" s="35" t="n">
        <v>1</v>
      </c>
      <c r="C21" s="29" t="n">
        <v>306</v>
      </c>
      <c r="D21" s="29" t="n">
        <v>3640015</v>
      </c>
      <c r="E21" s="29" t="n">
        <v>11895.47385620915</v>
      </c>
      <c r="F21" s="28" t="inlineStr">
        <is>
          <t>janv. 25</t>
        </is>
      </c>
    </row>
    <row r="22">
      <c r="A22" s="34" t="n">
        <v>2025</v>
      </c>
      <c r="B22" s="36" t="n">
        <v>2</v>
      </c>
      <c r="C22" s="31" t="n">
        <v>314</v>
      </c>
      <c r="D22" s="31" t="n">
        <v>3705595</v>
      </c>
      <c r="E22" s="31" t="n">
        <v>11801.25796178344</v>
      </c>
      <c r="F22" s="30" t="inlineStr">
        <is>
          <t>févr. 25</t>
        </is>
      </c>
    </row>
    <row r="23">
      <c r="A23" s="34" t="n">
        <v>2025</v>
      </c>
      <c r="B23" s="35" t="n">
        <v>3</v>
      </c>
      <c r="C23" s="29" t="n">
        <v>322</v>
      </c>
      <c r="D23" s="29" t="n">
        <v>3945438</v>
      </c>
      <c r="E23" s="29" t="n">
        <v>12252.91304347826</v>
      </c>
      <c r="F23" s="28" t="inlineStr">
        <is>
          <t>mars 25</t>
        </is>
      </c>
    </row>
    <row r="24">
      <c r="A24" s="34" t="n">
        <v>2025</v>
      </c>
      <c r="B24" s="36" t="n">
        <v>4</v>
      </c>
      <c r="C24" s="31" t="n">
        <v>336</v>
      </c>
      <c r="D24" s="31" t="n">
        <v>4100298</v>
      </c>
      <c r="E24" s="31" t="n">
        <v>12203.26785714286</v>
      </c>
      <c r="F24" s="30" t="inlineStr">
        <is>
          <t>avr. 25</t>
        </is>
      </c>
    </row>
    <row r="25">
      <c r="A25" s="34" t="n">
        <v>2025</v>
      </c>
      <c r="B25" s="35" t="n">
        <v>5</v>
      </c>
      <c r="C25" s="29" t="n">
        <v>358</v>
      </c>
      <c r="D25" s="29" t="n">
        <v>4388319</v>
      </c>
      <c r="E25" s="29" t="n">
        <v>12257.87430167598</v>
      </c>
      <c r="F25" s="28" t="inlineStr">
        <is>
          <t>mai 25</t>
        </is>
      </c>
    </row>
    <row r="26">
      <c r="A26" s="34" t="n">
        <v>2025</v>
      </c>
      <c r="B26" s="36" t="n">
        <v>6</v>
      </c>
      <c r="C26" s="31" t="n">
        <v>368</v>
      </c>
      <c r="D26" s="31" t="n">
        <v>4547518</v>
      </c>
      <c r="E26" s="31" t="n">
        <v>12357.38586956522</v>
      </c>
      <c r="F26" s="30" t="inlineStr">
        <is>
          <t>juin 25</t>
        </is>
      </c>
    </row>
    <row r="27">
      <c r="A27" s="34" t="n">
        <v>2025</v>
      </c>
      <c r="B27" s="35" t="n">
        <v>7</v>
      </c>
      <c r="C27" s="29" t="n">
        <v>386</v>
      </c>
      <c r="D27" s="29" t="n">
        <v>4646872</v>
      </c>
      <c r="E27" s="29" t="n">
        <v>12038.52849740933</v>
      </c>
      <c r="F27" s="28" t="inlineStr">
        <is>
          <t>juil. 25</t>
        </is>
      </c>
    </row>
    <row r="28">
      <c r="A28" s="34" t="n">
        <v>2025</v>
      </c>
      <c r="B28" s="36" t="n">
        <v>8</v>
      </c>
      <c r="C28" s="31" t="n">
        <v>409</v>
      </c>
      <c r="D28" s="31" t="n">
        <v>4951746</v>
      </c>
      <c r="E28" s="31" t="n">
        <v>12106.95843520782</v>
      </c>
      <c r="F28" s="30" t="inlineStr">
        <is>
          <t>août 25</t>
        </is>
      </c>
    </row>
    <row r="29">
      <c r="A29" s="34" t="n">
        <v>2025</v>
      </c>
      <c r="B29" s="35" t="n">
        <v>9</v>
      </c>
      <c r="C29" s="29" t="n">
        <v>468</v>
      </c>
      <c r="D29" s="29" t="n">
        <v>5714322</v>
      </c>
      <c r="E29" s="29" t="n">
        <v>12210.08974358974</v>
      </c>
      <c r="F29" s="28" t="inlineStr">
        <is>
          <t>sept. 25</t>
        </is>
      </c>
    </row>
    <row r="30">
      <c r="A30" s="34" t="n">
        <v>2025</v>
      </c>
      <c r="B30" s="36" t="n">
        <v>10</v>
      </c>
      <c r="C30" s="31" t="n">
        <v>495</v>
      </c>
      <c r="D30" s="31" t="n">
        <v>6007335</v>
      </c>
      <c r="E30" s="31" t="n">
        <v>12136.0303030303</v>
      </c>
      <c r="F30" s="30" t="inlineStr">
        <is>
          <t>oct. 25</t>
        </is>
      </c>
    </row>
    <row r="31">
      <c r="A31" s="34" t="n">
        <v>2025</v>
      </c>
      <c r="B31" s="35" t="n">
        <v>11</v>
      </c>
      <c r="C31" s="29" t="n">
        <v>506</v>
      </c>
      <c r="D31" s="29" t="n">
        <v>6010492</v>
      </c>
      <c r="E31" s="29" t="n">
        <v>11878.44268774704</v>
      </c>
      <c r="F31" s="28" t="inlineStr">
        <is>
          <t>nov. 25</t>
        </is>
      </c>
    </row>
    <row r="32">
      <c r="A32" s="34" t="n">
        <v>2025</v>
      </c>
      <c r="B32" s="36" t="n">
        <v>12</v>
      </c>
      <c r="C32" s="31" t="n">
        <v>532</v>
      </c>
      <c r="D32" s="31" t="n">
        <v>6289780</v>
      </c>
      <c r="E32" s="31" t="n">
        <v>11822.8947368421</v>
      </c>
      <c r="F32" s="30" t="inlineStr">
        <is>
          <t>déc. 25</t>
        </is>
      </c>
    </row>
    <row r="33">
      <c r="A33" s="34" t="n">
        <v>2026</v>
      </c>
      <c r="B33" s="35" t="n">
        <v>1</v>
      </c>
      <c r="C33" s="29" t="n">
        <v>592</v>
      </c>
      <c r="D33" s="29" t="n">
        <v>6949591</v>
      </c>
      <c r="E33" s="29" t="n">
        <v>11739.17398648649</v>
      </c>
      <c r="F33" s="28" t="inlineStr">
        <is>
          <t>janv. 26</t>
        </is>
      </c>
    </row>
    <row r="34">
      <c r="A34" s="34" t="n">
        <v>2026</v>
      </c>
      <c r="B34" s="36" t="n">
        <v>2</v>
      </c>
      <c r="C34" s="31" t="n">
        <v>587</v>
      </c>
      <c r="D34" s="31" t="n">
        <v>6904766</v>
      </c>
      <c r="E34" s="31" t="n">
        <v>11762.80408858603</v>
      </c>
      <c r="F34" s="30" t="inlineStr">
        <is>
          <t>févr. 26</t>
        </is>
      </c>
    </row>
    <row r="35">
      <c r="A35" s="34" t="n">
        <v>2026</v>
      </c>
      <c r="B35" s="35" t="n">
        <v>3</v>
      </c>
      <c r="C35" s="29" t="n">
        <v>584</v>
      </c>
      <c r="D35" s="29" t="n">
        <v>6862774</v>
      </c>
      <c r="E35" s="29" t="n">
        <v>11751.32534246575</v>
      </c>
      <c r="F35" s="28" t="inlineStr">
        <is>
          <t>mars 26</t>
        </is>
      </c>
    </row>
    <row r="36">
      <c r="A36" s="34" t="n">
        <v>2026</v>
      </c>
      <c r="B36" s="36" t="n">
        <v>4</v>
      </c>
      <c r="C36" s="31" t="n">
        <v>580</v>
      </c>
      <c r="D36" s="31" t="n">
        <v>6822690</v>
      </c>
      <c r="E36" s="31" t="n">
        <v>11763.25862068966</v>
      </c>
      <c r="F36" s="30" t="inlineStr">
        <is>
          <t>avr. 26</t>
        </is>
      </c>
    </row>
    <row r="37">
      <c r="A37" s="34" t="n">
        <v>2026</v>
      </c>
      <c r="B37" s="35" t="n">
        <v>5</v>
      </c>
      <c r="C37" s="29" t="n">
        <v>584</v>
      </c>
      <c r="D37" s="29" t="n">
        <v>6940839</v>
      </c>
      <c r="E37" s="29" t="n">
        <v>11884.99828767123</v>
      </c>
      <c r="F37" s="28" t="inlineStr">
        <is>
          <t>mai 26</t>
        </is>
      </c>
    </row>
    <row r="38">
      <c r="A38" s="34" t="n">
        <v>2026</v>
      </c>
      <c r="B38" s="36" t="n">
        <v>6</v>
      </c>
      <c r="C38" s="31" t="n">
        <v>591</v>
      </c>
      <c r="D38" s="31" t="n">
        <v>7040129</v>
      </c>
      <c r="E38" s="31" t="n">
        <v>11912.23181049069</v>
      </c>
      <c r="F38" s="30" t="inlineStr">
        <is>
          <t>juin 26</t>
        </is>
      </c>
    </row>
    <row r="39">
      <c r="A39" s="34" t="n">
        <v>2026</v>
      </c>
      <c r="B39" s="35" t="n">
        <v>7</v>
      </c>
      <c r="C39" s="29" t="n">
        <v>600</v>
      </c>
      <c r="D39" s="29" t="n">
        <v>7117178</v>
      </c>
      <c r="E39" s="29" t="n">
        <v>11861.96333333333</v>
      </c>
      <c r="F39" s="28" t="inlineStr">
        <is>
          <t>juil. 26</t>
        </is>
      </c>
    </row>
    <row r="40">
      <c r="A40" s="34" t="n">
        <v>2026</v>
      </c>
      <c r="B40" s="36" t="n">
        <v>8</v>
      </c>
      <c r="C40" s="31" t="n">
        <v>610</v>
      </c>
      <c r="D40" s="31" t="n">
        <v>7292072</v>
      </c>
      <c r="E40" s="31" t="n">
        <v>11954.21639344262</v>
      </c>
      <c r="F40" s="30" t="inlineStr">
        <is>
          <t>août 26</t>
        </is>
      </c>
    </row>
    <row r="41"/>
    <row r="42">
      <c r="A42"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F1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1.45" customWidth="1" min="3" max="3"/>
    <col width="13.35" customWidth="1" min="4" max="4"/>
    <col width="10" customWidth="1" min="5" max="5"/>
  </cols>
  <sheetData>
    <row r="1">
      <c r="A1" s="7" t="inlineStr">
        <is>
          <t>Tableau : Produits annexes : flotte automobile et MEDOC</t>
        </is>
      </c>
    </row>
    <row r="2" ht="15" customHeight="1">
      <c r="A2" s="25" t="inlineStr">
        <is>
          <t>À quoi sert cet onglet</t>
        </is>
      </c>
      <c r="B2" s="26" t="inlineStr">
        <is>
          <t>Mesurer les produits annexes précomptés : flotte automobile (GNA, 9W3) et MEDOC (8Z7).</t>
        </is>
      </c>
    </row>
    <row r="3" ht="37.5" customHeight="1">
      <c r="A3" s="25" t="inlineStr">
        <is>
          <t>D'où viennent les chiffres</t>
        </is>
      </c>
      <c r="B3" s="26" t="inlineStr">
        <is>
          <t>Fichiers de précomptes reçus le 15/10/2026 : dossiers « FPPN-SOLDE » (postes 936 maladie, 8Z6 décès, 998 PEP, 870 EFC, 9X4 Grenier, 8Z7 MEDOC), « FPPN-CGRAE » (retraités) et « FPPN-GNA » (poste 9W3) ; liste complète dans l'annexe « Fichiers sources » du rapport.</t>
        </is>
      </c>
    </row>
    <row r="4" ht="25" customHeight="1">
      <c r="A4" s="25" t="inlineStr">
        <is>
          <t>Comment le calcul est fait</t>
        </is>
      </c>
      <c r="B4" s="26" t="inlineStr">
        <is>
          <t>Adhérents et montants par poste et par année. Les valeurs sont calculées par les scripts de la mission et collées ici ; la formule de chaque colonne est donnée dans « Comment le calcul est fait ».</t>
        </is>
      </c>
    </row>
    <row r="5" ht="15" customHeight="1">
      <c r="A5" s="25" t="inlineStr">
        <is>
          <t>Comment lire le résultat</t>
        </is>
      </c>
      <c r="B5" s="26" t="inlineStr">
        <is>
          <t>Ces produits ne sont pas des garanties du FPPN au sens des statuts.</t>
        </is>
      </c>
    </row>
    <row r="6" ht="15" customHeight="1">
      <c r="A6" s="25" t="inlineStr">
        <is>
          <t>Valable pour</t>
        </is>
      </c>
      <c r="B6" s="26" t="inlineStr">
        <is>
          <t>Mois reçus de 2023 à 2026.</t>
        </is>
      </c>
    </row>
    <row r="7" ht="15" customHeight="1">
      <c r="A7" s="25" t="inlineStr">
        <is>
          <t>Limites</t>
        </is>
      </c>
      <c r="B7" s="26" t="inlineStr">
        <is>
          <t>Conventions non toutes reçues.</t>
        </is>
      </c>
    </row>
    <row r="8"/>
    <row r="9"/>
    <row r="10" ht="30" customHeight="1">
      <c r="A10" s="8" t="inlineStr">
        <is>
          <t>Poste</t>
        </is>
      </c>
      <c r="B10" s="8" t="inlineStr">
        <is>
          <t>Année</t>
        </is>
      </c>
      <c r="C10" s="8" t="inlineStr">
        <is>
          <t>Adherents</t>
        </is>
      </c>
      <c r="D10" s="8" t="inlineStr">
        <is>
          <t>Montant</t>
        </is>
      </c>
      <c r="E10" s="8" t="inlineStr">
        <is>
          <t>Mois</t>
        </is>
      </c>
    </row>
    <row r="11">
      <c r="A11" s="27" t="inlineStr">
        <is>
          <t>8Z7</t>
        </is>
      </c>
      <c r="B11" s="35" t="n">
        <v>2025</v>
      </c>
      <c r="C11" s="29" t="n">
        <v>118</v>
      </c>
      <c r="D11" s="29" t="n">
        <v>590000</v>
      </c>
      <c r="E11" s="35" t="n">
        <v>1</v>
      </c>
    </row>
    <row r="12">
      <c r="A12" s="27" t="inlineStr">
        <is>
          <t>8Z7</t>
        </is>
      </c>
      <c r="B12" s="36" t="n">
        <v>2026</v>
      </c>
      <c r="C12" s="31" t="n">
        <v>140</v>
      </c>
      <c r="D12" s="31" t="n">
        <v>3355000</v>
      </c>
      <c r="E12" s="36" t="n">
        <v>5</v>
      </c>
    </row>
    <row r="13">
      <c r="A13" s="27" t="inlineStr">
        <is>
          <t>9W3</t>
        </is>
      </c>
      <c r="B13" s="35" t="n">
        <v>2023</v>
      </c>
      <c r="C13" s="29" t="n">
        <v>77</v>
      </c>
      <c r="D13" s="29" t="n">
        <v>5312364</v>
      </c>
      <c r="E13" s="35" t="n">
        <v>9</v>
      </c>
    </row>
    <row r="14">
      <c r="A14" s="27" t="inlineStr">
        <is>
          <t>9W3</t>
        </is>
      </c>
      <c r="B14" s="36" t="n">
        <v>2024</v>
      </c>
      <c r="C14" s="31" t="n">
        <v>108</v>
      </c>
      <c r="D14" s="31" t="n">
        <v>7913002</v>
      </c>
      <c r="E14" s="36" t="n">
        <v>12</v>
      </c>
    </row>
    <row r="15">
      <c r="A15" s="27" t="inlineStr">
        <is>
          <t>9W3</t>
        </is>
      </c>
      <c r="B15" s="35" t="n">
        <v>2025</v>
      </c>
      <c r="C15" s="29" t="n">
        <v>75</v>
      </c>
      <c r="D15" s="29" t="n">
        <v>4089888</v>
      </c>
      <c r="E15" s="35" t="n">
        <v>9</v>
      </c>
    </row>
    <row r="16">
      <c r="A16" s="27" t="inlineStr">
        <is>
          <t>9W3</t>
        </is>
      </c>
      <c r="B16" s="36" t="n">
        <v>2026</v>
      </c>
      <c r="C16" s="31" t="n">
        <v>108</v>
      </c>
      <c r="D16" s="31" t="n">
        <v>4168443</v>
      </c>
      <c r="E16" s="36" t="n">
        <v>7</v>
      </c>
    </row>
    <row r="17"/>
    <row r="18">
      <c r="A18" s="14" t="inlineStr">
        <is>
          <t>Source : fichiers de précomptes de la Solde, de la CGRAE et du FPPN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F17"/>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1.95" customWidth="1" min="2" max="2"/>
    <col width="19.85" customWidth="1" min="3" max="3"/>
    <col width="11.45" customWidth="1" min="4" max="4"/>
  </cols>
  <sheetData>
    <row r="1">
      <c r="A1" s="7" t="inlineStr">
        <is>
          <t>Tableau : Rendement apparent des placements</t>
        </is>
      </c>
    </row>
    <row r="2" ht="15" customHeight="1">
      <c r="A2" s="25" t="inlineStr">
        <is>
          <t>À quoi sert cet onglet</t>
        </is>
      </c>
      <c r="B2" s="26" t="inlineStr">
        <is>
          <t>Calculer le rendement apparent des placements financiers.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Rendement = produits financiers (classe 77) / placements moyens (moyenne des soldes de début et de fin des comptes 52 et 53). Les valeurs sont calculées par les scripts de la mission et collées ici ; la formule de chaque colonne est donnée dans « Comment le calcul est fait ».</t>
        </is>
      </c>
    </row>
    <row r="5" ht="15" customHeight="1">
      <c r="A5" s="25" t="inlineStr">
        <is>
          <t>Comment lire le résultat</t>
        </is>
      </c>
      <c r="B5" s="26" t="inlineStr">
        <is>
          <t>Un rendement de 6 % veut dire 6 FCFA de produit pour 100 FCFA placés.</t>
        </is>
      </c>
    </row>
    <row r="6" ht="15" customHeight="1">
      <c r="A6" s="25" t="inlineStr">
        <is>
          <t>Valable pour</t>
        </is>
      </c>
      <c r="B6" s="26" t="inlineStr">
        <is>
          <t>2021 à 2025.</t>
        </is>
      </c>
    </row>
    <row r="7" ht="15" customHeight="1">
      <c r="A7" s="25" t="inlineStr">
        <is>
          <t>Limites</t>
        </is>
      </c>
      <c r="B7" s="26" t="inlineStr">
        <is>
          <t>Rendement irrégulier : intérêts d'un DAT comptabilisés à son échéance.</t>
        </is>
      </c>
    </row>
    <row r="8"/>
    <row r="9"/>
    <row r="10" ht="30" customHeight="1">
      <c r="A10" s="8" t="inlineStr">
        <is>
          <t>Exercice</t>
        </is>
      </c>
      <c r="B10" s="8" t="inlineStr">
        <is>
          <t>Produits financiers</t>
        </is>
      </c>
      <c r="C10" s="8" t="inlineStr">
        <is>
          <t>Placements moyens</t>
        </is>
      </c>
      <c r="D10" s="8" t="inlineStr">
        <is>
          <t>Rendement</t>
        </is>
      </c>
    </row>
    <row r="11">
      <c r="A11" s="34" t="n">
        <v>2021</v>
      </c>
      <c r="B11" s="29" t="n">
        <v>32409354</v>
      </c>
      <c r="C11" s="29" t="n">
        <v>522890227</v>
      </c>
      <c r="D11" s="32" t="n">
        <v>0.06198118137710001</v>
      </c>
    </row>
    <row r="12">
      <c r="A12" s="34" t="n">
        <v>2022</v>
      </c>
      <c r="B12" s="31" t="n">
        <v>7258416</v>
      </c>
      <c r="C12" s="31" t="n">
        <v>557294491</v>
      </c>
      <c r="D12" s="33" t="n">
        <v>0.01302438139479114</v>
      </c>
    </row>
    <row r="13">
      <c r="A13" s="34" t="n">
        <v>2023</v>
      </c>
      <c r="B13" s="29" t="n">
        <v>7124778</v>
      </c>
      <c r="C13" s="29" t="n">
        <v>558286988</v>
      </c>
      <c r="D13" s="32" t="n">
        <v>0.01276185573574572</v>
      </c>
    </row>
    <row r="14">
      <c r="A14" s="34" t="n">
        <v>2024</v>
      </c>
      <c r="B14" s="31" t="n">
        <v>9176280</v>
      </c>
      <c r="C14" s="31" t="n">
        <v>530052730.5</v>
      </c>
      <c r="D14" s="33" t="n">
        <v>0.01731201345070705</v>
      </c>
    </row>
    <row r="15">
      <c r="A15" s="34" t="n">
        <v>2025</v>
      </c>
      <c r="B15" s="29" t="n">
        <v>117912488</v>
      </c>
      <c r="C15" s="29" t="n">
        <v>515290922</v>
      </c>
      <c r="D15" s="32" t="n">
        <v>0.228827023659462</v>
      </c>
    </row>
    <row r="16"/>
    <row r="17">
      <c r="A17" s="14" t="inlineStr">
        <is>
          <t>Source : balances des comptes du FPPN (Sage 100), 2020 au 31/08/2026 (2026 provisoire)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1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4.05" customWidth="1" min="2" max="2"/>
    <col width="25.1" customWidth="1" min="3" max="3"/>
    <col width="25.1" customWidth="1" min="4" max="4"/>
    <col width="25.1" customWidth="1" min="5" max="5"/>
    <col width="13.55" customWidth="1" min="6" max="6"/>
    <col width="12.2" customWidth="1" min="7" max="7"/>
  </cols>
  <sheetData>
    <row r="1">
      <c r="A1" s="7" t="inlineStr">
        <is>
          <t>Tableau : Cotisations et prestations en valeur réelle (base 2020)</t>
        </is>
      </c>
    </row>
    <row r="2" ht="15" customHeight="1">
      <c r="A2" s="25" t="inlineStr">
        <is>
          <t>À quoi sert cet onglet</t>
        </is>
      </c>
      <c r="B2" s="26" t="inlineStr">
        <is>
          <t>Exprimer cotisations et prestations en francs constants de 2020, pour enlever l'effet de la hausse des prix.</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Banque mondiale, indicateur FP.CPI.TOTL.ZG (Côte d'Ivoire).</t>
        </is>
      </c>
    </row>
    <row r="4" ht="37.5" customHeight="1">
      <c r="A4" s="25" t="inlineStr">
        <is>
          <t>Comment le calcul est fait</t>
        </is>
      </c>
      <c r="B4" s="26" t="inlineStr">
        <is>
          <t>Indice des prix 2020 = 100, puis indice de l'année = indice précédent × (1 + inflation). Valeur réelle = valeur nominale × 100 / indice. Les valeurs sont calculées par les scripts de la mission et collées ici ; la formule de chaque colonne est donnée dans « Comment le calcul est fait ».</t>
        </is>
      </c>
    </row>
    <row r="5" ht="15" customHeight="1">
      <c r="A5" s="25" t="inlineStr">
        <is>
          <t>Comment lire le résultat</t>
        </is>
      </c>
      <c r="B5" s="26" t="inlineStr">
        <is>
          <t>Une hausse réelle est une hausse plus rapide que celle des prix.</t>
        </is>
      </c>
    </row>
    <row r="6" ht="15" customHeight="1">
      <c r="A6" s="25" t="inlineStr">
        <is>
          <t>Valable pour</t>
        </is>
      </c>
      <c r="B6" s="26" t="inlineStr">
        <is>
          <t>2020 à 2025.</t>
        </is>
      </c>
    </row>
    <row r="7" ht="15" customHeight="1">
      <c r="A7" s="25" t="inlineStr">
        <is>
          <t>Limites</t>
        </is>
      </c>
      <c r="B7" s="26" t="inlineStr">
        <is>
          <t>Inflation générale, pas spécifique à la santé (voir l'onglet 13g).</t>
        </is>
      </c>
    </row>
    <row r="8"/>
    <row r="9"/>
    <row r="10" ht="30" customHeight="1">
      <c r="A10" s="8" t="inlineStr">
        <is>
          <t>Exercice</t>
        </is>
      </c>
      <c r="B10" s="8" t="inlineStr">
        <is>
          <t>Cotisations nominales</t>
        </is>
      </c>
      <c r="C10" s="8" t="inlineStr">
        <is>
          <t>Cotisations réelles 2020</t>
        </is>
      </c>
      <c r="D10" s="8" t="inlineStr">
        <is>
          <t>Prestations maladie nominales</t>
        </is>
      </c>
      <c r="E10" s="8" t="inlineStr">
        <is>
          <t>Prestations maladie réelles 2020</t>
        </is>
      </c>
      <c r="F10" s="8" t="inlineStr">
        <is>
          <t>Indice prix</t>
        </is>
      </c>
      <c r="G10" s="8" t="inlineStr">
        <is>
          <t>Inflation</t>
        </is>
      </c>
    </row>
    <row r="11">
      <c r="A11" s="34" t="n">
        <v>2020</v>
      </c>
      <c r="B11" s="29" t="n">
        <v>2344618501</v>
      </c>
      <c r="C11" s="29" t="n">
        <v>2344618501</v>
      </c>
      <c r="D11" s="29" t="n">
        <v>205812056</v>
      </c>
      <c r="E11" s="29" t="n">
        <v>205812056</v>
      </c>
      <c r="F11" s="37" t="n">
        <v>100</v>
      </c>
      <c r="G11" s="32" t="n">
        <v>2.41252617189052</v>
      </c>
    </row>
    <row r="12">
      <c r="A12" s="34" t="n">
        <v>2021</v>
      </c>
      <c r="B12" s="31" t="n">
        <v>2416457818</v>
      </c>
      <c r="C12" s="31" t="n">
        <v>2319965876.6228</v>
      </c>
      <c r="D12" s="31" t="n">
        <v>101453171</v>
      </c>
      <c r="E12" s="31" t="n">
        <v>97402029.13617666</v>
      </c>
      <c r="F12" s="38" t="n">
        <v>104.159196579118</v>
      </c>
      <c r="G12" s="33" t="n">
        <v>4.15919657911797</v>
      </c>
    </row>
    <row r="13">
      <c r="A13" s="34" t="n">
        <v>2022</v>
      </c>
      <c r="B13" s="29" t="n">
        <v>2544462904</v>
      </c>
      <c r="C13" s="29" t="n">
        <v>2321370009.770752</v>
      </c>
      <c r="D13" s="29" t="n">
        <v>115237773</v>
      </c>
      <c r="E13" s="29" t="n">
        <v>105133979.2827924</v>
      </c>
      <c r="F13" s="37" t="n">
        <v>109.610397881003</v>
      </c>
      <c r="G13" s="32" t="n">
        <v>5.23352856100842</v>
      </c>
    </row>
    <row r="14">
      <c r="A14" s="34" t="n">
        <v>2023</v>
      </c>
      <c r="B14" s="31" t="n">
        <v>2765491965</v>
      </c>
      <c r="C14" s="31" t="n">
        <v>2417386641.154605</v>
      </c>
      <c r="D14" s="31" t="n">
        <v>521004362</v>
      </c>
      <c r="E14" s="31" t="n">
        <v>455423122.0418961</v>
      </c>
      <c r="F14" s="38" t="n">
        <v>114.4000681529013</v>
      </c>
      <c r="G14" s="33" t="n">
        <v>4.36972254867474</v>
      </c>
    </row>
    <row r="15">
      <c r="A15" s="34" t="n">
        <v>2024</v>
      </c>
      <c r="B15" s="29" t="n">
        <v>3137867249</v>
      </c>
      <c r="C15" s="29" t="n">
        <v>2651401892.682087</v>
      </c>
      <c r="D15" s="29" t="n">
        <v>1060419627</v>
      </c>
      <c r="E15" s="29" t="n">
        <v>896022165.0425316</v>
      </c>
      <c r="F15" s="37" t="n">
        <v>118.3474771463566</v>
      </c>
      <c r="G15" s="32" t="n">
        <v>3.45053028131018</v>
      </c>
    </row>
    <row r="16">
      <c r="A16" s="34" t="n">
        <v>2025</v>
      </c>
      <c r="B16" s="31" t="n">
        <v>3417551722</v>
      </c>
      <c r="C16" s="31" t="n">
        <v>2884120452.874516</v>
      </c>
      <c r="D16" s="31" t="n">
        <v>1771635361</v>
      </c>
      <c r="E16" s="31" t="n">
        <v>1495108251.560158</v>
      </c>
      <c r="F16" s="38" t="n">
        <v>118.4954573791753</v>
      </c>
      <c r="G16" s="33" t="n">
        <v>0.125038772593103</v>
      </c>
    </row>
    <row r="17"/>
    <row r="18">
      <c r="A18" s="14" t="inlineStr">
        <is>
          <t>Source : Banque mondiale, FP.CPI.TOTL.ZG ; balances des comptes du FPPN (Sage 100), 2020 au 31/08/2026 (2026 provisoire) ; traitements Adenka</t>
        </is>
      </c>
    </row>
  </sheetData>
  <mergeCells count="6">
    <mergeCell ref="B3:G3"/>
    <mergeCell ref="B2:G2"/>
    <mergeCell ref="B5:G5"/>
    <mergeCell ref="B4:G4"/>
    <mergeCell ref="B7:G7"/>
    <mergeCell ref="B6:G6"/>
  </mergeCells>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H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37.5" customWidth="1" min="1" max="1"/>
    <col width="14.5" customWidth="1" min="2" max="2"/>
    <col width="14.5" customWidth="1" min="3" max="3"/>
    <col width="19.1" customWidth="1" min="4" max="4"/>
    <col width="19.1" customWidth="1" min="5" max="5"/>
    <col width="10" customWidth="1" min="6" max="6"/>
    <col width="12.2" customWidth="1" min="7" max="7"/>
    <col width="16.7" customWidth="1" min="8" max="8"/>
  </cols>
  <sheetData>
    <row r="1">
      <c r="A1" s="7" t="inlineStr">
        <is>
          <t>Tableau : Taux de croissance annuel moyen des principaux indicateurs</t>
        </is>
      </c>
    </row>
    <row r="2" ht="15" customHeight="1">
      <c r="A2" s="25" t="inlineStr">
        <is>
          <t>À quoi sert cet onglet</t>
        </is>
      </c>
      <c r="B2" s="26" t="inlineStr">
        <is>
          <t>Calculer le taux de croissance annuel moyen (TCAM) des principaux indicateurs.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TCAM = (valeur de fin / valeur de début) puissance (1 / nombre d'années) - 1. Multiplicateur = valeur de fin / valeur de début. Les valeurs sont calculées par les scripts de la mission et collées ici ; la formule de chaque colonne est donnée dans « Comment le calcul est fait ».</t>
        </is>
      </c>
    </row>
    <row r="5" ht="15" customHeight="1">
      <c r="A5" s="25" t="inlineStr">
        <is>
          <t>Comment lire le résultat</t>
        </is>
      </c>
      <c r="B5" s="26" t="inlineStr">
        <is>
          <t>Un TCAM de 8 % sur cinq ans veut dire que la valeur est multipliée par 1,47.</t>
        </is>
      </c>
    </row>
    <row r="6" ht="15" customHeight="1">
      <c r="A6" s="25" t="inlineStr">
        <is>
          <t>Valable pour</t>
        </is>
      </c>
      <c r="B6" s="26" t="inlineStr">
        <is>
          <t>Périodes indiquées ligne par ligne.</t>
        </is>
      </c>
    </row>
    <row r="7" ht="15" customHeight="1">
      <c r="A7" s="25" t="inlineStr">
        <is>
          <t>Limites</t>
        </is>
      </c>
      <c r="B7" s="26" t="inlineStr">
        <is>
          <t>Le TCAM ne dit rien des variations entre les deux années.</t>
        </is>
      </c>
    </row>
    <row r="8"/>
    <row r="9"/>
    <row r="10" ht="30" customHeight="1">
      <c r="A10" s="8" t="inlineStr">
        <is>
          <t>Indicateur</t>
        </is>
      </c>
      <c r="B10" s="8" t="inlineStr">
        <is>
          <t>Debut</t>
        </is>
      </c>
      <c r="C10" s="8" t="inlineStr">
        <is>
          <t>Fin</t>
        </is>
      </c>
      <c r="D10" s="8" t="inlineStr">
        <is>
          <t>V0</t>
        </is>
      </c>
      <c r="E10" s="8" t="inlineStr">
        <is>
          <t>V1</t>
        </is>
      </c>
      <c r="F10" s="8" t="inlineStr">
        <is>
          <t>Annees</t>
        </is>
      </c>
      <c r="G10" s="8" t="inlineStr">
        <is>
          <t>TCAM</t>
        </is>
      </c>
      <c r="H10" s="8" t="inlineStr">
        <is>
          <t>Multiplicateur</t>
        </is>
      </c>
    </row>
    <row r="11">
      <c r="A11" s="27" t="inlineStr">
        <is>
          <t>Cotisations maladie et décès</t>
        </is>
      </c>
      <c r="B11" s="28" t="inlineStr">
        <is>
          <t>2020</t>
        </is>
      </c>
      <c r="C11" s="28" t="inlineStr">
        <is>
          <t>2025</t>
        </is>
      </c>
      <c r="D11" s="29" t="n">
        <v>2344618501</v>
      </c>
      <c r="E11" s="29" t="n">
        <v>3417551722</v>
      </c>
      <c r="F11" s="35" t="n">
        <v>5</v>
      </c>
      <c r="G11" s="32" t="n">
        <v>0.07827263026914344</v>
      </c>
      <c r="H11" s="37" t="n">
        <v>1.457615266851466</v>
      </c>
    </row>
    <row r="12">
      <c r="A12" s="27" t="inlineStr">
        <is>
          <t>Prestations maladie</t>
        </is>
      </c>
      <c r="B12" s="30" t="inlineStr">
        <is>
          <t>2021</t>
        </is>
      </c>
      <c r="C12" s="30" t="inlineStr">
        <is>
          <t>2025</t>
        </is>
      </c>
      <c r="D12" s="31" t="n">
        <v>101453171</v>
      </c>
      <c r="E12" s="31" t="n">
        <v>1771635361</v>
      </c>
      <c r="F12" s="36" t="n">
        <v>4</v>
      </c>
      <c r="G12" s="33" t="n">
        <v>1.044217861051508</v>
      </c>
      <c r="H12" s="38" t="n">
        <v>17.46259228309384</v>
      </c>
    </row>
    <row r="13">
      <c r="A13" s="27" t="inlineStr">
        <is>
          <t>Épargne PEP et EFC (passif)</t>
        </is>
      </c>
      <c r="B13" s="28" t="inlineStr">
        <is>
          <t>2020</t>
        </is>
      </c>
      <c r="C13" s="28" t="inlineStr">
        <is>
          <t>2025</t>
        </is>
      </c>
      <c r="D13" s="29" t="n">
        <v>10828205640</v>
      </c>
      <c r="E13" s="29" t="n">
        <v>13814066964</v>
      </c>
      <c r="F13" s="35" t="n">
        <v>5</v>
      </c>
      <c r="G13" s="32" t="n">
        <v>0.04991227286349864</v>
      </c>
      <c r="H13" s="37" t="n">
        <v>1.275748487170401</v>
      </c>
    </row>
    <row r="14">
      <c r="A14" s="27" t="inlineStr">
        <is>
          <t>Encours des prêts du Grenier</t>
        </is>
      </c>
      <c r="B14" s="30" t="inlineStr">
        <is>
          <t>31/12/2022</t>
        </is>
      </c>
      <c r="C14" s="30" t="inlineStr">
        <is>
          <t>31/12/2025</t>
        </is>
      </c>
      <c r="D14" s="31" t="n">
        <v>182555907</v>
      </c>
      <c r="E14" s="31" t="n">
        <v>829623319</v>
      </c>
      <c r="F14" s="36" t="n">
        <v>3</v>
      </c>
      <c r="G14" s="33" t="n">
        <v>0.6563865177006094</v>
      </c>
      <c r="H14" s="38" t="n">
        <v>4.544489042471795</v>
      </c>
    </row>
    <row r="15">
      <c r="A15" s="27" t="inlineStr">
        <is>
          <t>Production de prêts du Grenier</t>
        </is>
      </c>
      <c r="B15" s="28" t="inlineStr">
        <is>
          <t>2022</t>
        </is>
      </c>
      <c r="C15" s="28" t="inlineStr">
        <is>
          <t>2025</t>
        </is>
      </c>
      <c r="D15" s="29" t="n">
        <v>269775100</v>
      </c>
      <c r="E15" s="29" t="n">
        <v>1609400144</v>
      </c>
      <c r="F15" s="35" t="n">
        <v>3</v>
      </c>
      <c r="G15" s="32" t="n">
        <v>0.8136524123608553</v>
      </c>
      <c r="H15" s="37" t="n">
        <v>5.96571048995997</v>
      </c>
    </row>
    <row r="16">
      <c r="A16" s="27" t="inlineStr">
        <is>
          <t>Cotisants actifs (maladie 936)</t>
        </is>
      </c>
      <c r="B16" s="30" t="inlineStr">
        <is>
          <t>janv. 2024</t>
        </is>
      </c>
      <c r="C16" s="30" t="inlineStr">
        <is>
          <t>août 2026</t>
        </is>
      </c>
      <c r="D16" s="31" t="n">
        <v>23119</v>
      </c>
      <c r="E16" s="31" t="n">
        <v>31198</v>
      </c>
      <c r="F16" s="36" t="n">
        <v>2.583333333333333</v>
      </c>
      <c r="G16" s="33" t="n">
        <v>0.1230100146917217</v>
      </c>
      <c r="H16" s="38" t="n">
        <v>1.349452831004801</v>
      </c>
    </row>
    <row r="17">
      <c r="A17" s="27" t="inlineStr">
        <is>
          <t>Investissements au CMP</t>
        </is>
      </c>
      <c r="B17" s="28" t="inlineStr">
        <is>
          <t>2020</t>
        </is>
      </c>
      <c r="C17" s="28" t="inlineStr">
        <is>
          <t>2025</t>
        </is>
      </c>
      <c r="D17" s="29" t="n">
        <v>2984680712</v>
      </c>
      <c r="E17" s="29" t="n">
        <v>6002976947</v>
      </c>
      <c r="F17" s="35" t="n">
        <v>5</v>
      </c>
      <c r="G17" s="32" t="n">
        <v>0.1499891935400137</v>
      </c>
      <c r="H17" s="37" t="n">
        <v>2.011262686445772</v>
      </c>
    </row>
    <row r="18"/>
    <row r="19">
      <c r="A19" s="14" t="inlineStr">
        <is>
          <t>Source : balances des comptes du FPPN (Sage 100), 2020 au 31/08/2026 (2026 provisoire) ; traitements Adenka</t>
        </is>
      </c>
    </row>
  </sheetData>
  <mergeCells count="6">
    <mergeCell ref="B4:H4"/>
    <mergeCell ref="B6:H6"/>
    <mergeCell ref="B2:H2"/>
    <mergeCell ref="B7:H7"/>
    <mergeCell ref="B3:H3"/>
    <mergeCell ref="B5:H5"/>
  </mergeCells>
  <pageMargins left="0.75" right="0.75" top="1" bottom="1"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J17"/>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3.35" customWidth="1" min="3" max="3"/>
    <col width="13.35" customWidth="1" min="4" max="4"/>
    <col width="13.35" customWidth="1" min="5" max="5"/>
    <col width="10.4" customWidth="1" min="6" max="6"/>
    <col width="10" customWidth="1" min="7" max="7"/>
    <col width="21.95" customWidth="1" min="8" max="8"/>
    <col width="21.95" customWidth="1" min="9" max="9"/>
    <col width="23" customWidth="1" min="10" max="10"/>
  </cols>
  <sheetData>
    <row r="1">
      <c r="A1" s="7" t="inlineStr">
        <is>
          <t>Tableau : Tendances statistiques (régressions linéaires)</t>
        </is>
      </c>
    </row>
    <row r="2" ht="15" customHeight="1">
      <c r="A2" s="25" t="inlineStr">
        <is>
          <t>À quoi sert cet onglet</t>
        </is>
      </c>
      <c r="B2" s="26" t="inlineStr">
        <is>
          <t>Mesurer la tendance des séries par une droite de régression et son intervalle de confiance.</t>
        </is>
      </c>
    </row>
    <row r="3" ht="75"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Fichiers de précomptes reçus le 15/10/2026 : dossiers « FPPN-SOLDE » (postes 936 maladie, 8Z6 décès, 998 PEP, 870 EFC, 9X4 Grenier, 8Z7 MEDOC), « FPPN-CGRAE » (retraités) et « FPPN-GNA » (poste 9W3) ; liste complète dans l'annexe « Fichiers sources » du rapport.</t>
        </is>
      </c>
    </row>
    <row r="4" ht="37.5" customHeight="1">
      <c r="A4" s="25" t="inlineStr">
        <is>
          <t>Comment le calcul est fait</t>
        </is>
      </c>
      <c r="B4" s="26" t="inlineStr">
        <is>
          <t>Pente de la droite des moindres carrés ; IC95 = intervalle qui contient la vraie pente avec 95 % de confiance ; R² = part de la variation expliquée par la tendance. Les valeurs sont calculées par les scripts de la mission et collées ici ; la formule de chaque colonne est donnée dans « Comment le calcul est fait ».</t>
        </is>
      </c>
    </row>
    <row r="5" ht="15" customHeight="1">
      <c r="A5" s="25" t="inlineStr">
        <is>
          <t>Comment lire le résultat</t>
        </is>
      </c>
      <c r="B5" s="26" t="inlineStr">
        <is>
          <t>Une p-valeur faible (moins de 5 %) signifie que la tendance n'est pas due au hasard.</t>
        </is>
      </c>
    </row>
    <row r="6" ht="15" customHeight="1">
      <c r="A6" s="25" t="inlineStr">
        <is>
          <t>Valable pour</t>
        </is>
      </c>
      <c r="B6" s="26" t="inlineStr">
        <is>
          <t>Points de chaque série.</t>
        </is>
      </c>
    </row>
    <row r="7" ht="15" customHeight="1">
      <c r="A7" s="25" t="inlineStr">
        <is>
          <t>Limites</t>
        </is>
      </c>
      <c r="B7" s="26" t="inlineStr">
        <is>
          <t>Peu de points annuels : intervalles larges.</t>
        </is>
      </c>
    </row>
    <row r="8"/>
    <row r="9"/>
    <row r="10" ht="30" customHeight="1">
      <c r="A10" s="8" t="inlineStr">
        <is>
          <t>Serie</t>
        </is>
      </c>
      <c r="B10" s="8" t="inlineStr">
        <is>
          <t>N</t>
        </is>
      </c>
      <c r="C10" s="8" t="inlineStr">
        <is>
          <t>Pente</t>
        </is>
      </c>
      <c r="D10" s="8" t="inlineStr">
        <is>
          <t>IC95 bas</t>
        </is>
      </c>
      <c r="E10" s="8" t="inlineStr">
        <is>
          <t>IC95 haut</t>
        </is>
      </c>
      <c r="F10" s="8" t="inlineStr">
        <is>
          <t>P valeur</t>
        </is>
      </c>
      <c r="G10" s="8" t="inlineStr">
        <is>
          <t>R²</t>
        </is>
      </c>
      <c r="H10" s="8" t="inlineStr">
        <is>
          <t>Croissance annuelle</t>
        </is>
      </c>
      <c r="I10" s="8" t="inlineStr">
        <is>
          <t>Croissance IC95 bas</t>
        </is>
      </c>
      <c r="J10" s="8" t="inlineStr">
        <is>
          <t>Croissance IC95 haut</t>
        </is>
      </c>
    </row>
    <row r="11">
      <c r="A11" s="27" t="inlineStr">
        <is>
          <t>Cotisants actifs 936, par mois (janv. 2024 à août 2026)</t>
        </is>
      </c>
      <c r="B11" s="29" t="n">
        <v>31</v>
      </c>
      <c r="C11" s="29" t="n">
        <v>296.2791348903719</v>
      </c>
      <c r="D11" s="29" t="n">
        <v>241.3117306383238</v>
      </c>
      <c r="E11" s="29" t="n">
        <v>351.24653914242</v>
      </c>
      <c r="F11" s="37" t="n">
        <v>6.910498515600687e-12</v>
      </c>
      <c r="G11" s="37" t="n">
        <v>0.8073446284030448</v>
      </c>
      <c r="H11" s="28" t="n"/>
      <c r="I11" s="28" t="n"/>
      <c r="J11" s="28" t="n"/>
    </row>
    <row r="12">
      <c r="A12" s="27" t="inlineStr">
        <is>
          <t>Ratio S/C maladie, par an (2020 à 2025), en points de %</t>
        </is>
      </c>
      <c r="B12" s="31" t="n">
        <v>6</v>
      </c>
      <c r="C12" s="31" t="n">
        <v>12.90872668796409</v>
      </c>
      <c r="D12" s="31" t="n">
        <v>3.851087041685972</v>
      </c>
      <c r="E12" s="31" t="n">
        <v>21.96636633424221</v>
      </c>
      <c r="F12" s="38" t="n">
        <v>0.01672070281078751</v>
      </c>
      <c r="G12" s="38" t="n">
        <v>0.796512524609496</v>
      </c>
      <c r="H12" s="30" t="n"/>
      <c r="I12" s="30" t="n"/>
      <c r="J12" s="30" t="n"/>
    </row>
    <row r="13">
      <c r="A13" s="27" t="inlineStr">
        <is>
          <t>Logarithme des prestations maladie (2021 à 2025)</t>
        </is>
      </c>
      <c r="B13" s="29" t="n">
        <v>5</v>
      </c>
      <c r="C13" s="29" t="n">
        <v>0.7939544416578282</v>
      </c>
      <c r="D13" s="29" t="n">
        <v>0.44546945040861</v>
      </c>
      <c r="E13" s="29" t="n">
        <v>1.142439432907047</v>
      </c>
      <c r="F13" s="37" t="n">
        <v>0.005412334458726056</v>
      </c>
      <c r="G13" s="37" t="n">
        <v>0.9460148831915748</v>
      </c>
      <c r="H13" s="32" t="n">
        <v>1.212126879529744</v>
      </c>
      <c r="I13" s="32" t="n">
        <v>0.5612229405729341</v>
      </c>
      <c r="J13" s="32" t="n">
        <v>2.134405217836598</v>
      </c>
    </row>
    <row r="14">
      <c r="A14" s="27" t="inlineStr">
        <is>
          <t>Précomptes Grenier 9X4 retour, par mois (2023 à 2026), en FCFA</t>
        </is>
      </c>
      <c r="B14" s="31" t="n">
        <v>43</v>
      </c>
      <c r="C14" s="31" t="n">
        <v>3097549.204166748</v>
      </c>
      <c r="D14" s="31" t="n">
        <v>2920616.076050946</v>
      </c>
      <c r="E14" s="31" t="n">
        <v>3274482.332282549</v>
      </c>
      <c r="F14" s="38" t="n">
        <v>2.440011249706331e-32</v>
      </c>
      <c r="G14" s="38" t="n">
        <v>0.9682426246678589</v>
      </c>
      <c r="H14" s="30" t="n"/>
      <c r="I14" s="30" t="n"/>
      <c r="J14" s="30" t="n"/>
    </row>
    <row r="15">
      <c r="A15" s="27" t="inlineStr">
        <is>
          <t>Versements PEP 998, par mois (2020 à 2026), en FCFA</t>
        </is>
      </c>
      <c r="B15" s="29" t="n">
        <v>80</v>
      </c>
      <c r="C15" s="29" t="n">
        <v>2657441.071917486</v>
      </c>
      <c r="D15" s="29" t="n">
        <v>2456984.513232627</v>
      </c>
      <c r="E15" s="29" t="n">
        <v>2857897.630602346</v>
      </c>
      <c r="F15" s="37" t="n">
        <v>1.2455014552717e-40</v>
      </c>
      <c r="G15" s="37" t="n">
        <v>0.8992985027338263</v>
      </c>
      <c r="H15" s="28" t="n"/>
      <c r="I15" s="28" t="n"/>
      <c r="J15" s="28" t="n"/>
    </row>
    <row r="16"/>
    <row r="17">
      <c r="A17" s="14" t="inlineStr">
        <is>
          <t>Source : balances des comptes du FPPN (Sage 100), 2020 au 31/08/2026 (2026 provisoire) ; traitements Adenka</t>
        </is>
      </c>
    </row>
  </sheetData>
  <mergeCells count="6">
    <mergeCell ref="B7:J7"/>
    <mergeCell ref="B3:J3"/>
    <mergeCell ref="B5:J5"/>
    <mergeCell ref="B4:J4"/>
    <mergeCell ref="B6:J6"/>
    <mergeCell ref="B2:J2"/>
  </mergeCells>
  <pageMargins left="0.75" right="0.75" top="1" bottom="1"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F16"/>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17.95" customWidth="1" min="3" max="3"/>
    <col width="19.85" customWidth="1" min="4" max="4"/>
    <col width="21.95" customWidth="1" min="5" max="5"/>
    <col width="19.1" customWidth="1" min="6" max="6"/>
  </cols>
  <sheetData>
    <row r="1">
      <c r="A1" s="7" t="inlineStr">
        <is>
          <t>Tableau : Sensibilité de la trésorerie à des retraits d'épargne</t>
        </is>
      </c>
    </row>
    <row r="2" ht="15" customHeight="1">
      <c r="A2" s="25" t="inlineStr">
        <is>
          <t>À quoi sert cet onglet</t>
        </is>
      </c>
      <c r="B2" s="26" t="inlineStr">
        <is>
          <t>Tester ce qu'il se passerait si une part de l'épargne était retirée d'un coup.</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Besoin = épargne × taux de retrait ; écart = actifs (réservés ou trésorerie totale) - besoin. Les valeurs sont calculées par les scripts de la mission et collées ici ; la formule de chaque colonne est donnée dans « Comment le calcul est fait ».</t>
        </is>
      </c>
    </row>
    <row r="5" ht="15" customHeight="1">
      <c r="A5" s="25" t="inlineStr">
        <is>
          <t>Comment lire le résultat</t>
        </is>
      </c>
      <c r="B5" s="26" t="inlineStr">
        <is>
          <t>Un écart négatif est l'argent qui manquerait.</t>
        </is>
      </c>
    </row>
    <row r="6" ht="15" customHeight="1">
      <c r="A6" s="25" t="inlineStr">
        <is>
          <t>Valable pour</t>
        </is>
      </c>
      <c r="B6" s="26" t="inlineStr">
        <is>
          <t>Bilan au 31/08/2026.</t>
        </is>
      </c>
    </row>
    <row r="7" ht="15" customHeight="1">
      <c r="A7" s="25" t="inlineStr">
        <is>
          <t>Limites</t>
        </is>
      </c>
      <c r="B7" s="26" t="inlineStr">
        <is>
          <t>Taux de retrait hypothétiques (les taux observés sont dans l'onglet 24a).</t>
        </is>
      </c>
    </row>
    <row r="8"/>
    <row r="9"/>
    <row r="10" ht="30" customHeight="1">
      <c r="A10" s="8" t="inlineStr">
        <is>
          <t>Taux retrait</t>
        </is>
      </c>
      <c r="B10" s="8" t="inlineStr">
        <is>
          <t>Besoin</t>
        </is>
      </c>
      <c r="C10" s="8" t="inlineStr">
        <is>
          <t>Actifs dédiés</t>
        </is>
      </c>
      <c r="D10" s="8" t="inlineStr">
        <is>
          <t>Trésorerie totale</t>
        </is>
      </c>
      <c r="E10" s="8" t="inlineStr">
        <is>
          <t>Écart actifs dédiés</t>
        </is>
      </c>
      <c r="F10" s="8" t="inlineStr">
        <is>
          <t>Écart trésorerie</t>
        </is>
      </c>
    </row>
    <row r="11">
      <c r="A11" s="40" t="n">
        <v>0.05</v>
      </c>
      <c r="B11" s="29" t="n">
        <v>787175819.5500001</v>
      </c>
      <c r="C11" s="29" t="n">
        <v>2562885661</v>
      </c>
      <c r="D11" s="29" t="n">
        <v>3359100618</v>
      </c>
      <c r="E11" s="29" t="n">
        <v>1775709841.45</v>
      </c>
      <c r="F11" s="29" t="n">
        <v>2571924798.45</v>
      </c>
    </row>
    <row r="12">
      <c r="A12" s="40" t="n">
        <v>0.1</v>
      </c>
      <c r="B12" s="31" t="n">
        <v>1574351639.1</v>
      </c>
      <c r="C12" s="31" t="n">
        <v>2562885661</v>
      </c>
      <c r="D12" s="31" t="n">
        <v>3359100618</v>
      </c>
      <c r="E12" s="31" t="n">
        <v>988534021.8999999</v>
      </c>
      <c r="F12" s="31" t="n">
        <v>1784748978.9</v>
      </c>
    </row>
    <row r="13">
      <c r="A13" s="40" t="n">
        <v>0.2</v>
      </c>
      <c r="B13" s="29" t="n">
        <v>3148703278.2</v>
      </c>
      <c r="C13" s="29" t="n">
        <v>2562885661</v>
      </c>
      <c r="D13" s="29" t="n">
        <v>3359100618</v>
      </c>
      <c r="E13" s="29" t="n">
        <v>-585817617.2000003</v>
      </c>
      <c r="F13" s="29" t="n">
        <v>210397339.7999997</v>
      </c>
    </row>
    <row r="14">
      <c r="A14" s="40" t="n">
        <v>0.3</v>
      </c>
      <c r="B14" s="31" t="n">
        <v>4723054917.3</v>
      </c>
      <c r="C14" s="31" t="n">
        <v>2562885661</v>
      </c>
      <c r="D14" s="31" t="n">
        <v>3359100618</v>
      </c>
      <c r="E14" s="31" t="n">
        <v>-2160169256.3</v>
      </c>
      <c r="F14" s="31" t="n">
        <v>-1363954299.3</v>
      </c>
    </row>
    <row r="15"/>
    <row r="16">
      <c r="A16" s="14" t="inlineStr">
        <is>
          <t>Source : balances des comptes du FPPN (Sage 100), 2020 au 31/08/2026 (2026 provisoire)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F15"/>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6.7" customWidth="1" min="2" max="2"/>
    <col width="15.65" customWidth="1" min="3" max="3"/>
  </cols>
  <sheetData>
    <row r="1">
      <c r="A1" s="7" t="inlineStr">
        <is>
          <t>Tableau : Sensibilité aux pertes sur les prêts du Grenier</t>
        </is>
      </c>
    </row>
    <row r="2" ht="15" customHeight="1">
      <c r="A2" s="25" t="inlineStr">
        <is>
          <t>À quoi sert cet onglet</t>
        </is>
      </c>
      <c r="B2" s="26" t="inlineStr">
        <is>
          <t>Tester le montant à provisionner selon un taux de perte sur les prêts en retard.</t>
        </is>
      </c>
    </row>
    <row r="3" ht="25" customHeight="1">
      <c r="A3" s="25" t="inlineStr">
        <is>
          <t>D'où viennent les chiffres</t>
        </is>
      </c>
      <c r="B3" s="26" t="inlineStr">
        <is>
          <t>Exports du logiciel de prêts du Grenier reçus le 15/10/2026 : « BalanceAgeeDetaille … .xls » (encours et retards par prêt) et « production_de_la_periode … .xls » (prêts débloqués).</t>
        </is>
      </c>
    </row>
    <row r="4" ht="37.5" customHeight="1">
      <c r="A4" s="25" t="inlineStr">
        <is>
          <t>Comment le calcul est fait</t>
        </is>
      </c>
      <c r="B4" s="26" t="inlineStr">
        <is>
          <t>Provision = encours en retard de plus de 90 ou 180 jours × taux de perte. Les valeurs sont calculées par les scripts de la mission et collées ici ; la formule de chaque colonne est donnée dans « Comment le calcul est fait ».</t>
        </is>
      </c>
    </row>
    <row r="5" ht="15" customHeight="1">
      <c r="A5" s="25" t="inlineStr">
        <is>
          <t>Comment lire le résultat</t>
        </is>
      </c>
      <c r="B5" s="26" t="inlineStr">
        <is>
          <t>Le calcul selon la politique de crédit du Grenier est dans l'onglet 23.</t>
        </is>
      </c>
    </row>
    <row r="6" ht="15" customHeight="1">
      <c r="A6" s="25" t="inlineStr">
        <is>
          <t>Valable pour</t>
        </is>
      </c>
      <c r="B6" s="26" t="inlineStr">
        <is>
          <t>Arrêté du 31/08/2026.</t>
        </is>
      </c>
    </row>
    <row r="7" ht="15" customHeight="1">
      <c r="A7" s="25" t="inlineStr">
        <is>
          <t>Limites</t>
        </is>
      </c>
      <c r="B7" s="26" t="inlineStr">
        <is>
          <t>Taux hypothétiques.</t>
        </is>
      </c>
    </row>
    <row r="8"/>
    <row r="9"/>
    <row r="10" ht="30" customHeight="1">
      <c r="A10" s="8" t="inlineStr">
        <is>
          <t>Perte</t>
        </is>
      </c>
      <c r="B10" s="8" t="inlineStr">
        <is>
          <t>Provision 180j</t>
        </is>
      </c>
      <c r="C10" s="8" t="inlineStr">
        <is>
          <t>Provision 90j</t>
        </is>
      </c>
    </row>
    <row r="11">
      <c r="A11" s="41" t="n">
        <v>0.25</v>
      </c>
      <c r="B11" s="29" t="n">
        <v>3706703</v>
      </c>
      <c r="C11" s="29" t="n">
        <v>4461315</v>
      </c>
    </row>
    <row r="12">
      <c r="A12" s="41" t="n">
        <v>0.5</v>
      </c>
      <c r="B12" s="31" t="n">
        <v>7413406</v>
      </c>
      <c r="C12" s="31" t="n">
        <v>8922630</v>
      </c>
    </row>
    <row r="13">
      <c r="A13" s="41" t="n">
        <v>1</v>
      </c>
      <c r="B13" s="29" t="n">
        <v>14826812</v>
      </c>
      <c r="C13" s="29" t="n">
        <v>17845260</v>
      </c>
    </row>
    <row r="14"/>
    <row r="15">
      <c r="A15" s="14" t="inlineStr">
        <is>
          <t>Source : exports du logiciel de prêts du Grenier du Policier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34.xml><?xml version="1.0" encoding="utf-8"?>
<worksheet xmlns="http://schemas.openxmlformats.org/spreadsheetml/2006/main">
  <sheetPr>
    <outlinePr summaryBelow="1" summaryRight="1"/>
    <pageSetUpPr fitToPage="1"/>
  </sheetPr>
  <dimension ref="A1:F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25.1" customWidth="1" min="3" max="3"/>
    <col width="15.65" customWidth="1" min="4" max="4"/>
  </cols>
  <sheetData>
    <row r="1">
      <c r="A1" s="7" t="inlineStr">
        <is>
          <t>Tableau : Provisions techniques en mois de prestations</t>
        </is>
      </c>
    </row>
    <row r="2" ht="15" customHeight="1">
      <c r="A2" s="25" t="inlineStr">
        <is>
          <t>À quoi sert cet onglet</t>
        </is>
      </c>
      <c r="B2" s="26" t="inlineStr">
        <is>
          <t>Exprimer les provisions techniques en mois de prestations.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25" customHeight="1">
      <c r="A4" s="25" t="inlineStr">
        <is>
          <t>Comment le calcul est fait</t>
        </is>
      </c>
      <c r="B4" s="26" t="inlineStr">
        <is>
          <t>Mois couverts = provisions / (prestations de l'année / 12). Les valeurs sont calculées par les scripts de la mission et collées ici ; la formule de chaque colonne est donnée dans « Comment le calcul est fait ».</t>
        </is>
      </c>
    </row>
    <row r="5" ht="25" customHeight="1">
      <c r="A5" s="25" t="inlineStr">
        <is>
          <t>Comment lire le résultat</t>
        </is>
      </c>
      <c r="B5" s="26" t="inlineStr">
        <is>
          <t>Des provisions égales à plusieurs années de prestations, pour un risque réglé en quelques mois, sont sans rapport avec le besoin.</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Aucune.</t>
        </is>
      </c>
    </row>
    <row r="8"/>
    <row r="9"/>
    <row r="10" ht="30" customHeight="1">
      <c r="A10" s="8" t="inlineStr">
        <is>
          <t>Exercice</t>
        </is>
      </c>
      <c r="B10" s="8" t="inlineStr">
        <is>
          <t>Provisions</t>
        </is>
      </c>
      <c r="C10" s="8" t="inlineStr">
        <is>
          <t>Prestations mensuelles</t>
        </is>
      </c>
      <c r="D10" s="8" t="inlineStr">
        <is>
          <t>Mois couverts</t>
        </is>
      </c>
    </row>
    <row r="11">
      <c r="A11" s="34" t="n">
        <v>2020</v>
      </c>
      <c r="B11" s="29" t="n">
        <v>4829298290</v>
      </c>
      <c r="C11" s="29" t="n">
        <v>17478782.58333333</v>
      </c>
      <c r="D11" s="37" t="n">
        <v>276.2948887873298</v>
      </c>
    </row>
    <row r="12">
      <c r="A12" s="34" t="n">
        <v>2021</v>
      </c>
      <c r="B12" s="31" t="n">
        <v>4829298290</v>
      </c>
      <c r="C12" s="31" t="n">
        <v>41942486.41666666</v>
      </c>
      <c r="D12" s="38" t="n">
        <v>115.1409633187837</v>
      </c>
    </row>
    <row r="13">
      <c r="A13" s="34" t="n">
        <v>2022</v>
      </c>
      <c r="B13" s="29" t="n">
        <v>4829298290</v>
      </c>
      <c r="C13" s="29" t="n">
        <v>19277314.41666667</v>
      </c>
      <c r="D13" s="37" t="n">
        <v>250.5171719264336</v>
      </c>
    </row>
    <row r="14">
      <c r="A14" s="34" t="n">
        <v>2023</v>
      </c>
      <c r="B14" s="31" t="n">
        <v>4829298290</v>
      </c>
      <c r="C14" s="31" t="n">
        <v>55207863.5</v>
      </c>
      <c r="D14" s="38" t="n">
        <v>87.47482666124183</v>
      </c>
    </row>
    <row r="15">
      <c r="A15" s="34" t="n">
        <v>2024</v>
      </c>
      <c r="B15" s="29" t="n">
        <v>4829298290</v>
      </c>
      <c r="C15" s="29" t="n">
        <v>105351774.25</v>
      </c>
      <c r="D15" s="37" t="n">
        <v>45.83974332069685</v>
      </c>
    </row>
    <row r="16">
      <c r="A16" s="34" t="n">
        <v>2025</v>
      </c>
      <c r="B16" s="31" t="n">
        <v>4829298290</v>
      </c>
      <c r="C16" s="31" t="n">
        <v>163731002.25</v>
      </c>
      <c r="D16" s="38" t="n">
        <v>29.49531990664889</v>
      </c>
    </row>
    <row r="17">
      <c r="A17" s="34" t="n">
        <v>2026</v>
      </c>
      <c r="B17" s="29" t="n">
        <v>4829298290</v>
      </c>
      <c r="C17" s="29" t="n">
        <v>224856972.875</v>
      </c>
      <c r="D17" s="37" t="n">
        <v>21.47720049884622</v>
      </c>
    </row>
    <row r="18"/>
    <row r="19">
      <c r="A19" s="14" t="inlineStr">
        <is>
          <t>Source : balances des comptes du FPPN (Sage 100), 2020 au 31/08/2026 (2026 provisoire)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35.xml><?xml version="1.0" encoding="utf-8"?>
<worksheet xmlns="http://schemas.openxmlformats.org/spreadsheetml/2006/main">
  <sheetPr>
    <outlinePr summaryBelow="1" summaryRight="1"/>
    <pageSetUpPr fitToPage="1"/>
  </sheetPr>
  <dimension ref="A1:L16"/>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0.2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3.55" customWidth="1" min="11" max="11"/>
    <col width="11.45" customWidth="1" min="12" max="12"/>
  </cols>
  <sheetData>
    <row r="1">
      <c r="A1" s="7" t="inlineStr">
        <is>
          <t>Tableau : Indicateurs des tables de mortalité CIMA</t>
        </is>
      </c>
    </row>
    <row r="2" ht="15" customHeight="1">
      <c r="A2" s="25" t="inlineStr">
        <is>
          <t>À quoi sert cet onglet</t>
        </is>
      </c>
      <c r="B2" s="26" t="inlineStr">
        <is>
          <t>Donner les indicateurs de référence des tables de mortalité CIMA.</t>
        </is>
      </c>
    </row>
    <row r="3" ht="15" customHeight="1">
      <c r="A3" s="25" t="inlineStr">
        <is>
          <t>D'où viennent les chiffres</t>
        </is>
      </c>
      <c r="B3" s="26" t="inlineStr">
        <is>
          <t>Tables « CIMA_H.xlsx », « CIMA_F.xlsx », « TD_CIMA.xlsx », « TV_CIMA.xlsx » fournies le 18/10/2026.</t>
        </is>
      </c>
    </row>
    <row r="4" ht="37.5" customHeight="1">
      <c r="A4" s="25" t="inlineStr">
        <is>
          <t>Comment le calcul est fait</t>
        </is>
      </c>
      <c r="B4" s="26" t="inlineStr">
        <is>
          <t>e(x) = espérance de vie à l'âge x ; a(x) = valeur d'une rente de 1 FCFA par an à partir de l'âge x, au taux de 3,5 % ; q(x) = probabilité de décéder dans l'année à l'âge x. Les valeurs sont calculées par les scripts de la mission et collées ici ; la formule de chaque colonne est donnée dans « Comment le calcul est fait ».</t>
        </is>
      </c>
    </row>
    <row r="5" ht="15" customHeight="1">
      <c r="A5" s="25" t="inlineStr">
        <is>
          <t>Comment lire le résultat</t>
        </is>
      </c>
      <c r="B5" s="26" t="inlineStr">
        <is>
          <t>Une rente à 60 ans vaut environ 14 à 17 années de paiement selon la table.</t>
        </is>
      </c>
    </row>
    <row r="6" ht="15" customHeight="1">
      <c r="A6" s="25" t="inlineStr">
        <is>
          <t>Valable pour</t>
        </is>
      </c>
      <c r="B6" s="26" t="inlineStr">
        <is>
          <t>Population de référence des tables, non le FPPN.</t>
        </is>
      </c>
    </row>
    <row r="7" ht="15" customHeight="1">
      <c r="A7" s="25" t="inlineStr">
        <is>
          <t>Limites</t>
        </is>
      </c>
      <c r="B7" s="26" t="inlineStr">
        <is>
          <t>Âges des mutualistes non reçus.</t>
        </is>
      </c>
    </row>
    <row r="8"/>
    <row r="9"/>
    <row r="10" ht="30" customHeight="1">
      <c r="A10" s="8" t="inlineStr">
        <is>
          <t>Table</t>
        </is>
      </c>
      <c r="B10" s="8" t="inlineStr">
        <is>
          <t>Feuille</t>
        </is>
      </c>
      <c r="C10" s="8" t="inlineStr">
        <is>
          <t>E0</t>
        </is>
      </c>
      <c r="D10" s="8" t="inlineStr">
        <is>
          <t>E55</t>
        </is>
      </c>
      <c r="E10" s="8" t="inlineStr">
        <is>
          <t>E60</t>
        </is>
      </c>
      <c r="F10" s="8" t="inlineStr">
        <is>
          <t>A55</t>
        </is>
      </c>
      <c r="G10" s="8" t="inlineStr">
        <is>
          <t>A60</t>
        </is>
      </c>
      <c r="H10" s="8" t="inlineStr">
        <is>
          <t>A65</t>
        </is>
      </c>
      <c r="I10" s="8" t="inlineStr">
        <is>
          <t>Q40</t>
        </is>
      </c>
      <c r="J10" s="8" t="inlineStr">
        <is>
          <t>Q55</t>
        </is>
      </c>
      <c r="K10" s="8" t="inlineStr">
        <is>
          <t>Décès 20 60</t>
        </is>
      </c>
      <c r="L10" s="8" t="inlineStr">
        <is>
          <t>Survie 60</t>
        </is>
      </c>
    </row>
    <row r="11">
      <c r="A11" s="27" t="inlineStr">
        <is>
          <t>CIMA H</t>
        </is>
      </c>
      <c r="B11" s="28" t="inlineStr">
        <is>
          <t>CIMA_H (décès)</t>
        </is>
      </c>
      <c r="C11" s="37" t="n">
        <v>73.50211682704784</v>
      </c>
      <c r="D11" s="37" t="n">
        <v>24.14655611374492</v>
      </c>
      <c r="E11" s="37" t="n">
        <v>20.34129876398179</v>
      </c>
      <c r="F11" s="37" t="n">
        <v>15.95592317195758</v>
      </c>
      <c r="G11" s="37" t="n">
        <v>14.25590315589734</v>
      </c>
      <c r="H11" s="37" t="n">
        <v>12.52135526232364</v>
      </c>
      <c r="I11" s="37" t="n">
        <v>0.003496598241814253</v>
      </c>
      <c r="J11" s="37" t="n">
        <v>0.009375126511795506</v>
      </c>
      <c r="K11" s="37" t="n">
        <v>0.1711053876843835</v>
      </c>
      <c r="L11" s="37" t="n">
        <v>0.815119673573969</v>
      </c>
    </row>
    <row r="12">
      <c r="A12" s="27" t="inlineStr">
        <is>
          <t>CIMA F</t>
        </is>
      </c>
      <c r="B12" s="30" t="inlineStr">
        <is>
          <t>CIMA_F (vie)</t>
        </is>
      </c>
      <c r="C12" s="38" t="n">
        <v>81.63838517944045</v>
      </c>
      <c r="D12" s="38" t="n">
        <v>30.23068733107081</v>
      </c>
      <c r="E12" s="38" t="n">
        <v>26.04436776036478</v>
      </c>
      <c r="F12" s="38" t="n">
        <v>18.39363390284398</v>
      </c>
      <c r="G12" s="38" t="n">
        <v>16.83522198058296</v>
      </c>
      <c r="H12" s="38" t="n">
        <v>15.16563133722927</v>
      </c>
      <c r="I12" s="38" t="n">
        <v>0.001889722288297313</v>
      </c>
      <c r="J12" s="38" t="n">
        <v>0.00508685434036249</v>
      </c>
      <c r="K12" s="38" t="n">
        <v>0.09625173114007567</v>
      </c>
      <c r="L12" s="38" t="n">
        <v>0.8957569148621296</v>
      </c>
    </row>
    <row r="13">
      <c r="A13" s="27" t="inlineStr">
        <is>
          <t>TD CIMA</t>
        </is>
      </c>
      <c r="B13" s="28" t="inlineStr">
        <is>
          <t>TD_CIMA (décès)</t>
        </is>
      </c>
      <c r="C13" s="37" t="n">
        <v>67.50743300000001</v>
      </c>
      <c r="D13" s="37" t="n">
        <v>19.35519545703631</v>
      </c>
      <c r="E13" s="37" t="n">
        <v>15.79733104005942</v>
      </c>
      <c r="F13" s="37" t="n">
        <v>13.82221532731072</v>
      </c>
      <c r="G13" s="37" t="n">
        <v>11.97559123156375</v>
      </c>
      <c r="H13" s="37" t="n">
        <v>10.1328935884723</v>
      </c>
      <c r="I13" s="37" t="n">
        <v>0.003903286087782232</v>
      </c>
      <c r="J13" s="37" t="n">
        <v>0.01371181665203747</v>
      </c>
      <c r="K13" s="37" t="n">
        <v>0.2106519910890358</v>
      </c>
      <c r="L13" s="37" t="n">
        <v>0.7593220000000001</v>
      </c>
    </row>
    <row r="14">
      <c r="A14" s="27" t="inlineStr">
        <is>
          <t>TV CIMA</t>
        </is>
      </c>
      <c r="B14" s="30" t="inlineStr">
        <is>
          <t>TV_CIMA (vie)</t>
        </is>
      </c>
      <c r="C14" s="38" t="n">
        <v>74.557008</v>
      </c>
      <c r="D14" s="38" t="n">
        <v>24.04007006388438</v>
      </c>
      <c r="E14" s="38" t="n">
        <v>19.90477817191389</v>
      </c>
      <c r="F14" s="38" t="n">
        <v>16.10038838055928</v>
      </c>
      <c r="G14" s="38" t="n">
        <v>14.20037845751036</v>
      </c>
      <c r="H14" s="38" t="n">
        <v>12.20554546108358</v>
      </c>
      <c r="I14" s="38" t="n">
        <v>0.001822174657803988</v>
      </c>
      <c r="J14" s="38" t="n">
        <v>0.00646360889804698</v>
      </c>
      <c r="K14" s="38" t="n">
        <v>0.1058375843343755</v>
      </c>
      <c r="L14" s="38" t="n">
        <v>0.869412</v>
      </c>
    </row>
    <row r="15"/>
    <row r="16">
      <c r="A16" s="14" t="inlineStr">
        <is>
          <t>Source : tables CIMA H, CIMA F, TD et TV CIMA (fichiers fournis le 18/10/2026) ; calculs Adenka</t>
        </is>
      </c>
    </row>
  </sheetData>
  <mergeCells count="6">
    <mergeCell ref="B4:L4"/>
    <mergeCell ref="B6:L6"/>
    <mergeCell ref="B7:L7"/>
    <mergeCell ref="B3:L3"/>
    <mergeCell ref="B2:L2"/>
    <mergeCell ref="B5:L5"/>
  </mergeCells>
  <pageMargins left="0.75" right="0.75" top="1" bottom="1" header="0.5" footer="0.5"/>
  <pageSetup orientation="landscape" fitToHeight="0" fitToWidth="1"/>
</worksheet>
</file>

<file path=xl/worksheets/sheet36.xml><?xml version="1.0" encoding="utf-8"?>
<worksheet xmlns="http://schemas.openxmlformats.org/spreadsheetml/2006/main">
  <sheetPr>
    <tabColor rgb="00112A40"/>
    <outlinePr summaryBelow="1" summaryRight="1"/>
    <pageSetUpPr fitToPage="1"/>
  </sheetPr>
  <dimension ref="A1:AG4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31.75" customWidth="1" min="3" max="3"/>
    <col width="50" customWidth="1" min="4" max="4"/>
    <col width="50" customWidth="1" min="5" max="5"/>
    <col width="50" customWidth="1" min="6" max="6"/>
    <col width="50" customWidth="1" min="7" max="7"/>
    <col width="50" customWidth="1" min="8" max="8"/>
    <col width="19.1" customWidth="1" min="9" max="9"/>
    <col width="50" customWidth="1" min="10" max="10"/>
    <col width="21.4" customWidth="1" min="11" max="11"/>
    <col width="30.6" customWidth="1" min="12" max="12"/>
    <col width="19.1" customWidth="1" min="13" max="13"/>
    <col width="16.8" customWidth="1" min="14" max="14"/>
    <col width="19.1" customWidth="1" min="15" max="15"/>
    <col width="16.8" customWidth="1" min="16" max="16"/>
    <col width="19.1" customWidth="1" min="17" max="17"/>
    <col width="16.8" customWidth="1" min="18" max="18"/>
    <col width="21.4" customWidth="1" min="19" max="19"/>
    <col width="16.8" customWidth="1" min="20" max="20"/>
    <col width="21.4" customWidth="1" min="21" max="21"/>
    <col width="50" customWidth="1" min="22" max="22"/>
    <col width="25.1" customWidth="1" min="23" max="23"/>
    <col width="25.1" customWidth="1" min="24" max="24"/>
    <col width="50" customWidth="1" min="25" max="25"/>
    <col width="15.65" customWidth="1" min="26" max="26"/>
    <col width="15.65" customWidth="1" min="27" max="27"/>
    <col width="15.65" customWidth="1" min="28" max="28"/>
    <col width="15.65" customWidth="1" min="29" max="29"/>
    <col width="15.65" customWidth="1" min="30" max="30"/>
    <col width="15.65" customWidth="1" min="31" max="31"/>
    <col width="15.65" customWidth="1" min="32" max="32"/>
    <col width="17.75" customWidth="1" min="33" max="33"/>
  </cols>
  <sheetData>
    <row r="1">
      <c r="A1" s="7" t="inlineStr">
        <is>
          <t>Tableau : Ratios prudentiels de la Décision n° 05/2022, 2020 au 31/08/2026</t>
        </is>
      </c>
    </row>
    <row r="2" ht="15" customHeight="1">
      <c r="A2" s="25" t="inlineStr">
        <is>
          <t>À quoi sert cet onglet</t>
        </is>
      </c>
      <c r="B2" s="26" t="inlineStr">
        <is>
          <t>Calculer chaque ratio prudentiel de la Décision n° 05/2022, chaque année, et dire s'il respecte la norme.</t>
        </is>
      </c>
    </row>
    <row r="3" ht="62.5" customHeight="1">
      <c r="A3" s="25" t="inlineStr">
        <is>
          <t>D'où viennent les chiffres</t>
        </is>
      </c>
      <c r="B3" s="26"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50" customHeight="1">
      <c r="A4" s="25" t="inlineStr">
        <is>
          <t>Comment le calcul est fait</t>
        </is>
      </c>
      <c r="B4" s="26" t="inlineStr">
        <is>
          <t>La colonne « Formule » donne le calcul et la colonne « Comptes ou données » les comptes utilisés. Statut = Conforme si la valeur respecte la norme. Les ratios sont rangés par priorité actuarielle. Les valeurs sont calculées par les scripts de la mission et collées ici ; la formule de chaque colonne est donnée dans « Comment le calcul est fait ».</t>
        </is>
      </c>
    </row>
    <row r="5" ht="15" customHeight="1">
      <c r="A5" s="25" t="inlineStr">
        <is>
          <t>Comment lire le résultat</t>
        </is>
      </c>
      <c r="B5" s="26" t="inlineStr">
        <is>
          <t>« Non conforme deux exercices consécutifs » expose aux sanctions de l'article 84 du règlement n° 07/2009.</t>
        </is>
      </c>
    </row>
    <row r="6" ht="15" customHeight="1">
      <c r="A6" s="25" t="inlineStr">
        <is>
          <t>Valable pour</t>
        </is>
      </c>
      <c r="B6" s="26" t="inlineStr">
        <is>
          <t>2020 à 2026 ; statut opposable de 2022 à 2025.</t>
        </is>
      </c>
    </row>
    <row r="7" ht="15" customHeight="1">
      <c r="A7" s="25" t="inlineStr">
        <is>
          <t>Limites</t>
        </is>
      </c>
      <c r="B7" s="26" t="inlineStr">
        <is>
          <t>Ratios « en attente » faute de données.</t>
        </is>
      </c>
    </row>
    <row r="8"/>
    <row r="9"/>
    <row r="10" ht="30" customHeight="1">
      <c r="A10" s="8" t="inlineStr">
        <is>
          <t>Priorité</t>
        </is>
      </c>
      <c r="B10" s="8" t="inlineStr">
        <is>
          <t>Code</t>
        </is>
      </c>
      <c r="C10" s="8" t="inlineStr">
        <is>
          <t>Famille</t>
        </is>
      </c>
      <c r="D10" s="8" t="inlineStr">
        <is>
          <t>Ratio</t>
        </is>
      </c>
      <c r="E10" s="8" t="inlineStr">
        <is>
          <t>Formule</t>
        </is>
      </c>
      <c r="F10" s="8" t="inlineStr">
        <is>
          <t>Comptes ou données</t>
        </is>
      </c>
      <c r="G10" s="8" t="inlineStr">
        <is>
          <t>Norme</t>
        </is>
      </c>
      <c r="H10" s="8" t="inlineStr">
        <is>
          <t>Source</t>
        </is>
      </c>
      <c r="I10" s="8" t="inlineStr">
        <is>
          <t>2020</t>
        </is>
      </c>
      <c r="J10" s="8" t="inlineStr">
        <is>
          <t>Statut 2020</t>
        </is>
      </c>
      <c r="K10" s="8" t="inlineStr">
        <is>
          <t>2021</t>
        </is>
      </c>
      <c r="L10" s="8" t="inlineStr">
        <is>
          <t>Statut 2021</t>
        </is>
      </c>
      <c r="M10" s="8" t="inlineStr">
        <is>
          <t>2022</t>
        </is>
      </c>
      <c r="N10" s="8" t="inlineStr">
        <is>
          <t>Statut 2022</t>
        </is>
      </c>
      <c r="O10" s="8" t="inlineStr">
        <is>
          <t>2023</t>
        </is>
      </c>
      <c r="P10" s="8" t="inlineStr">
        <is>
          <t>Statut 2023</t>
        </is>
      </c>
      <c r="Q10" s="8" t="inlineStr">
        <is>
          <t>2024</t>
        </is>
      </c>
      <c r="R10" s="8" t="inlineStr">
        <is>
          <t>Statut 2024</t>
        </is>
      </c>
      <c r="S10" s="8" t="inlineStr">
        <is>
          <t>2025</t>
        </is>
      </c>
      <c r="T10" s="8" t="inlineStr">
        <is>
          <t>Statut 2025</t>
        </is>
      </c>
      <c r="U10" s="8" t="inlineStr">
        <is>
          <t>2026</t>
        </is>
      </c>
      <c r="V10" s="8" t="inlineStr">
        <is>
          <t>Statut 2026</t>
        </is>
      </c>
      <c r="W10" s="8" t="inlineStr">
        <is>
          <t>Statut global (2022 à 2025)</t>
        </is>
      </c>
      <c r="X10" s="8" t="inlineStr">
        <is>
          <t>Non conforme deux exercices consécutifs</t>
        </is>
      </c>
      <c r="Y10" s="8" t="inlineStr">
        <is>
          <t>Observation</t>
        </is>
      </c>
      <c r="Z10" s="8" t="inlineStr">
        <is>
          <t>Retraité 2020</t>
        </is>
      </c>
      <c r="AA10" s="8" t="inlineStr">
        <is>
          <t>Retraité 2021</t>
        </is>
      </c>
      <c r="AB10" s="8" t="inlineStr">
        <is>
          <t>Retraité 2022</t>
        </is>
      </c>
      <c r="AC10" s="8" t="inlineStr">
        <is>
          <t>Retraité 2023</t>
        </is>
      </c>
      <c r="AD10" s="8" t="inlineStr">
        <is>
          <t>Retraité 2024</t>
        </is>
      </c>
      <c r="AE10" s="8" t="inlineStr">
        <is>
          <t>Retraité 2025</t>
        </is>
      </c>
      <c r="AF10" s="8" t="inlineStr">
        <is>
          <t>Retraité 2026</t>
        </is>
      </c>
      <c r="AG10" s="8" t="inlineStr">
        <is>
          <t>Statut retraité</t>
        </is>
      </c>
    </row>
    <row r="11">
      <c r="A11" s="42" t="n">
        <v>1</v>
      </c>
      <c r="B11" s="28" t="inlineStr">
        <is>
          <t>SIN</t>
        </is>
      </c>
      <c r="C11" s="28" t="inlineStr">
        <is>
          <t>Actuariel</t>
        </is>
      </c>
      <c r="D11" s="28" t="inlineStr">
        <is>
          <t>Taux de sinistralité</t>
        </is>
      </c>
      <c r="E11" s="28" t="inlineStr">
        <is>
          <t>Charges de prestations (avec provisions) / Cotisations acquises</t>
        </is>
      </c>
      <c r="F11" s="28" t="inlineStr">
        <is>
          <t>60 + 6901 - 7901 / 70 + 7906 - 6906</t>
        </is>
      </c>
      <c r="G11" s="28" t="inlineStr">
        <is>
          <t>Entre 70 % et 80 %</t>
        </is>
      </c>
      <c r="H11" s="28" t="inlineStr">
        <is>
          <t>Décision n° 05/2022/COM/UEMOA, annexe, tableau 1, ligne 5 et § 1.2.1.2.5</t>
        </is>
      </c>
      <c r="I11" s="32" t="n">
        <v>0.08924510038397997</v>
      </c>
      <c r="J11" s="28" t="inlineStr">
        <is>
          <t>Non conforme (indicatif)</t>
        </is>
      </c>
      <c r="K11" s="32" t="n">
        <v>0.2077042579184039</v>
      </c>
      <c r="L11" s="28" t="inlineStr">
        <is>
          <t>Non conforme (indicatif)</t>
        </is>
      </c>
      <c r="M11" s="32" t="n">
        <v>0.09057696166716429</v>
      </c>
      <c r="N11" s="28" t="inlineStr">
        <is>
          <t>Non conforme</t>
        </is>
      </c>
      <c r="O11" s="32" t="n">
        <v>0.2456277537433684</v>
      </c>
      <c r="P11" s="28" t="inlineStr">
        <is>
          <t>Non conforme</t>
        </is>
      </c>
      <c r="Q11" s="32" t="n">
        <v>0.4034261051264778</v>
      </c>
      <c r="R11" s="28" t="inlineStr">
        <is>
          <t>Non conforme</t>
        </is>
      </c>
      <c r="S11" s="32" t="n">
        <v>0.574807069687674</v>
      </c>
      <c r="T11" s="28" t="inlineStr">
        <is>
          <t>Non conforme</t>
        </is>
      </c>
      <c r="U11" s="32" t="n">
        <v>0.7519679703716217</v>
      </c>
      <c r="V11" s="28" t="inlineStr">
        <is>
          <t>Conforme (indicatif)</t>
        </is>
      </c>
      <c r="W11" s="28" t="inlineStr">
        <is>
          <t>Non conforme</t>
        </is>
      </c>
      <c r="X11" s="28" t="inlineStr">
        <is>
          <t>Oui</t>
        </is>
      </c>
      <c r="Y11" s="28" t="n"/>
      <c r="Z11" s="28" t="n"/>
      <c r="AA11" s="28" t="n"/>
      <c r="AB11" s="28" t="n"/>
      <c r="AC11" s="28" t="n"/>
      <c r="AD11" s="28" t="n"/>
      <c r="AE11" s="28" t="n"/>
      <c r="AF11" s="28" t="n"/>
      <c r="AG11" s="28" t="n"/>
    </row>
    <row r="12">
      <c r="A12" s="42" t="n">
        <v>2</v>
      </c>
      <c r="B12" s="30" t="inlineStr">
        <is>
          <t>MSE</t>
        </is>
      </c>
      <c r="C12" s="30" t="inlineStr">
        <is>
          <t>Actuariel</t>
        </is>
      </c>
      <c r="D12" s="30" t="inlineStr">
        <is>
          <t>Marge de solvabilité disponible / exigée</t>
        </is>
      </c>
      <c r="E12" s="30" t="inlineStr">
        <is>
          <t>(Réserve obligatoire + fonds d'établissement + réserves libres + droits d'adhésion + dons et legs) / max(18 % des cotisations acquises n-1 ; 26 % des prestations maladie moyennes des 3 derniers exercices)</t>
        </is>
      </c>
      <c r="F12" s="30" t="inlineStr">
        <is>
          <t>111 + 1188 + 106 / 70 (n-1) et 601, 608</t>
        </is>
      </c>
      <c r="G12" s="30" t="inlineStr">
        <is>
          <t>Au moins 1 (marge disponible au moins égale à la marge exigée)</t>
        </is>
      </c>
      <c r="H12" s="30" t="inlineStr">
        <is>
          <t>Décision n° 05/2022/COM/UEMOA, annexe, § 1.1.1 (fonds d'établissement) ; Règlement d'exécution n° 004/2022/COM/UEMOA, art. 23</t>
        </is>
      </c>
      <c r="I12" s="30" t="n"/>
      <c r="J12" s="30" t="inlineStr">
        <is>
          <t>En attente</t>
        </is>
      </c>
      <c r="K12" s="38" t="n">
        <v>6.853739373660991</v>
      </c>
      <c r="L12" s="30" t="inlineStr">
        <is>
          <t>Conforme (indicatif)</t>
        </is>
      </c>
      <c r="M12" s="38" t="n">
        <v>6.647305067569919</v>
      </c>
      <c r="N12" s="30" t="inlineStr">
        <is>
          <t>Conforme</t>
        </is>
      </c>
      <c r="O12" s="38" t="n">
        <v>6.704873738926956</v>
      </c>
      <c r="P12" s="30" t="inlineStr">
        <is>
          <t>Conforme</t>
        </is>
      </c>
      <c r="Q12" s="38" t="n">
        <v>7.220708829452581</v>
      </c>
      <c r="R12" s="30" t="inlineStr">
        <is>
          <t>Conforme</t>
        </is>
      </c>
      <c r="S12" s="38" t="n">
        <v>7.765392737736256</v>
      </c>
      <c r="T12" s="30" t="inlineStr">
        <is>
          <t>Conforme</t>
        </is>
      </c>
      <c r="U12" s="38" t="n">
        <v>7.146251083188217</v>
      </c>
      <c r="V12" s="30" t="inlineStr">
        <is>
          <t>Conforme (indicatif)</t>
        </is>
      </c>
      <c r="W12" s="30" t="inlineStr">
        <is>
          <t>Conforme</t>
        </is>
      </c>
      <c r="X12" s="30" t="inlineStr">
        <is>
          <t>Non</t>
        </is>
      </c>
      <c r="Y12" s="30" t="n"/>
      <c r="Z12" s="30" t="n"/>
      <c r="AA12" s="38" t="n">
        <v>-11.01357559430703</v>
      </c>
      <c r="AB12" s="38" t="n">
        <v>-5.958228591640317</v>
      </c>
      <c r="AC12" s="38" t="n">
        <v>-3.627278849486924</v>
      </c>
      <c r="AD12" s="38" t="n">
        <v>-1.754997755162689</v>
      </c>
      <c r="AE12" s="38" t="n">
        <v>-0.7739925471259136</v>
      </c>
      <c r="AF12" s="38" t="n">
        <v>-1.429462054613103</v>
      </c>
      <c r="AG12" s="30" t="inlineStr">
        <is>
          <t>Non conforme</t>
        </is>
      </c>
    </row>
    <row r="13">
      <c r="A13" s="42" t="n">
        <v>3</v>
      </c>
      <c r="B13" s="28" t="inlineStr">
        <is>
          <t>ROB</t>
        </is>
      </c>
      <c r="C13" s="28" t="inlineStr">
        <is>
          <t>Actuariel</t>
        </is>
      </c>
      <c r="D13" s="28" t="inlineStr">
        <is>
          <t>Ratio de réserve obligatoire</t>
        </is>
      </c>
      <c r="E13" s="28" t="inlineStr">
        <is>
          <t>Réserves obligatoires x 12 / Charges de prestations</t>
        </is>
      </c>
      <c r="F13" s="28" t="inlineStr">
        <is>
          <t>111 x 12 / 60 + 6901 - 7901</t>
        </is>
      </c>
      <c r="G13" s="28" t="inlineStr">
        <is>
          <t>Entre 6 et 9 mois (tableau 1) ; 9 mois au § 1.2.2.5.4</t>
        </is>
      </c>
      <c r="H13" s="28" t="inlineStr">
        <is>
          <t>Décision n° 05/2022/COM/UEMOA, annexe, tableau 1, ligne 10 et § 1.2.2.5.4</t>
        </is>
      </c>
      <c r="I13" s="37" t="n">
        <v>0</v>
      </c>
      <c r="J13" s="28" t="inlineStr">
        <is>
          <t>Non conforme (indicatif)</t>
        </is>
      </c>
      <c r="K13" s="37" t="n">
        <v>0</v>
      </c>
      <c r="L13" s="28" t="inlineStr">
        <is>
          <t>Non conforme (indicatif)</t>
        </is>
      </c>
      <c r="M13" s="37" t="n">
        <v>0</v>
      </c>
      <c r="N13" s="28" t="inlineStr">
        <is>
          <t>Non conforme</t>
        </is>
      </c>
      <c r="O13" s="37" t="n">
        <v>3.245000870920969</v>
      </c>
      <c r="P13" s="28" t="inlineStr">
        <is>
          <t>Non conforme</t>
        </is>
      </c>
      <c r="Q13" s="37" t="n">
        <v>4.910048646299662</v>
      </c>
      <c r="R13" s="28" t="inlineStr">
        <is>
          <t>Non conforme</t>
        </is>
      </c>
      <c r="S13" s="37" t="n">
        <v>5.00963658518129</v>
      </c>
      <c r="T13" s="28" t="inlineStr">
        <is>
          <t>Non conforme</t>
        </is>
      </c>
      <c r="U13" s="37" t="n">
        <v>3.647798013610966</v>
      </c>
      <c r="V13" s="28" t="inlineStr">
        <is>
          <t>Non conforme (indicatif)</t>
        </is>
      </c>
      <c r="W13" s="28" t="inlineStr">
        <is>
          <t>Non conforme</t>
        </is>
      </c>
      <c r="X13" s="28" t="inlineStr">
        <is>
          <t>Oui</t>
        </is>
      </c>
      <c r="Y13" s="28" t="n"/>
      <c r="Z13" s="28" t="n"/>
      <c r="AA13" s="28" t="n"/>
      <c r="AB13" s="28" t="n"/>
      <c r="AC13" s="28" t="n"/>
      <c r="AD13" s="28" t="n"/>
      <c r="AE13" s="28" t="n"/>
      <c r="AF13" s="28" t="n"/>
      <c r="AG13" s="28" t="n"/>
    </row>
    <row r="14">
      <c r="A14" s="42" t="n">
        <v>4</v>
      </c>
      <c r="B14" s="30" t="inlineStr">
        <is>
          <t>FEP</t>
        </is>
      </c>
      <c r="C14" s="30" t="inlineStr">
        <is>
          <t>Actuariel</t>
        </is>
      </c>
      <c r="D14" s="30" t="inlineStr">
        <is>
          <t>Ratio des fonds propres et assimilés</t>
        </is>
      </c>
      <c r="E14" s="30" t="inlineStr">
        <is>
          <t>Fonds propres et assimilés / Dettes (y compris provisions techniques)</t>
        </is>
      </c>
      <c r="F14" s="30" t="inlineStr">
        <is>
          <t>10 + 11 + 12 + 13 + 14 + 190 + 15 / classe 4 créditrice + 16 + 190 + 15 + 5 créditeur</t>
        </is>
      </c>
      <c r="G14" s="30" t="inlineStr">
        <is>
          <t>Au moins 1</t>
        </is>
      </c>
      <c r="H14" s="30" t="inlineStr">
        <is>
          <t>Décision n° 05/2022/COM/UEMOA, annexe, tableau 2, ligne 9 et § 1.2.2.5.3</t>
        </is>
      </c>
      <c r="I14" s="38" t="n">
        <v>-0.09579077138159632</v>
      </c>
      <c r="J14" s="30" t="inlineStr">
        <is>
          <t>Non conforme (indicatif)</t>
        </is>
      </c>
      <c r="K14" s="38" t="n">
        <v>0.008682930103451964</v>
      </c>
      <c r="L14" s="30" t="inlineStr">
        <is>
          <t>Non conforme (indicatif)</t>
        </is>
      </c>
      <c r="M14" s="38" t="n">
        <v>0.1335617058972045</v>
      </c>
      <c r="N14" s="30" t="inlineStr">
        <is>
          <t>Non conforme</t>
        </is>
      </c>
      <c r="O14" s="38" t="n">
        <v>0.1938791275198898</v>
      </c>
      <c r="P14" s="30" t="inlineStr">
        <is>
          <t>Non conforme</t>
        </is>
      </c>
      <c r="Q14" s="38" t="n">
        <v>0.212216490457113</v>
      </c>
      <c r="R14" s="30" t="inlineStr">
        <is>
          <t>Non conforme</t>
        </is>
      </c>
      <c r="S14" s="38" t="n">
        <v>0.2153205579766456</v>
      </c>
      <c r="T14" s="30" t="inlineStr">
        <is>
          <t>Non conforme</t>
        </is>
      </c>
      <c r="U14" s="38" t="n">
        <v>0.1731994528009115</v>
      </c>
      <c r="V14" s="30" t="inlineStr">
        <is>
          <t>Non conforme (indicatif)</t>
        </is>
      </c>
      <c r="W14" s="30" t="inlineStr">
        <is>
          <t>Non conforme</t>
        </is>
      </c>
      <c r="X14" s="30" t="inlineStr">
        <is>
          <t>Oui</t>
        </is>
      </c>
      <c r="Y14" s="30" t="n"/>
      <c r="Z14" s="30" t="n"/>
      <c r="AA14" s="30" t="n"/>
      <c r="AB14" s="30" t="n"/>
      <c r="AC14" s="30" t="n"/>
      <c r="AD14" s="30" t="n"/>
      <c r="AE14" s="30" t="n"/>
      <c r="AF14" s="30" t="n"/>
      <c r="AG14" s="30" t="n"/>
    </row>
    <row r="15">
      <c r="A15" s="42" t="n">
        <v>5</v>
      </c>
      <c r="B15" s="28" t="inlineStr">
        <is>
          <t>LIQ</t>
        </is>
      </c>
      <c r="C15" s="28" t="inlineStr">
        <is>
          <t>Actuariel</t>
        </is>
      </c>
      <c r="D15" s="28" t="inlineStr">
        <is>
          <t>Ratio de liquidité</t>
        </is>
      </c>
      <c r="E15" s="28" t="inlineStr">
        <is>
          <t>Trésorerie actif / (Dettes à court terme + variation des provisions techniques)</t>
        </is>
      </c>
      <c r="F15" s="28" t="inlineStr">
        <is>
          <t>classe 5 débitrice / classe 4 créditrice + classe 5 créditrice + variation de 190 et 158</t>
        </is>
      </c>
      <c r="G15" s="28" t="inlineStr">
        <is>
          <t>Au moins 1</t>
        </is>
      </c>
      <c r="H15" s="28" t="inlineStr">
        <is>
          <t>Décision n° 05/2022/COM/UEMOA, annexe, tableau 2, ligne 8 et § 1.2.2.5.2</t>
        </is>
      </c>
      <c r="I15" s="37" t="n">
        <v>0.05831966634847438</v>
      </c>
      <c r="J15" s="28" t="inlineStr">
        <is>
          <t>Non conforme (indicatif)</t>
        </is>
      </c>
      <c r="K15" s="37" t="n">
        <v>0.1928137276458587</v>
      </c>
      <c r="L15" s="28" t="inlineStr">
        <is>
          <t>Non conforme (indicatif)</t>
        </is>
      </c>
      <c r="M15" s="37" t="n">
        <v>0.104440554951509</v>
      </c>
      <c r="N15" s="28" t="inlineStr">
        <is>
          <t>Non conforme</t>
        </is>
      </c>
      <c r="O15" s="37" t="n">
        <v>0.1086583639281966</v>
      </c>
      <c r="P15" s="28" t="inlineStr">
        <is>
          <t>Non conforme</t>
        </is>
      </c>
      <c r="Q15" s="37" t="n">
        <v>0.07119313549763213</v>
      </c>
      <c r="R15" s="28" t="inlineStr">
        <is>
          <t>Non conforme</t>
        </is>
      </c>
      <c r="S15" s="37" t="n">
        <v>0.1265562520616417</v>
      </c>
      <c r="T15" s="28" t="inlineStr">
        <is>
          <t>Non conforme</t>
        </is>
      </c>
      <c r="U15" s="37" t="n">
        <v>0.1873248451328696</v>
      </c>
      <c r="V15" s="28" t="inlineStr">
        <is>
          <t>Non conforme (indicatif)</t>
        </is>
      </c>
      <c r="W15" s="28" t="inlineStr">
        <is>
          <t>Non conforme</t>
        </is>
      </c>
      <c r="X15" s="28" t="inlineStr">
        <is>
          <t>Oui</t>
        </is>
      </c>
      <c r="Y15" s="28" t="n"/>
      <c r="Z15" s="37" t="n">
        <v>0.2057449062613581</v>
      </c>
      <c r="AA15" s="37" t="n">
        <v>0.6350723137143818</v>
      </c>
      <c r="AB15" s="37" t="n">
        <v>0.5050570717651558</v>
      </c>
      <c r="AC15" s="37" t="n">
        <v>0.5363427888606948</v>
      </c>
      <c r="AD15" s="37" t="n">
        <v>0.329021426994674</v>
      </c>
      <c r="AE15" s="37" t="n">
        <v>1.151277985464196</v>
      </c>
      <c r="AF15" s="37" t="n">
        <v>1.534930530483103</v>
      </c>
      <c r="AG15" s="28" t="inlineStr">
        <is>
          <t>Non conforme</t>
        </is>
      </c>
    </row>
    <row r="16">
      <c r="A16" s="42" t="n">
        <v>6</v>
      </c>
      <c r="B16" s="30" t="inlineStr">
        <is>
          <t>EQS</t>
        </is>
      </c>
      <c r="C16" s="30" t="inlineStr">
        <is>
          <t>Actuariel</t>
        </is>
      </c>
      <c r="D16" s="30" t="inlineStr">
        <is>
          <t>Ratio d'équilibre stable</t>
        </is>
      </c>
      <c r="E16" s="30" t="inlineStr">
        <is>
          <t>Emplois moyens et longs / Ressources moyennes et longues</t>
        </is>
      </c>
      <c r="F16" s="30" t="inlineStr">
        <is>
          <t>classe 2 nette / classes 10 à 19</t>
        </is>
      </c>
      <c r="G16" s="30" t="inlineStr">
        <is>
          <t>Au plus 1</t>
        </is>
      </c>
      <c r="H16" s="30" t="inlineStr">
        <is>
          <t>Décision n° 05/2022/COM/UEMOA, annexe, tableau 1, ligne 11 et § 1.2.3.1</t>
        </is>
      </c>
      <c r="I16" s="38" t="n">
        <v>-2.889183900488107</v>
      </c>
      <c r="J16" s="30" t="inlineStr">
        <is>
          <t>Non conforme (ressources négatives) (indicatif)</t>
        </is>
      </c>
      <c r="K16" s="38" t="n">
        <v>13.56724886400161</v>
      </c>
      <c r="L16" s="30" t="inlineStr">
        <is>
          <t>Non conforme (indicatif)</t>
        </is>
      </c>
      <c r="M16" s="38" t="n">
        <v>2.130299994358726</v>
      </c>
      <c r="N16" s="30" t="inlineStr">
        <is>
          <t>Non conforme</t>
        </is>
      </c>
      <c r="O16" s="38" t="n">
        <v>1.611207931275919</v>
      </c>
      <c r="P16" s="30" t="inlineStr">
        <is>
          <t>Non conforme</t>
        </is>
      </c>
      <c r="Q16" s="38" t="n">
        <v>1.702337827601856</v>
      </c>
      <c r="R16" s="30" t="inlineStr">
        <is>
          <t>Non conforme</t>
        </is>
      </c>
      <c r="S16" s="38" t="n">
        <v>1.536687732810269</v>
      </c>
      <c r="T16" s="30" t="inlineStr">
        <is>
          <t>Non conforme</t>
        </is>
      </c>
      <c r="U16" s="38" t="n">
        <v>1.718698438746898</v>
      </c>
      <c r="V16" s="30" t="inlineStr">
        <is>
          <t>Non conforme (indicatif)</t>
        </is>
      </c>
      <c r="W16" s="30" t="inlineStr">
        <is>
          <t>Non conforme</t>
        </is>
      </c>
      <c r="X16" s="30" t="inlineStr">
        <is>
          <t>Oui</t>
        </is>
      </c>
      <c r="Y16" s="30" t="n"/>
      <c r="Z16" s="38" t="n">
        <v>1.367528669520528</v>
      </c>
      <c r="AA16" s="38" t="n">
        <v>1.144511706432936</v>
      </c>
      <c r="AB16" s="38" t="n">
        <v>1.091871105453208</v>
      </c>
      <c r="AC16" s="38" t="n">
        <v>1.081539393354308</v>
      </c>
      <c r="AD16" s="38" t="n">
        <v>1.083314219377352</v>
      </c>
      <c r="AE16" s="38" t="n">
        <v>0.9447125240184668</v>
      </c>
      <c r="AF16" s="38" t="n">
        <v>0.9356827349989516</v>
      </c>
      <c r="AG16" s="30" t="inlineStr">
        <is>
          <t>Non conforme</t>
        </is>
      </c>
    </row>
    <row r="17">
      <c r="A17" s="42" t="n">
        <v>7</v>
      </c>
      <c r="B17" s="28" t="inlineStr">
        <is>
          <t>AUT</t>
        </is>
      </c>
      <c r="C17" s="28" t="inlineStr">
        <is>
          <t>Actuariel</t>
        </is>
      </c>
      <c r="D17" s="28" t="inlineStr">
        <is>
          <t>Ratio d'autonomie financière</t>
        </is>
      </c>
      <c r="E17" s="28" t="inlineStr">
        <is>
          <t>Cotisations acquises / Total des charges</t>
        </is>
      </c>
      <c r="F17" s="28" t="inlineStr">
        <is>
          <t>70 + 7906 - 6906 / classe 6 + 81 + 83 + 85</t>
        </is>
      </c>
      <c r="G17" s="28" t="inlineStr">
        <is>
          <t>Au moins 1</t>
        </is>
      </c>
      <c r="H17" s="28" t="inlineStr">
        <is>
          <t>Décision n° 05/2022/COM/UEMOA, annexe, tableau 1, ligne 9 et § 1.2.2.5.1</t>
        </is>
      </c>
      <c r="I17" s="37" t="n">
        <v>0.8104220394875116</v>
      </c>
      <c r="J17" s="28" t="inlineStr">
        <is>
          <t>Non conforme (indicatif)</t>
        </is>
      </c>
      <c r="K17" s="37" t="n">
        <v>1.112519559239142</v>
      </c>
      <c r="L17" s="28" t="inlineStr">
        <is>
          <t>Conforme (indicatif)</t>
        </is>
      </c>
      <c r="M17" s="37" t="n">
        <v>1.738590174295683</v>
      </c>
      <c r="N17" s="28" t="inlineStr">
        <is>
          <t>Conforme</t>
        </is>
      </c>
      <c r="O17" s="37" t="n">
        <v>1.39542726519851</v>
      </c>
      <c r="P17" s="28" t="inlineStr">
        <is>
          <t>Conforme</t>
        </is>
      </c>
      <c r="Q17" s="37" t="n">
        <v>1.290072774049286</v>
      </c>
      <c r="R17" s="28" t="inlineStr">
        <is>
          <t>Conforme</t>
        </is>
      </c>
      <c r="S17" s="37" t="n">
        <v>1.051596193890561</v>
      </c>
      <c r="T17" s="28" t="inlineStr">
        <is>
          <t>Conforme</t>
        </is>
      </c>
      <c r="U17" s="37" t="n">
        <v>0.8380981034963108</v>
      </c>
      <c r="V17" s="28" t="inlineStr">
        <is>
          <t>Non conforme (indicatif)</t>
        </is>
      </c>
      <c r="W17" s="28" t="inlineStr">
        <is>
          <t>Conforme</t>
        </is>
      </c>
      <c r="X17" s="28" t="inlineStr">
        <is>
          <t>Non</t>
        </is>
      </c>
      <c r="Y17" s="28" t="n"/>
      <c r="Z17" s="28" t="n"/>
      <c r="AA17" s="28" t="n"/>
      <c r="AB17" s="28" t="n"/>
      <c r="AC17" s="28" t="n"/>
      <c r="AD17" s="28" t="n"/>
      <c r="AE17" s="28" t="n"/>
      <c r="AF17" s="28" t="n"/>
      <c r="AG17" s="28" t="n"/>
    </row>
    <row r="18">
      <c r="A18" s="42" t="n">
        <v>8</v>
      </c>
      <c r="B18" s="30" t="inlineStr">
        <is>
          <t>EXN</t>
        </is>
      </c>
      <c r="C18" s="30" t="inlineStr">
        <is>
          <t>Actuariel</t>
        </is>
      </c>
      <c r="D18" s="30" t="inlineStr">
        <is>
          <t>Taux d'excédent net</t>
        </is>
      </c>
      <c r="E18" s="30" t="inlineStr">
        <is>
          <t>Excédent net de l'exercice / Cotisations acquises</t>
        </is>
      </c>
      <c r="F18" s="30" t="inlineStr">
        <is>
          <t>résultat net / 70 + 7906 - 6906</t>
        </is>
      </c>
      <c r="G18" s="30" t="inlineStr">
        <is>
          <t>Au plus 5 %</t>
        </is>
      </c>
      <c r="H18" s="30" t="inlineStr">
        <is>
          <t>Décision n° 05/2022/COM/UEMOA, annexe, tableau 2, ligne 10 et § 1.2.2.5.5</t>
        </is>
      </c>
      <c r="I18" s="33" t="n">
        <v>0.4333980692159242</v>
      </c>
      <c r="J18" s="30" t="inlineStr">
        <is>
          <t>Non conforme (indicatif)</t>
        </is>
      </c>
      <c r="K18" s="33" t="n">
        <v>0.8599804232844455</v>
      </c>
      <c r="L18" s="30" t="inlineStr">
        <is>
          <t>Non conforme (indicatif)</t>
        </is>
      </c>
      <c r="M18" s="33" t="n">
        <v>0.8063797680247953</v>
      </c>
      <c r="N18" s="30" t="inlineStr">
        <is>
          <t>Non conforme</t>
        </is>
      </c>
      <c r="O18" s="33" t="n">
        <v>0.3355452883622809</v>
      </c>
      <c r="P18" s="30" t="inlineStr">
        <is>
          <t>Non conforme</t>
        </is>
      </c>
      <c r="Q18" s="33" t="n">
        <v>0.2518015832545693</v>
      </c>
      <c r="R18" s="30" t="inlineStr">
        <is>
          <t>Non conforme</t>
        </is>
      </c>
      <c r="S18" s="33" t="n">
        <v>0.1281105192864206</v>
      </c>
      <c r="T18" s="30" t="inlineStr">
        <is>
          <t>Non conforme</t>
        </is>
      </c>
      <c r="U18" s="33" t="n">
        <v>-0.1844565628073395</v>
      </c>
      <c r="V18" s="30" t="inlineStr">
        <is>
          <t>Non conforme (ressources négatives) (indicatif)</t>
        </is>
      </c>
      <c r="W18" s="30" t="inlineStr">
        <is>
          <t>Non conforme</t>
        </is>
      </c>
      <c r="X18" s="30" t="inlineStr">
        <is>
          <t>Oui</t>
        </is>
      </c>
      <c r="Y18" s="30" t="n"/>
      <c r="Z18" s="30" t="n"/>
      <c r="AA18" s="30" t="n"/>
      <c r="AB18" s="30" t="n"/>
      <c r="AC18" s="30" t="n"/>
      <c r="AD18" s="30" t="n"/>
      <c r="AE18" s="30" t="n"/>
      <c r="AF18" s="30" t="n"/>
      <c r="AG18" s="30" t="n"/>
    </row>
    <row r="19">
      <c r="A19" s="42" t="n">
        <v>9</v>
      </c>
      <c r="B19" s="28" t="inlineStr">
        <is>
          <t>TFP</t>
        </is>
      </c>
      <c r="C19" s="28" t="inlineStr">
        <is>
          <t>Actuariel</t>
        </is>
      </c>
      <c r="D19" s="28" t="inlineStr">
        <is>
          <t>Taux de financement propre</t>
        </is>
      </c>
      <c r="E19" s="28" t="inlineStr">
        <is>
          <t>Total des produits avant subventions / Total des charges</t>
        </is>
      </c>
      <c r="F19" s="28" t="inlineStr">
        <is>
          <t>produits (liste de l'annexe) - 75 et 88 / charges</t>
        </is>
      </c>
      <c r="G19" s="28" t="inlineStr">
        <is>
          <t>Au moins 100 %</t>
        </is>
      </c>
      <c r="H19" s="28" t="inlineStr">
        <is>
          <t>Décision n° 05/2022/COM/UEMOA, annexe, tableau 2, ligne 11 et § 1.2.3.2</t>
        </is>
      </c>
      <c r="I19" s="32" t="n">
        <v>1.351235347163919</v>
      </c>
      <c r="J19" s="28" t="inlineStr">
        <is>
          <t>Conforme (indicatif)</t>
        </is>
      </c>
      <c r="K19" s="32" t="n">
        <v>1.956745041466702</v>
      </c>
      <c r="L19" s="28" t="inlineStr">
        <is>
          <t>Conforme (indicatif)</t>
        </is>
      </c>
      <c r="M19" s="32" t="n">
        <v>2.401963941438741</v>
      </c>
      <c r="N19" s="28" t="inlineStr">
        <is>
          <t>Conforme</t>
        </is>
      </c>
      <c r="O19" s="32" t="n">
        <v>1.468229044089623</v>
      </c>
      <c r="P19" s="28" t="inlineStr">
        <is>
          <t>Conforme</t>
        </is>
      </c>
      <c r="Q19" s="32" t="n">
        <v>1.324842367019224</v>
      </c>
      <c r="R19" s="28" t="inlineStr">
        <is>
          <t>Conforme</t>
        </is>
      </c>
      <c r="S19" s="32" t="n">
        <v>1.134720534478943</v>
      </c>
      <c r="T19" s="28" t="inlineStr">
        <is>
          <t>Conforme</t>
        </is>
      </c>
      <c r="U19" s="32" t="n">
        <v>0.8454073045337206</v>
      </c>
      <c r="V19" s="28" t="inlineStr">
        <is>
          <t>Non conforme (indicatif)</t>
        </is>
      </c>
      <c r="W19" s="28" t="inlineStr">
        <is>
          <t>Conforme</t>
        </is>
      </c>
      <c r="X19" s="28" t="inlineStr">
        <is>
          <t>Non</t>
        </is>
      </c>
      <c r="Y19" s="28" t="n"/>
      <c r="Z19" s="28" t="n"/>
      <c r="AA19" s="28" t="n"/>
      <c r="AB19" s="28" t="n"/>
      <c r="AC19" s="28" t="n"/>
      <c r="AD19" s="28" t="n"/>
      <c r="AE19" s="28" t="n"/>
      <c r="AF19" s="28" t="n"/>
      <c r="AG19" s="28" t="n"/>
    </row>
    <row r="20">
      <c r="A20" s="42" t="n">
        <v>10</v>
      </c>
      <c r="B20" s="30" t="inlineStr">
        <is>
          <t>RL1</t>
        </is>
      </c>
      <c r="C20" s="30" t="inlineStr">
        <is>
          <t>Actuariel - risques longs</t>
        </is>
      </c>
      <c r="D20" s="30" t="inlineStr">
        <is>
          <t>Ratio de solvabilité de la branche épargne (risques longs)</t>
        </is>
      </c>
      <c r="E20" s="30" t="inlineStr">
        <is>
          <t>Actifs admis / Engagements réglementés</t>
        </is>
      </c>
      <c r="F20" s="30" t="inlineStr">
        <is>
          <t>banques et DAT dédiés, FCP / 41195100 + 41195200</t>
        </is>
      </c>
      <c r="G20" s="30" t="inlineStr">
        <is>
          <t>Au moins 1</t>
        </is>
      </c>
      <c r="H20" s="30" t="inlineStr">
        <is>
          <t>Décision n° 05/2022/COM/UEMOA, annexe, section II, § 2.1</t>
        </is>
      </c>
      <c r="I20" s="38" t="n">
        <v>0.0659428540368947</v>
      </c>
      <c r="J20" s="30" t="inlineStr">
        <is>
          <t>Non conforme (indicatif)</t>
        </is>
      </c>
      <c r="K20" s="38" t="n">
        <v>0.1928776764821092</v>
      </c>
      <c r="L20" s="30" t="inlineStr">
        <is>
          <t>Non conforme (indicatif)</t>
        </is>
      </c>
      <c r="M20" s="38" t="n">
        <v>0.09491285816161747</v>
      </c>
      <c r="N20" s="30" t="inlineStr">
        <is>
          <t>Non conforme</t>
        </is>
      </c>
      <c r="O20" s="38" t="n">
        <v>0.09200296264661868</v>
      </c>
      <c r="P20" s="30" t="inlineStr">
        <is>
          <t>Non conforme</t>
        </is>
      </c>
      <c r="Q20" s="38" t="n">
        <v>0.06489769174890359</v>
      </c>
      <c r="R20" s="30" t="inlineStr">
        <is>
          <t>Non conforme</t>
        </is>
      </c>
      <c r="S20" s="38" t="n">
        <v>0.1164143426545503</v>
      </c>
      <c r="T20" s="30" t="inlineStr">
        <is>
          <t>Non conforme</t>
        </is>
      </c>
      <c r="U20" s="38" t="n">
        <v>0.1627899128345373</v>
      </c>
      <c r="V20" s="30" t="inlineStr">
        <is>
          <t>Non conforme (indicatif)</t>
        </is>
      </c>
      <c r="W20" s="30" t="inlineStr">
        <is>
          <t>Non conforme</t>
        </is>
      </c>
      <c r="X20" s="30" t="inlineStr">
        <is>
          <t>Oui</t>
        </is>
      </c>
      <c r="Y20" s="30" t="n"/>
      <c r="Z20" s="30" t="n"/>
      <c r="AA20" s="30" t="n"/>
      <c r="AB20" s="30" t="n"/>
      <c r="AC20" s="30" t="n"/>
      <c r="AD20" s="30" t="n"/>
      <c r="AE20" s="30" t="n"/>
      <c r="AF20" s="30" t="n"/>
      <c r="AG20" s="30" t="n"/>
    </row>
    <row r="21">
      <c r="A21" s="42" t="n">
        <v>11</v>
      </c>
      <c r="B21" s="28" t="inlineStr">
        <is>
          <t>RL2</t>
        </is>
      </c>
      <c r="C21" s="28" t="inlineStr">
        <is>
          <t>Actuariel - risques longs</t>
        </is>
      </c>
      <c r="D21" s="28" t="inlineStr">
        <is>
          <t>Ratio de trésorerie à échéance (risques longs)</t>
        </is>
      </c>
      <c r="E21" s="28" t="inlineStr">
        <is>
          <t>(Valeurs réalisables + disponibles) / Dettes à court terme</t>
        </is>
      </c>
      <c r="F21" s="28" t="inlineStr">
        <is>
          <t>créances court terme + classe 5 débitrice / dettes court terme</t>
        </is>
      </c>
      <c r="G21" s="28" t="inlineStr">
        <is>
          <t>Supérieur à 1</t>
        </is>
      </c>
      <c r="H21" s="28" t="inlineStr">
        <is>
          <t>Décision n° 05/2022/COM/UEMOA, annexe, section II, § 2.2</t>
        </is>
      </c>
      <c r="I21" s="37" t="n">
        <v>0.06573179334827046</v>
      </c>
      <c r="J21" s="28" t="inlineStr">
        <is>
          <t>Non conforme (indicatif)</t>
        </is>
      </c>
      <c r="K21" s="37" t="n">
        <v>0.1993784154489475</v>
      </c>
      <c r="L21" s="28" t="inlineStr">
        <is>
          <t>Non conforme (indicatif)</t>
        </is>
      </c>
      <c r="M21" s="37" t="n">
        <v>0.1160599124860752</v>
      </c>
      <c r="N21" s="28" t="inlineStr">
        <is>
          <t>Non conforme</t>
        </is>
      </c>
      <c r="O21" s="37" t="n">
        <v>0.1147809378756505</v>
      </c>
      <c r="P21" s="28" t="inlineStr">
        <is>
          <t>Non conforme</t>
        </is>
      </c>
      <c r="Q21" s="37" t="n">
        <v>0.1269462369747672</v>
      </c>
      <c r="R21" s="28" t="inlineStr">
        <is>
          <t>Non conforme</t>
        </is>
      </c>
      <c r="S21" s="37" t="n">
        <v>0.1749344871042123</v>
      </c>
      <c r="T21" s="28" t="inlineStr">
        <is>
          <t>Non conforme</t>
        </is>
      </c>
      <c r="U21" s="37" t="n">
        <v>0.1928326849202298</v>
      </c>
      <c r="V21" s="28" t="inlineStr">
        <is>
          <t>Non conforme (indicatif)</t>
        </is>
      </c>
      <c r="W21" s="28" t="inlineStr">
        <is>
          <t>Non conforme</t>
        </is>
      </c>
      <c r="X21" s="28" t="inlineStr">
        <is>
          <t>Oui</t>
        </is>
      </c>
      <c r="Y21" s="28" t="n"/>
      <c r="Z21" s="37" t="n">
        <v>0.231894016334417</v>
      </c>
      <c r="AA21" s="37" t="n">
        <v>0.6566944851376608</v>
      </c>
      <c r="AB21" s="37" t="n">
        <v>0.5612463432117227</v>
      </c>
      <c r="AC21" s="37" t="n">
        <v>0.5665641014892677</v>
      </c>
      <c r="AD21" s="37" t="n">
        <v>0.5866862268263369</v>
      </c>
      <c r="AE21" s="37" t="n">
        <v>1.591373169011476</v>
      </c>
      <c r="AF21" s="37" t="n">
        <v>1.580061497710819</v>
      </c>
      <c r="AG21" s="28" t="inlineStr">
        <is>
          <t>Non conforme</t>
        </is>
      </c>
    </row>
    <row r="22">
      <c r="A22" s="42" t="n">
        <v>12</v>
      </c>
      <c r="B22" s="30" t="inlineStr">
        <is>
          <t>RL3</t>
        </is>
      </c>
      <c r="C22" s="30" t="inlineStr">
        <is>
          <t>Actuariel - risques longs</t>
        </is>
      </c>
      <c r="D22" s="30" t="inlineStr">
        <is>
          <t>Ratio de trésorerie immédiate (risques longs)</t>
        </is>
      </c>
      <c r="E22" s="30" t="inlineStr">
        <is>
          <t>Valeurs disponibles / Dettes à court terme</t>
        </is>
      </c>
      <c r="F22" s="30" t="inlineStr">
        <is>
          <t>classe 5 débitrice / dettes court terme</t>
        </is>
      </c>
      <c r="G22" s="30" t="inlineStr">
        <is>
          <t>Au moins 1</t>
        </is>
      </c>
      <c r="H22" s="30" t="inlineStr">
        <is>
          <t>Décision n° 05/2022/COM/UEMOA, annexe, section II, § 2.3</t>
        </is>
      </c>
      <c r="I22" s="38" t="n">
        <v>0.05831966634847438</v>
      </c>
      <c r="J22" s="30" t="inlineStr">
        <is>
          <t>Non conforme (indicatif)</t>
        </is>
      </c>
      <c r="K22" s="38" t="n">
        <v>0.1928137276458587</v>
      </c>
      <c r="L22" s="30" t="inlineStr">
        <is>
          <t>Non conforme (indicatif)</t>
        </is>
      </c>
      <c r="M22" s="38" t="n">
        <v>0.104440554951509</v>
      </c>
      <c r="N22" s="30" t="inlineStr">
        <is>
          <t>Non conforme</t>
        </is>
      </c>
      <c r="O22" s="38" t="n">
        <v>0.1086583639281966</v>
      </c>
      <c r="P22" s="30" t="inlineStr">
        <is>
          <t>Non conforme</t>
        </is>
      </c>
      <c r="Q22" s="38" t="n">
        <v>0.07119313549763213</v>
      </c>
      <c r="R22" s="30" t="inlineStr">
        <is>
          <t>Non conforme</t>
        </is>
      </c>
      <c r="S22" s="38" t="n">
        <v>0.1265562520616417</v>
      </c>
      <c r="T22" s="30" t="inlineStr">
        <is>
          <t>Non conforme</t>
        </is>
      </c>
      <c r="U22" s="38" t="n">
        <v>0.1873248451328696</v>
      </c>
      <c r="V22" s="30" t="inlineStr">
        <is>
          <t>Non conforme (indicatif)</t>
        </is>
      </c>
      <c r="W22" s="30" t="inlineStr">
        <is>
          <t>Non conforme</t>
        </is>
      </c>
      <c r="X22" s="30" t="inlineStr">
        <is>
          <t>Oui</t>
        </is>
      </c>
      <c r="Y22" s="30" t="n"/>
      <c r="Z22" s="38" t="n">
        <v>0.2057449062613581</v>
      </c>
      <c r="AA22" s="38" t="n">
        <v>0.6350723137143818</v>
      </c>
      <c r="AB22" s="38" t="n">
        <v>0.5050570717651558</v>
      </c>
      <c r="AC22" s="38" t="n">
        <v>0.5363427888606948</v>
      </c>
      <c r="AD22" s="38" t="n">
        <v>0.329021426994674</v>
      </c>
      <c r="AE22" s="38" t="n">
        <v>1.151277985464196</v>
      </c>
      <c r="AF22" s="38" t="n">
        <v>1.534930530483103</v>
      </c>
      <c r="AG22" s="30" t="inlineStr">
        <is>
          <t>Non conforme</t>
        </is>
      </c>
    </row>
    <row r="23">
      <c r="A23" s="42" t="n">
        <v>13</v>
      </c>
      <c r="B23" s="28" t="inlineStr">
        <is>
          <t>RL4</t>
        </is>
      </c>
      <c r="C23" s="28" t="inlineStr">
        <is>
          <t>Actuariel - risques longs</t>
        </is>
      </c>
      <c r="D23" s="28" t="inlineStr">
        <is>
          <t>Réserve de trésorerie des risques longs (un trimestre d'engagements et de frais)</t>
        </is>
      </c>
      <c r="E23" s="28" t="inlineStr">
        <is>
          <t>Réserve de trésorerie constituée / (sorties d'épargne + frais de fonctionnement au prorata) / 4</t>
        </is>
      </c>
      <c r="F23" s="28" t="inlineStr">
        <is>
          <t>aucun compte de réserve de trésorerie identifié</t>
        </is>
      </c>
      <c r="G23" s="28" t="inlineStr">
        <is>
          <t>Au moins 1 trimestre</t>
        </is>
      </c>
      <c r="H23" s="28" t="inlineStr">
        <is>
          <t>Règlement d'exécution n° 004/2022/COM/UEMOA, art. 19, alinéa 3</t>
        </is>
      </c>
      <c r="I23" s="37" t="n">
        <v>0</v>
      </c>
      <c r="J23" s="28" t="inlineStr">
        <is>
          <t>Non conforme (indicatif)</t>
        </is>
      </c>
      <c r="K23" s="37" t="n">
        <v>0</v>
      </c>
      <c r="L23" s="28" t="inlineStr">
        <is>
          <t>Non conforme (indicatif)</t>
        </is>
      </c>
      <c r="M23" s="37" t="n">
        <v>0</v>
      </c>
      <c r="N23" s="28" t="inlineStr">
        <is>
          <t>Non conforme</t>
        </is>
      </c>
      <c r="O23" s="37" t="n">
        <v>0</v>
      </c>
      <c r="P23" s="28" t="inlineStr">
        <is>
          <t>Non conforme</t>
        </is>
      </c>
      <c r="Q23" s="37" t="n">
        <v>0</v>
      </c>
      <c r="R23" s="28" t="inlineStr">
        <is>
          <t>Non conforme</t>
        </is>
      </c>
      <c r="S23" s="37" t="n">
        <v>0</v>
      </c>
      <c r="T23" s="28" t="inlineStr">
        <is>
          <t>Non conforme</t>
        </is>
      </c>
      <c r="U23" s="37" t="n">
        <v>0</v>
      </c>
      <c r="V23" s="28" t="inlineStr">
        <is>
          <t>Non conforme (indicatif)</t>
        </is>
      </c>
      <c r="W23" s="28" t="inlineStr">
        <is>
          <t>Non conforme</t>
        </is>
      </c>
      <c r="X23" s="28" t="inlineStr">
        <is>
          <t>Oui</t>
        </is>
      </c>
      <c r="Y23" s="28" t="n"/>
      <c r="Z23" s="28" t="n"/>
      <c r="AA23" s="28" t="n"/>
      <c r="AB23" s="28" t="n"/>
      <c r="AC23" s="28" t="n"/>
      <c r="AD23" s="28" t="n"/>
      <c r="AE23" s="28" t="n"/>
      <c r="AF23" s="28" t="n"/>
      <c r="AG23" s="28" t="n"/>
    </row>
    <row r="24">
      <c r="A24" s="42" t="n">
        <v>14</v>
      </c>
      <c r="B24" s="30" t="inlineStr">
        <is>
          <t>RL5</t>
        </is>
      </c>
      <c r="C24" s="30" t="inlineStr">
        <is>
          <t>Actuariel - risques longs</t>
        </is>
      </c>
      <c r="D24" s="30" t="inlineStr">
        <is>
          <t>Fonds propres / prestations des risques longs des deux derniers exercices</t>
        </is>
      </c>
      <c r="E24" s="30" t="inlineStr">
        <is>
          <t>Fonds propres / sorties d'épargne des exercices n et n-1</t>
        </is>
      </c>
      <c r="F24" s="30" t="inlineStr">
        <is>
          <t>10 à 14 + résultat / débits de 41195100 et 41195200</t>
        </is>
      </c>
      <c r="G24" s="30" t="inlineStr">
        <is>
          <t>Au moins 1</t>
        </is>
      </c>
      <c r="H24" s="30" t="inlineStr">
        <is>
          <t>Règlement d'exécution n° 004/2022/COM/UEMOA, art. 21</t>
        </is>
      </c>
      <c r="I24" s="30" t="n"/>
      <c r="J24" s="30" t="inlineStr">
        <is>
          <t>En attente</t>
        </is>
      </c>
      <c r="K24" s="38" t="n">
        <v>-2.000324658331696</v>
      </c>
      <c r="L24" s="30" t="inlineStr">
        <is>
          <t>Non conforme (indicatif)</t>
        </is>
      </c>
      <c r="M24" s="38" t="n">
        <v>-0.6544749714362921</v>
      </c>
      <c r="N24" s="30" t="inlineStr">
        <is>
          <t>Non conforme</t>
        </is>
      </c>
      <c r="O24" s="38" t="n">
        <v>-0.3406000719253184</v>
      </c>
      <c r="P24" s="30" t="inlineStr">
        <is>
          <t>Non conforme</t>
        </is>
      </c>
      <c r="Q24" s="38" t="n">
        <v>-0.2078753436137531</v>
      </c>
      <c r="R24" s="30" t="inlineStr">
        <is>
          <t>Non conforme</t>
        </is>
      </c>
      <c r="S24" s="38" t="n">
        <v>-0.1463890121485525</v>
      </c>
      <c r="T24" s="30" t="inlineStr">
        <is>
          <t>Non conforme</t>
        </is>
      </c>
      <c r="U24" s="38" t="n">
        <v>-0.3103322996600214</v>
      </c>
      <c r="V24" s="30" t="inlineStr">
        <is>
          <t>Non conforme (indicatif)</t>
        </is>
      </c>
      <c r="W24" s="30" t="inlineStr">
        <is>
          <t>Non conforme</t>
        </is>
      </c>
      <c r="X24" s="30" t="inlineStr">
        <is>
          <t>Oui</t>
        </is>
      </c>
      <c r="Y24" s="30" t="n"/>
      <c r="Z24" s="30" t="n"/>
      <c r="AA24" s="30" t="n"/>
      <c r="AB24" s="30" t="n"/>
      <c r="AC24" s="30" t="n"/>
      <c r="AD24" s="30" t="n"/>
      <c r="AE24" s="30" t="n"/>
      <c r="AF24" s="30" t="n"/>
      <c r="AG24" s="30" t="n"/>
    </row>
    <row r="25">
      <c r="A25" s="42" t="n">
        <v>15</v>
      </c>
      <c r="B25" s="28" t="inlineStr">
        <is>
          <t>RL6</t>
        </is>
      </c>
      <c r="C25" s="28" t="inlineStr">
        <is>
          <t>Actuariel - risques longs</t>
        </is>
      </c>
      <c r="D25" s="28" t="inlineStr">
        <is>
          <t>Taux brut de rentabilité des placements</t>
        </is>
      </c>
      <c r="E25" s="28" t="inlineStr">
        <is>
          <t>Intérêts perçus / Capital investi</t>
        </is>
      </c>
      <c r="F25" s="28" t="inlineStr">
        <is>
          <t>77 / DAT et FCP moyens</t>
        </is>
      </c>
      <c r="G25" s="28" t="inlineStr">
        <is>
          <t>Au moins le taux moyen du marché</t>
        </is>
      </c>
      <c r="H25" s="28" t="inlineStr">
        <is>
          <t>Décision n° 05/2022/COM/UEMOA, annexe, section II, § 2.4</t>
        </is>
      </c>
      <c r="I25" s="28" t="n"/>
      <c r="J25" s="28" t="inlineStr">
        <is>
          <t>En attente</t>
        </is>
      </c>
      <c r="K25" s="37" t="n">
        <v>0.06198118137710001</v>
      </c>
      <c r="L25" s="28" t="inlineStr">
        <is>
          <t>À apprécier</t>
        </is>
      </c>
      <c r="M25" s="37" t="n">
        <v>0.01302438139479114</v>
      </c>
      <c r="N25" s="28" t="inlineStr">
        <is>
          <t>À apprécier</t>
        </is>
      </c>
      <c r="O25" s="37" t="n">
        <v>0.01276185573574572</v>
      </c>
      <c r="P25" s="28" t="inlineStr">
        <is>
          <t>À apprécier</t>
        </is>
      </c>
      <c r="Q25" s="37" t="n">
        <v>0.01731201345070705</v>
      </c>
      <c r="R25" s="28" t="inlineStr">
        <is>
          <t>À apprécier</t>
        </is>
      </c>
      <c r="S25" s="37" t="n">
        <v>0.228827023659462</v>
      </c>
      <c r="T25" s="28" t="inlineStr">
        <is>
          <t>À apprécier</t>
        </is>
      </c>
      <c r="U25" s="28" t="n"/>
      <c r="V25" s="28" t="inlineStr">
        <is>
          <t>En attente</t>
        </is>
      </c>
      <c r="W25" s="28" t="inlineStr">
        <is>
          <t>À apprécier</t>
        </is>
      </c>
      <c r="X25" s="28" t="inlineStr">
        <is>
          <t>Non</t>
        </is>
      </c>
      <c r="Y25" s="28" t="inlineStr">
        <is>
          <t>Comparé au taux directeur de la BCEAO (partie 9) : appréciation, pas de seuil chiffré.</t>
        </is>
      </c>
      <c r="Z25" s="28" t="n"/>
      <c r="AA25" s="28" t="n"/>
      <c r="AB25" s="28" t="n"/>
      <c r="AC25" s="28" t="n"/>
      <c r="AD25" s="28" t="n"/>
      <c r="AE25" s="28" t="n"/>
      <c r="AF25" s="28" t="n"/>
      <c r="AG25" s="28" t="n"/>
    </row>
    <row r="26">
      <c r="A26" s="42" t="n">
        <v>16</v>
      </c>
      <c r="B26" s="30" t="inlineStr">
        <is>
          <t>RL7</t>
        </is>
      </c>
      <c r="C26" s="30" t="inlineStr">
        <is>
          <t>Actuariel - risques longs</t>
        </is>
      </c>
      <c r="D26" s="30" t="inlineStr">
        <is>
          <t>Solde moyen des comptes courants non rémunérés</t>
        </is>
      </c>
      <c r="E26" s="30" t="inlineStr">
        <is>
          <t>Somme des soldes des comptes courants / nombre de comptes</t>
        </is>
      </c>
      <c r="F26" s="30" t="inlineStr">
        <is>
          <t>521 (soldes aux clôtures)</t>
        </is>
      </c>
      <c r="G26" s="30" t="inlineStr">
        <is>
          <t>Avoisinant zéro</t>
        </is>
      </c>
      <c r="H26" s="30" t="inlineStr">
        <is>
          <t>Décision n° 05/2022/COM/UEMOA, annexe, section II, § 2.5</t>
        </is>
      </c>
      <c r="I26" s="31" t="n">
        <v>348640047</v>
      </c>
      <c r="J26" s="30" t="inlineStr">
        <is>
          <t>À apprécier</t>
        </is>
      </c>
      <c r="K26" s="31" t="n">
        <v>2274615536</v>
      </c>
      <c r="L26" s="30" t="inlineStr">
        <is>
          <t>À apprécier</t>
        </is>
      </c>
      <c r="M26" s="31" t="n">
        <v>638155842</v>
      </c>
      <c r="N26" s="30" t="inlineStr">
        <is>
          <t>À apprécier</t>
        </is>
      </c>
      <c r="O26" s="31" t="n">
        <v>695388139</v>
      </c>
      <c r="P26" s="30" t="inlineStr">
        <is>
          <t>À apprécier</t>
        </is>
      </c>
      <c r="Q26" s="31" t="n">
        <v>438360275</v>
      </c>
      <c r="R26" s="30" t="inlineStr">
        <is>
          <t>À apprécier</t>
        </is>
      </c>
      <c r="S26" s="31" t="n">
        <v>1449586812</v>
      </c>
      <c r="T26" s="30" t="inlineStr">
        <is>
          <t>À apprécier</t>
        </is>
      </c>
      <c r="U26" s="31" t="n">
        <v>2356399123</v>
      </c>
      <c r="V26" s="30" t="inlineStr">
        <is>
          <t>À apprécier</t>
        </is>
      </c>
      <c r="W26" s="30" t="inlineStr">
        <is>
          <t>À apprécier</t>
        </is>
      </c>
      <c r="X26" s="30" t="inlineStr">
        <is>
          <t>Non</t>
        </is>
      </c>
      <c r="Y26" s="30" t="inlineStr">
        <is>
          <t>Norme non chiffrée : appréciation.</t>
        </is>
      </c>
      <c r="Z26" s="30" t="n"/>
      <c r="AA26" s="30" t="n"/>
      <c r="AB26" s="30" t="n"/>
      <c r="AC26" s="30" t="n"/>
      <c r="AD26" s="30" t="n"/>
      <c r="AE26" s="30" t="n"/>
      <c r="AF26" s="30" t="n"/>
      <c r="AG26" s="30" t="n"/>
    </row>
    <row r="27">
      <c r="A27" s="42" t="n">
        <v>17</v>
      </c>
      <c r="B27" s="28" t="inlineStr">
        <is>
          <t>CHF</t>
        </is>
      </c>
      <c r="C27" s="28" t="inlineStr">
        <is>
          <t>Gestion</t>
        </is>
      </c>
      <c r="D27" s="28" t="inlineStr">
        <is>
          <t>Taux des charges de fonctionnement</t>
        </is>
      </c>
      <c r="E27" s="28" t="inlineStr">
        <is>
          <t>Charges de fonctionnement / Cotisations acquises</t>
        </is>
      </c>
      <c r="F27" s="28" t="inlineStr">
        <is>
          <t>612, 613, 618, 62 à 68 / 70 + 7906 - 6906</t>
        </is>
      </c>
      <c r="G27" s="28" t="inlineStr">
        <is>
          <t>Au plus 20 %</t>
        </is>
      </c>
      <c r="H27" s="28" t="inlineStr">
        <is>
          <t>Décision n° 05/2022/COM/UEMOA, annexe, tableau 1, ligne 2 et § 1.2.1.2.1</t>
        </is>
      </c>
      <c r="I27" s="32" t="n">
        <v>0.8430680802761265</v>
      </c>
      <c r="J27" s="28" t="inlineStr">
        <is>
          <t>Non conforme (indicatif)</t>
        </is>
      </c>
      <c r="K27" s="32" t="n">
        <v>0.4800453796500115</v>
      </c>
      <c r="L27" s="28" t="inlineStr">
        <is>
          <t>Non conforme (indicatif)</t>
        </is>
      </c>
      <c r="M27" s="32" t="n">
        <v>0.4735154752022679</v>
      </c>
      <c r="N27" s="28" t="inlineStr">
        <is>
          <t>Non conforme</t>
        </is>
      </c>
      <c r="O27" s="32" t="n">
        <v>0.4482405145921421</v>
      </c>
      <c r="P27" s="28" t="inlineStr">
        <is>
          <t>Non conforme</t>
        </is>
      </c>
      <c r="Q27" s="32" t="n">
        <v>0.3606756953950909</v>
      </c>
      <c r="R27" s="28" t="inlineStr">
        <is>
          <t>Non conforme</t>
        </is>
      </c>
      <c r="S27" s="32" t="n">
        <v>0.3633533094915952</v>
      </c>
      <c r="T27" s="28" t="inlineStr">
        <is>
          <t>Non conforme</t>
        </is>
      </c>
      <c r="U27" s="32" t="n">
        <v>0.4412097684017747</v>
      </c>
      <c r="V27" s="28" t="inlineStr">
        <is>
          <t>Non conforme (indicatif)</t>
        </is>
      </c>
      <c r="W27" s="28" t="inlineStr">
        <is>
          <t>Non conforme</t>
        </is>
      </c>
      <c r="X27" s="28" t="inlineStr">
        <is>
          <t>Oui</t>
        </is>
      </c>
      <c r="Y27" s="28" t="n"/>
      <c r="Z27" s="28" t="n"/>
      <c r="AA27" s="28" t="n"/>
      <c r="AB27" s="28" t="n"/>
      <c r="AC27" s="28" t="n"/>
      <c r="AD27" s="28" t="n"/>
      <c r="AE27" s="28" t="n"/>
      <c r="AF27" s="28" t="n"/>
      <c r="AG27" s="28" t="n"/>
    </row>
    <row r="28">
      <c r="A28" s="42" t="n">
        <v>18</v>
      </c>
      <c r="B28" s="30" t="inlineStr">
        <is>
          <t>CHB</t>
        </is>
      </c>
      <c r="C28" s="30" t="inlineStr">
        <is>
          <t>Gestion</t>
        </is>
      </c>
      <c r="D28" s="30" t="inlineStr">
        <is>
          <t>Taux des charges de fonctionnement brut</t>
        </is>
      </c>
      <c r="E28" s="30" t="inlineStr">
        <is>
          <t>Charges de fonctionnement brut / Total des produits</t>
        </is>
      </c>
      <c r="F28" s="30" t="inlineStr">
        <is>
          <t>61 à 68, 691, 697 / produits (liste de l'annexe)</t>
        </is>
      </c>
      <c r="G28" s="30" t="inlineStr">
        <is>
          <t>Au plus 15 %</t>
        </is>
      </c>
      <c r="H28" s="30" t="inlineStr">
        <is>
          <t>Décision n° 05/2022/COM/UEMOA, annexe, tableau 1, ligne 3 et § 1.2.1.2.2</t>
        </is>
      </c>
      <c r="I28" s="33" t="n">
        <v>0.512972719737433</v>
      </c>
      <c r="J28" s="30" t="inlineStr">
        <is>
          <t>Non conforme (indicatif)</t>
        </is>
      </c>
      <c r="K28" s="33" t="n">
        <v>0.2785718472115408</v>
      </c>
      <c r="L28" s="30" t="inlineStr">
        <is>
          <t>Non conforme (indicatif)</t>
        </is>
      </c>
      <c r="M28" s="33" t="n">
        <v>0.3507645430860432</v>
      </c>
      <c r="N28" s="30" t="inlineStr">
        <is>
          <t>Non conforme</t>
        </is>
      </c>
      <c r="O28" s="33" t="n">
        <v>0.438115371889645</v>
      </c>
      <c r="P28" s="30" t="inlineStr">
        <is>
          <t>Non conforme</t>
        </is>
      </c>
      <c r="Q28" s="33" t="n">
        <v>0.3619683196835955</v>
      </c>
      <c r="R28" s="30" t="inlineStr">
        <is>
          <t>Non conforme</t>
        </is>
      </c>
      <c r="S28" s="33" t="n">
        <v>0.3485748792557832</v>
      </c>
      <c r="T28" s="30" t="inlineStr">
        <is>
          <t>Non conforme</t>
        </is>
      </c>
      <c r="U28" s="33" t="n">
        <v>0.4373951681734312</v>
      </c>
      <c r="V28" s="30" t="inlineStr">
        <is>
          <t>Non conforme (indicatif)</t>
        </is>
      </c>
      <c r="W28" s="30" t="inlineStr">
        <is>
          <t>Non conforme</t>
        </is>
      </c>
      <c r="X28" s="30" t="inlineStr">
        <is>
          <t>Oui</t>
        </is>
      </c>
      <c r="Y28" s="30" t="n"/>
      <c r="Z28" s="30" t="n"/>
      <c r="AA28" s="30" t="n"/>
      <c r="AB28" s="30" t="n"/>
      <c r="AC28" s="30" t="n"/>
      <c r="AD28" s="30" t="n"/>
      <c r="AE28" s="30" t="n"/>
      <c r="AF28" s="30" t="n"/>
      <c r="AG28" s="30" t="n"/>
    </row>
    <row r="29">
      <c r="A29" s="42" t="n">
        <v>19</v>
      </c>
      <c r="B29" s="28" t="inlineStr">
        <is>
          <t>CUP</t>
        </is>
      </c>
      <c r="C29" s="28" t="inlineStr">
        <is>
          <t>Gestion</t>
        </is>
      </c>
      <c r="D29" s="28" t="inlineStr">
        <is>
          <t>Coût par unité monétaire prestée</t>
        </is>
      </c>
      <c r="E29" s="28" t="inlineStr">
        <is>
          <t>Charges de fonctionnement / Charges de prestations</t>
        </is>
      </c>
      <c r="F29" s="28" t="inlineStr">
        <is>
          <t>612, 613, 618, 62 à 68 / 60 + 6901 - 7901</t>
        </is>
      </c>
      <c r="G29" s="28" t="inlineStr">
        <is>
          <t>Au plus 15 %</t>
        </is>
      </c>
      <c r="H29" s="28" t="inlineStr">
        <is>
          <t>Décision n° 05/2022/COM/UEMOA, annexe, tableau 2, ligne 5 et § 1.2.1.2.3</t>
        </is>
      </c>
      <c r="I29" s="32" t="n">
        <v>9.446659554964905</v>
      </c>
      <c r="J29" s="28" t="inlineStr">
        <is>
          <t>Non conforme (indicatif)</t>
        </is>
      </c>
      <c r="K29" s="32" t="n">
        <v>2.31119662380054</v>
      </c>
      <c r="L29" s="28" t="inlineStr">
        <is>
          <t>Non conforme (indicatif)</t>
        </is>
      </c>
      <c r="M29" s="32" t="n">
        <v>5.227769473459005</v>
      </c>
      <c r="N29" s="28" t="inlineStr">
        <is>
          <t>Non conforme</t>
        </is>
      </c>
      <c r="O29" s="32" t="n">
        <v>1.824877310324074</v>
      </c>
      <c r="P29" s="28" t="inlineStr">
        <is>
          <t>Non conforme</t>
        </is>
      </c>
      <c r="Q29" s="32" t="n">
        <v>0.8940316226735395</v>
      </c>
      <c r="R29" s="28" t="inlineStr">
        <is>
          <t>Non conforme</t>
        </is>
      </c>
      <c r="S29" s="32" t="n">
        <v>0.6321308986144274</v>
      </c>
      <c r="T29" s="28" t="inlineStr">
        <is>
          <t>Non conforme</t>
        </is>
      </c>
      <c r="U29" s="32" t="n">
        <v>0.5867401083369672</v>
      </c>
      <c r="V29" s="28" t="inlineStr">
        <is>
          <t>Non conforme (indicatif)</t>
        </is>
      </c>
      <c r="W29" s="28" t="inlineStr">
        <is>
          <t>Non conforme</t>
        </is>
      </c>
      <c r="X29" s="28" t="inlineStr">
        <is>
          <t>Oui</t>
        </is>
      </c>
      <c r="Y29" s="28" t="n"/>
      <c r="Z29" s="28" t="n"/>
      <c r="AA29" s="28" t="n"/>
      <c r="AB29" s="28" t="n"/>
      <c r="AC29" s="28" t="n"/>
      <c r="AD29" s="28" t="n"/>
      <c r="AE29" s="28" t="n"/>
      <c r="AF29" s="28" t="n"/>
      <c r="AG29" s="28" t="n"/>
    </row>
    <row r="30">
      <c r="A30" s="42" t="n">
        <v>20</v>
      </c>
      <c r="B30" s="30" t="inlineStr">
        <is>
          <t>CHP</t>
        </is>
      </c>
      <c r="C30" s="30" t="inlineStr">
        <is>
          <t>Gestion</t>
        </is>
      </c>
      <c r="D30" s="30" t="inlineStr">
        <is>
          <t>Taux de charges de personnel</t>
        </is>
      </c>
      <c r="E30" s="30" t="inlineStr">
        <is>
          <t>Charges de personnel / Charges de fonctionnement brut</t>
        </is>
      </c>
      <c r="F30" s="30" t="inlineStr">
        <is>
          <t>66 / 61 à 68, 691, 697</t>
        </is>
      </c>
      <c r="G30" s="30" t="inlineStr">
        <is>
          <t>Au plus 85 %</t>
        </is>
      </c>
      <c r="H30" s="30" t="inlineStr">
        <is>
          <t>Décision n° 05/2022/COM/UEMOA, annexe, tableau 1, ligne 4 et § 1.2.1.2.4</t>
        </is>
      </c>
      <c r="I30" s="33" t="n">
        <v>0.1108366780728906</v>
      </c>
      <c r="J30" s="30" t="inlineStr">
        <is>
          <t>Conforme (indicatif)</t>
        </is>
      </c>
      <c r="K30" s="33" t="n">
        <v>0.1720374378534361</v>
      </c>
      <c r="L30" s="30" t="inlineStr">
        <is>
          <t>Conforme (indicatif)</t>
        </is>
      </c>
      <c r="M30" s="33" t="n">
        <v>0.1926491362957095</v>
      </c>
      <c r="N30" s="30" t="inlineStr">
        <is>
          <t>Conforme</t>
        </is>
      </c>
      <c r="O30" s="33" t="n">
        <v>0.2321374678175681</v>
      </c>
      <c r="P30" s="30" t="inlineStr">
        <is>
          <t>Conforme</t>
        </is>
      </c>
      <c r="Q30" s="33" t="n">
        <v>0.2482788189783611</v>
      </c>
      <c r="R30" s="30" t="inlineStr">
        <is>
          <t>Conforme</t>
        </is>
      </c>
      <c r="S30" s="33" t="n">
        <v>0.2657335960772857</v>
      </c>
      <c r="T30" s="30" t="inlineStr">
        <is>
          <t>Conforme</t>
        </is>
      </c>
      <c r="U30" s="33" t="n">
        <v>0.258255407917139</v>
      </c>
      <c r="V30" s="30" t="inlineStr">
        <is>
          <t>Conforme (indicatif)</t>
        </is>
      </c>
      <c r="W30" s="30" t="inlineStr">
        <is>
          <t>Conforme</t>
        </is>
      </c>
      <c r="X30" s="30" t="inlineStr">
        <is>
          <t>Non</t>
        </is>
      </c>
      <c r="Y30" s="30" t="n"/>
      <c r="Z30" s="30" t="n"/>
      <c r="AA30" s="30" t="n"/>
      <c r="AB30" s="30" t="n"/>
      <c r="AC30" s="30" t="n"/>
      <c r="AD30" s="30" t="n"/>
      <c r="AE30" s="30" t="n"/>
      <c r="AF30" s="30" t="n"/>
      <c r="AG30" s="30" t="n"/>
    </row>
    <row r="31">
      <c r="A31" s="42" t="n">
        <v>21</v>
      </c>
      <c r="B31" s="28" t="inlineStr">
        <is>
          <t>REC</t>
        </is>
      </c>
      <c r="C31" s="28" t="inlineStr">
        <is>
          <t>Gestion</t>
        </is>
      </c>
      <c r="D31" s="28" t="inlineStr">
        <is>
          <t>Taux de recouvrement des cotisations</t>
        </is>
      </c>
      <c r="E31" s="28" t="inlineStr">
        <is>
          <t>Cotisations recouvrées / Cotisations émises</t>
        </is>
      </c>
      <c r="F31" s="28" t="inlineStr">
        <is>
          <t>fichiers retour / fichiers aller</t>
        </is>
      </c>
      <c r="G31" s="28" t="inlineStr">
        <is>
          <t>Au moins 90 %</t>
        </is>
      </c>
      <c r="H31" s="28" t="inlineStr">
        <is>
          <t>Décision n° 05/2022/COM/UEMOA, annexe, tableau 2, ligne 13 et § 1.2.2.3.1</t>
        </is>
      </c>
      <c r="I31" s="28" t="n"/>
      <c r="J31" s="28" t="inlineStr">
        <is>
          <t>En attente</t>
        </is>
      </c>
      <c r="K31" s="28" t="n"/>
      <c r="L31" s="28" t="inlineStr">
        <is>
          <t>En attente</t>
        </is>
      </c>
      <c r="M31" s="28" t="n"/>
      <c r="N31" s="28" t="inlineStr">
        <is>
          <t>En attente</t>
        </is>
      </c>
      <c r="O31" s="28" t="n"/>
      <c r="P31" s="28" t="inlineStr">
        <is>
          <t>En attente</t>
        </is>
      </c>
      <c r="Q31" s="28" t="n"/>
      <c r="R31" s="28" t="inlineStr">
        <is>
          <t>En attente</t>
        </is>
      </c>
      <c r="S31" s="28" t="n"/>
      <c r="T31" s="28" t="inlineStr">
        <is>
          <t>En attente</t>
        </is>
      </c>
      <c r="U31" s="28" t="n"/>
      <c r="V31" s="28" t="inlineStr">
        <is>
          <t>En attente</t>
        </is>
      </c>
      <c r="W31" s="28" t="inlineStr">
        <is>
          <t>Conforme</t>
        </is>
      </c>
      <c r="X31" s="28" t="inlineStr">
        <is>
          <t>Non</t>
        </is>
      </c>
      <c r="Y31" s="28" t="inlineStr">
        <is>
          <t>Fichiers aller des postes 936 et 8Z6 non reçus. Calculable seulement pour les retraités CGRAE.</t>
        </is>
      </c>
      <c r="Z31" s="28" t="n"/>
      <c r="AA31" s="28" t="n"/>
      <c r="AB31" s="28" t="n"/>
      <c r="AC31" s="28" t="n"/>
      <c r="AD31" s="28" t="n"/>
      <c r="AE31" s="28" t="n"/>
      <c r="AF31" s="28" t="n"/>
      <c r="AG31" s="28" t="n"/>
    </row>
    <row r="32">
      <c r="A32" s="42" t="n">
        <v>22</v>
      </c>
      <c r="B32" s="30" t="inlineStr">
        <is>
          <t>FID</t>
        </is>
      </c>
      <c r="C32" s="30" t="inlineStr">
        <is>
          <t>Gestion</t>
        </is>
      </c>
      <c r="D32" s="30" t="inlineStr">
        <is>
          <t>Taux de fidélisation</t>
        </is>
      </c>
      <c r="E32" s="30" t="inlineStr">
        <is>
          <t>Renouvellements d'adhésion n / Adhérents n-1</t>
        </is>
      </c>
      <c r="F32" s="30" t="inlineStr">
        <is>
          <t>matricules du poste 936 présents en n et n-1</t>
        </is>
      </c>
      <c r="G32" s="30" t="inlineStr">
        <is>
          <t>Au moins 80 %</t>
        </is>
      </c>
      <c r="H32" s="30" t="inlineStr">
        <is>
          <t>Décision n° 05/2022/COM/UEMOA, annexe, tableau 2, ligne 4 et § 1.2.1.1.4</t>
        </is>
      </c>
      <c r="I32" s="30" t="n"/>
      <c r="J32" s="30" t="inlineStr">
        <is>
          <t>En attente</t>
        </is>
      </c>
      <c r="K32" s="30" t="n"/>
      <c r="L32" s="30" t="inlineStr">
        <is>
          <t>En attente</t>
        </is>
      </c>
      <c r="M32" s="30" t="n"/>
      <c r="N32" s="30" t="inlineStr">
        <is>
          <t>En attente</t>
        </is>
      </c>
      <c r="O32" s="30" t="n"/>
      <c r="P32" s="30" t="inlineStr">
        <is>
          <t>En attente</t>
        </is>
      </c>
      <c r="Q32" s="30" t="n"/>
      <c r="R32" s="30" t="inlineStr">
        <is>
          <t>En attente</t>
        </is>
      </c>
      <c r="S32" s="33" t="n">
        <v>0.9648588821250692</v>
      </c>
      <c r="T32" s="30" t="inlineStr">
        <is>
          <t>Conforme</t>
        </is>
      </c>
      <c r="U32" s="33" t="n">
        <v>0.9782595114637346</v>
      </c>
      <c r="V32" s="30" t="inlineStr">
        <is>
          <t>Conforme (indicatif)</t>
        </is>
      </c>
      <c r="W32" s="30" t="inlineStr">
        <is>
          <t>Conforme</t>
        </is>
      </c>
      <c r="X32" s="30" t="inlineStr">
        <is>
          <t>Non</t>
        </is>
      </c>
      <c r="Y32" s="30" t="n"/>
      <c r="Z32" s="30" t="n"/>
      <c r="AA32" s="30" t="n"/>
      <c r="AB32" s="30" t="n"/>
      <c r="AC32" s="30" t="n"/>
      <c r="AD32" s="30" t="n"/>
      <c r="AE32" s="30" t="n"/>
      <c r="AF32" s="30" t="n"/>
      <c r="AG32" s="30" t="n"/>
    </row>
    <row r="33">
      <c r="A33" s="42" t="n">
        <v>23</v>
      </c>
      <c r="B33" s="28" t="inlineStr">
        <is>
          <t>DPP</t>
        </is>
      </c>
      <c r="C33" s="28" t="inlineStr">
        <is>
          <t>Gestion</t>
        </is>
      </c>
      <c r="D33" s="28" t="inlineStr">
        <is>
          <t>Délai moyen de paiement des prestataires de soins</t>
        </is>
      </c>
      <c r="E33" s="28" t="inlineStr">
        <is>
          <t>Dettes envers les prestataires x 365 / Prestations prises en charge</t>
        </is>
      </c>
      <c r="F33" s="28" t="inlineStr">
        <is>
          <t>40110000 x 365 / 60</t>
        </is>
      </c>
      <c r="G33" s="28" t="inlineStr">
        <is>
          <t>Délai contractuel</t>
        </is>
      </c>
      <c r="H33" s="28" t="inlineStr">
        <is>
          <t>Décision n° 05/2022/COM/UEMOA, annexe, tableau 2, ligne 7 et § 1.2.2.3.2</t>
        </is>
      </c>
      <c r="I33" s="29" t="n">
        <v>2427.193785893488</v>
      </c>
      <c r="J33" s="28" t="inlineStr">
        <is>
          <t>À apprécier</t>
        </is>
      </c>
      <c r="K33" s="37" t="n">
        <v>634.7094370519923</v>
      </c>
      <c r="L33" s="28" t="inlineStr">
        <is>
          <t>À apprécier</t>
        </is>
      </c>
      <c r="M33" s="37" t="n">
        <v>840.8571041298487</v>
      </c>
      <c r="N33" s="28" t="inlineStr">
        <is>
          <t>À apprécier</t>
        </is>
      </c>
      <c r="O33" s="37" t="n">
        <v>145.3425987252427</v>
      </c>
      <c r="P33" s="28" t="inlineStr">
        <is>
          <t>À apprécier</t>
        </is>
      </c>
      <c r="Q33" s="37" t="n">
        <v>67.98086388055722</v>
      </c>
      <c r="R33" s="28" t="inlineStr">
        <is>
          <t>À apprécier</t>
        </is>
      </c>
      <c r="S33" s="37" t="n">
        <v>44.98303923837369</v>
      </c>
      <c r="T33" s="28" t="inlineStr">
        <is>
          <t>À apprécier</t>
        </is>
      </c>
      <c r="U33" s="37" t="n">
        <v>93.2409219116372</v>
      </c>
      <c r="V33" s="28" t="inlineStr">
        <is>
          <t>À apprécier</t>
        </is>
      </c>
      <c r="W33" s="28" t="inlineStr">
        <is>
          <t>À apprécier</t>
        </is>
      </c>
      <c r="X33" s="28" t="inlineStr">
        <is>
          <t>Non</t>
        </is>
      </c>
      <c r="Y33" s="28" t="inlineStr">
        <is>
          <t>Délai contractuel des conventions non transmis.</t>
        </is>
      </c>
      <c r="Z33" s="28" t="n"/>
      <c r="AA33" s="28" t="n"/>
      <c r="AB33" s="28" t="n"/>
      <c r="AC33" s="28" t="n"/>
      <c r="AD33" s="28" t="n"/>
      <c r="AE33" s="28" t="n"/>
      <c r="AF33" s="28" t="n"/>
      <c r="AG33" s="28" t="n"/>
    </row>
    <row r="34">
      <c r="A34" s="42" t="n">
        <v>24</v>
      </c>
      <c r="B34" s="30" t="inlineStr">
        <is>
          <t>FOR</t>
        </is>
      </c>
      <c r="C34" s="30" t="inlineStr">
        <is>
          <t>Gestion</t>
        </is>
      </c>
      <c r="D34" s="30" t="inlineStr">
        <is>
          <t>Taux d'investissement brut en formation</t>
        </is>
      </c>
      <c r="E34" s="30" t="inlineStr">
        <is>
          <t>Coût total de formation / Total des produits</t>
        </is>
      </c>
      <c r="F34" s="30" t="inlineStr">
        <is>
          <t>6391 / produits</t>
        </is>
      </c>
      <c r="G34" s="30" t="inlineStr">
        <is>
          <t>Au plus 3 %</t>
        </is>
      </c>
      <c r="H34" s="30" t="inlineStr">
        <is>
          <t>Décision n° 05/2022/COM/UEMOA, annexe, tableau 2, ligne 6 et § 1.2.2.1.1.2</t>
        </is>
      </c>
      <c r="I34" s="33" t="n">
        <v>0</v>
      </c>
      <c r="J34" s="30" t="inlineStr">
        <is>
          <t>Conforme (indicatif)</t>
        </is>
      </c>
      <c r="K34" s="33" t="n">
        <v>1.173149604315315e-05</v>
      </c>
      <c r="L34" s="30" t="inlineStr">
        <is>
          <t>Conforme (indicatif)</t>
        </is>
      </c>
      <c r="M34" s="33" t="n">
        <v>8.498734545933326e-05</v>
      </c>
      <c r="N34" s="30" t="inlineStr">
        <is>
          <t>Conforme</t>
        </is>
      </c>
      <c r="O34" s="33" t="n">
        <v>0.001907010471227613</v>
      </c>
      <c r="P34" s="30" t="inlineStr">
        <is>
          <t>Conforme</t>
        </is>
      </c>
      <c r="Q34" s="33" t="n">
        <v>0.0003714722162387765</v>
      </c>
      <c r="R34" s="30" t="inlineStr">
        <is>
          <t>Conforme</t>
        </is>
      </c>
      <c r="S34" s="33" t="n">
        <v>0.007450522909487228</v>
      </c>
      <c r="T34" s="30" t="inlineStr">
        <is>
          <t>Conforme</t>
        </is>
      </c>
      <c r="U34" s="33" t="n">
        <v>0.0004144115563933815</v>
      </c>
      <c r="V34" s="30" t="inlineStr">
        <is>
          <t>Conforme (indicatif)</t>
        </is>
      </c>
      <c r="W34" s="30" t="inlineStr">
        <is>
          <t>Conforme</t>
        </is>
      </c>
      <c r="X34" s="30" t="inlineStr">
        <is>
          <t>Non</t>
        </is>
      </c>
      <c r="Y34" s="30" t="n"/>
      <c r="Z34" s="30" t="n"/>
      <c r="AA34" s="30" t="n"/>
      <c r="AB34" s="30" t="n"/>
      <c r="AC34" s="30" t="n"/>
      <c r="AD34" s="30" t="n"/>
      <c r="AE34" s="30" t="n"/>
      <c r="AF34" s="30" t="n"/>
      <c r="AG34" s="30" t="n"/>
    </row>
    <row r="35">
      <c r="A35" s="42" t="n">
        <v>25</v>
      </c>
      <c r="B35" s="28" t="inlineStr">
        <is>
          <t>CRB</t>
        </is>
      </c>
      <c r="C35" s="28" t="inlineStr">
        <is>
          <t>Gestion</t>
        </is>
      </c>
      <c r="D35" s="28" t="inlineStr">
        <is>
          <t>Taux de croissance brute des bénéficiaires</t>
        </is>
      </c>
      <c r="E35" s="28" t="inlineStr">
        <is>
          <t>(Bénéficiaires n - n-1) / Bénéficiaires n-1</t>
        </is>
      </c>
      <c r="F35" s="28" t="inlineStr">
        <is>
          <t>adhérents du poste 936 (ayants droit non transmis)</t>
        </is>
      </c>
      <c r="G35" s="28" t="inlineStr">
        <is>
          <t>Objectif du plan de développement stratégique</t>
        </is>
      </c>
      <c r="H35" s="28" t="inlineStr">
        <is>
          <t>Décision n° 05/2022/COM/UEMOA, annexe, tableau 2, ligne 1</t>
        </is>
      </c>
      <c r="I35" s="28" t="n"/>
      <c r="J35" s="28" t="inlineStr">
        <is>
          <t>En attente</t>
        </is>
      </c>
      <c r="K35" s="28" t="n"/>
      <c r="L35" s="28" t="inlineStr">
        <is>
          <t>En attente</t>
        </is>
      </c>
      <c r="M35" s="28" t="n"/>
      <c r="N35" s="28" t="inlineStr">
        <is>
          <t>En attente</t>
        </is>
      </c>
      <c r="O35" s="28" t="n"/>
      <c r="P35" s="28" t="inlineStr">
        <is>
          <t>En attente</t>
        </is>
      </c>
      <c r="Q35" s="28" t="n"/>
      <c r="R35" s="28" t="inlineStr">
        <is>
          <t>En attente</t>
        </is>
      </c>
      <c r="S35" s="37" t="n">
        <v>0.1072910902047592</v>
      </c>
      <c r="T35" s="28" t="inlineStr">
        <is>
          <t>À apprécier</t>
        </is>
      </c>
      <c r="U35" s="28" t="n"/>
      <c r="V35" s="28" t="inlineStr">
        <is>
          <t>En attente</t>
        </is>
      </c>
      <c r="W35" s="28" t="inlineStr">
        <is>
          <t>À apprécier</t>
        </is>
      </c>
      <c r="X35" s="28" t="inlineStr">
        <is>
          <t>Non</t>
        </is>
      </c>
      <c r="Y35" s="28" t="inlineStr">
        <is>
          <t>Plan de développement stratégique non transmis.</t>
        </is>
      </c>
      <c r="Z35" s="28" t="n"/>
      <c r="AA35" s="28" t="n"/>
      <c r="AB35" s="28" t="n"/>
      <c r="AC35" s="28" t="n"/>
      <c r="AD35" s="28" t="n"/>
      <c r="AE35" s="28" t="n"/>
      <c r="AF35" s="28" t="n"/>
      <c r="AG35" s="28" t="n"/>
    </row>
    <row r="36">
      <c r="A36" s="42" t="n">
        <v>26</v>
      </c>
      <c r="B36" s="30" t="inlineStr">
        <is>
          <t>RBA</t>
        </is>
      </c>
      <c r="C36" s="30" t="inlineStr">
        <is>
          <t>Gestion</t>
        </is>
      </c>
      <c r="D36" s="30" t="inlineStr">
        <is>
          <t>Ratio bénéficiaire-adhérent</t>
        </is>
      </c>
      <c r="E36" s="30" t="inlineStr">
        <is>
          <t>Bénéficiaires / Adhérents</t>
        </is>
      </c>
      <c r="F36" s="30" t="inlineStr">
        <is>
          <t>fichier des ayants droit</t>
        </is>
      </c>
      <c r="G36" s="30" t="inlineStr">
        <is>
          <t>Objectif du plan de développement stratégique</t>
        </is>
      </c>
      <c r="H36" s="30" t="inlineStr">
        <is>
          <t>Décision n° 05/2022/COM/UEMOA, annexe, tableau 2, ligne 2</t>
        </is>
      </c>
      <c r="I36" s="30" t="n"/>
      <c r="J36" s="30" t="inlineStr">
        <is>
          <t>En attente</t>
        </is>
      </c>
      <c r="K36" s="30" t="n"/>
      <c r="L36" s="30" t="inlineStr">
        <is>
          <t>En attente</t>
        </is>
      </c>
      <c r="M36" s="30" t="n"/>
      <c r="N36" s="30" t="inlineStr">
        <is>
          <t>En attente</t>
        </is>
      </c>
      <c r="O36" s="30" t="n"/>
      <c r="P36" s="30" t="inlineStr">
        <is>
          <t>En attente</t>
        </is>
      </c>
      <c r="Q36" s="30" t="n"/>
      <c r="R36" s="30" t="inlineStr">
        <is>
          <t>En attente</t>
        </is>
      </c>
      <c r="S36" s="30" t="n"/>
      <c r="T36" s="30" t="inlineStr">
        <is>
          <t>En attente</t>
        </is>
      </c>
      <c r="U36" s="30" t="n"/>
      <c r="V36" s="30" t="inlineStr">
        <is>
          <t>En attente</t>
        </is>
      </c>
      <c r="W36" s="30" t="inlineStr">
        <is>
          <t>En attente</t>
        </is>
      </c>
      <c r="X36" s="30" t="inlineStr">
        <is>
          <t>Non</t>
        </is>
      </c>
      <c r="Y36" s="30" t="inlineStr">
        <is>
          <t>Fichier des ayants droit non transmis.</t>
        </is>
      </c>
      <c r="Z36" s="30" t="n"/>
      <c r="AA36" s="30" t="n"/>
      <c r="AB36" s="30" t="n"/>
      <c r="AC36" s="30" t="n"/>
      <c r="AD36" s="30" t="n"/>
      <c r="AE36" s="30" t="n"/>
      <c r="AF36" s="30" t="n"/>
      <c r="AG36" s="30" t="n"/>
    </row>
    <row r="37">
      <c r="A37" s="42" t="n">
        <v>27</v>
      </c>
      <c r="B37" s="28" t="inlineStr">
        <is>
          <t>PEN</t>
        </is>
      </c>
      <c r="C37" s="28" t="inlineStr">
        <is>
          <t>Gestion</t>
        </is>
      </c>
      <c r="D37" s="28" t="inlineStr">
        <is>
          <t>Taux de pénétration</t>
        </is>
      </c>
      <c r="E37" s="28" t="inlineStr">
        <is>
          <t>Bénéficiaires / Population cible</t>
        </is>
      </c>
      <c r="F37" s="28" t="inlineStr">
        <is>
          <t>effectif de la Police nationale</t>
        </is>
      </c>
      <c r="G37" s="28" t="inlineStr">
        <is>
          <t>Objectif du plan de développement stratégique</t>
        </is>
      </c>
      <c r="H37" s="28" t="inlineStr">
        <is>
          <t>Décision n° 05/2022/COM/UEMOA, annexe, tableau 2, ligne 3</t>
        </is>
      </c>
      <c r="I37" s="28" t="n"/>
      <c r="J37" s="28" t="inlineStr">
        <is>
          <t>En attente</t>
        </is>
      </c>
      <c r="K37" s="28" t="n"/>
      <c r="L37" s="28" t="inlineStr">
        <is>
          <t>En attente</t>
        </is>
      </c>
      <c r="M37" s="28" t="n"/>
      <c r="N37" s="28" t="inlineStr">
        <is>
          <t>En attente</t>
        </is>
      </c>
      <c r="O37" s="28" t="n"/>
      <c r="P37" s="28" t="inlineStr">
        <is>
          <t>En attente</t>
        </is>
      </c>
      <c r="Q37" s="28" t="n"/>
      <c r="R37" s="28" t="inlineStr">
        <is>
          <t>En attente</t>
        </is>
      </c>
      <c r="S37" s="28" t="n"/>
      <c r="T37" s="28" t="inlineStr">
        <is>
          <t>En attente</t>
        </is>
      </c>
      <c r="U37" s="28" t="n"/>
      <c r="V37" s="28" t="inlineStr">
        <is>
          <t>En attente</t>
        </is>
      </c>
      <c r="W37" s="28" t="inlineStr">
        <is>
          <t>En attente</t>
        </is>
      </c>
      <c r="X37" s="28" t="inlineStr">
        <is>
          <t>Non</t>
        </is>
      </c>
      <c r="Y37" s="28" t="inlineStr">
        <is>
          <t>Effectif total de la Police nationale non transmis.</t>
        </is>
      </c>
      <c r="Z37" s="28" t="n"/>
      <c r="AA37" s="28" t="n"/>
      <c r="AB37" s="28" t="n"/>
      <c r="AC37" s="28" t="n"/>
      <c r="AD37" s="28" t="n"/>
      <c r="AE37" s="28" t="n"/>
      <c r="AF37" s="28" t="n"/>
      <c r="AG37" s="28" t="n"/>
    </row>
    <row r="38">
      <c r="A38" s="42" t="n">
        <v>28</v>
      </c>
      <c r="B38" s="30" t="inlineStr">
        <is>
          <t>IND</t>
        </is>
      </c>
      <c r="C38" s="30" t="inlineStr">
        <is>
          <t>Gestion</t>
        </is>
      </c>
      <c r="D38" s="30" t="inlineStr">
        <is>
          <t>Taux de prestations indues</t>
        </is>
      </c>
      <c r="E38" s="30" t="inlineStr">
        <is>
          <t>Prestations indûment payées / Prestations payées</t>
        </is>
      </c>
      <c r="F38" s="30" t="inlineStr">
        <is>
          <t>rapports de contrôle a posteriori</t>
        </is>
      </c>
      <c r="G38" s="30" t="inlineStr">
        <is>
          <t>Au plus 2 %</t>
        </is>
      </c>
      <c r="H38" s="30" t="inlineStr">
        <is>
          <t>Décision n° 05/2022/COM/UEMOA, annexe, tableau 2, ligne 12 et § 1.2.2.3.3</t>
        </is>
      </c>
      <c r="I38" s="30" t="n"/>
      <c r="J38" s="30" t="inlineStr">
        <is>
          <t>En attente</t>
        </is>
      </c>
      <c r="K38" s="30" t="n"/>
      <c r="L38" s="30" t="inlineStr">
        <is>
          <t>En attente</t>
        </is>
      </c>
      <c r="M38" s="30" t="n"/>
      <c r="N38" s="30" t="inlineStr">
        <is>
          <t>En attente</t>
        </is>
      </c>
      <c r="O38" s="30" t="n"/>
      <c r="P38" s="30" t="inlineStr">
        <is>
          <t>En attente</t>
        </is>
      </c>
      <c r="Q38" s="30" t="n"/>
      <c r="R38" s="30" t="inlineStr">
        <is>
          <t>En attente</t>
        </is>
      </c>
      <c r="S38" s="30" t="n"/>
      <c r="T38" s="30" t="inlineStr">
        <is>
          <t>En attente</t>
        </is>
      </c>
      <c r="U38" s="30" t="n"/>
      <c r="V38" s="30" t="inlineStr">
        <is>
          <t>En attente</t>
        </is>
      </c>
      <c r="W38" s="30" t="inlineStr">
        <is>
          <t>En attente</t>
        </is>
      </c>
      <c r="X38" s="30" t="inlineStr">
        <is>
          <t>Non</t>
        </is>
      </c>
      <c r="Y38" s="30" t="inlineStr">
        <is>
          <t>Rapports de contrôle a posteriori non transmis.</t>
        </is>
      </c>
      <c r="Z38" s="30" t="n"/>
      <c r="AA38" s="30" t="n"/>
      <c r="AB38" s="30" t="n"/>
      <c r="AC38" s="30" t="n"/>
      <c r="AD38" s="30" t="n"/>
      <c r="AE38" s="30" t="n"/>
      <c r="AF38" s="30" t="n"/>
      <c r="AG38" s="30" t="n"/>
    </row>
    <row r="39">
      <c r="A39" s="42" t="n">
        <v>29</v>
      </c>
      <c r="B39" s="28" t="inlineStr">
        <is>
          <t>CAP</t>
        </is>
      </c>
      <c r="C39" s="28" t="inlineStr">
        <is>
          <t>Gestion</t>
        </is>
      </c>
      <c r="D39" s="28" t="inlineStr">
        <is>
          <t>Ratio de contrôle a posteriori</t>
        </is>
      </c>
      <c r="E39" s="28" t="inlineStr">
        <is>
          <t>Factures contrôlées / Factures traitées</t>
        </is>
      </c>
      <c r="F39" s="28" t="inlineStr">
        <is>
          <t>registre des contrôles</t>
        </is>
      </c>
      <c r="G39" s="28" t="inlineStr">
        <is>
          <t>Au moins 5 % (10 % pour les risques longs)</t>
        </is>
      </c>
      <c r="H39" s="28" t="inlineStr">
        <is>
          <t>Décision n° 05/2022/COM/UEMOA, annexe, § 1.2.2.4 et section II, § 2.9</t>
        </is>
      </c>
      <c r="I39" s="28" t="n"/>
      <c r="J39" s="28" t="inlineStr">
        <is>
          <t>En attente</t>
        </is>
      </c>
      <c r="K39" s="28" t="n"/>
      <c r="L39" s="28" t="inlineStr">
        <is>
          <t>En attente</t>
        </is>
      </c>
      <c r="M39" s="28" t="n"/>
      <c r="N39" s="28" t="inlineStr">
        <is>
          <t>En attente</t>
        </is>
      </c>
      <c r="O39" s="28" t="n"/>
      <c r="P39" s="28" t="inlineStr">
        <is>
          <t>En attente</t>
        </is>
      </c>
      <c r="Q39" s="28" t="n"/>
      <c r="R39" s="28" t="inlineStr">
        <is>
          <t>En attente</t>
        </is>
      </c>
      <c r="S39" s="28" t="n"/>
      <c r="T39" s="28" t="inlineStr">
        <is>
          <t>En attente</t>
        </is>
      </c>
      <c r="U39" s="28" t="n"/>
      <c r="V39" s="28" t="inlineStr">
        <is>
          <t>En attente</t>
        </is>
      </c>
      <c r="W39" s="28" t="inlineStr">
        <is>
          <t>En attente</t>
        </is>
      </c>
      <c r="X39" s="28" t="inlineStr">
        <is>
          <t>Non</t>
        </is>
      </c>
      <c r="Y39" s="28" t="inlineStr">
        <is>
          <t>Registre des contrôles non transmis.</t>
        </is>
      </c>
      <c r="Z39" s="28" t="n"/>
      <c r="AA39" s="28" t="n"/>
      <c r="AB39" s="28" t="n"/>
      <c r="AC39" s="28" t="n"/>
      <c r="AD39" s="28" t="n"/>
      <c r="AE39" s="28" t="n"/>
      <c r="AF39" s="28" t="n"/>
      <c r="AG39" s="28" t="n"/>
    </row>
    <row r="40">
      <c r="A40" s="42" t="n">
        <v>30</v>
      </c>
      <c r="B40" s="30" t="inlineStr">
        <is>
          <t>DLQ</t>
        </is>
      </c>
      <c r="C40" s="30" t="inlineStr">
        <is>
          <t>Gestion</t>
        </is>
      </c>
      <c r="D40" s="30" t="inlineStr">
        <is>
          <t>Délai de liquidation des premières demandes (risques longs)</t>
        </is>
      </c>
      <c r="E40" s="30" t="inlineStr">
        <is>
          <t>Durée maximale de liquidation</t>
        </is>
      </c>
      <c r="F40" s="30" t="inlineStr">
        <is>
          <t>dossiers avec dates</t>
        </is>
      </c>
      <c r="G40" s="30" t="inlineStr">
        <is>
          <t>Au plus 30 jours</t>
        </is>
      </c>
      <c r="H40" s="30" t="inlineStr">
        <is>
          <t>Décision n° 05/2022/COM/UEMOA, annexe, section II, § 2.7</t>
        </is>
      </c>
      <c r="I40" s="30" t="n"/>
      <c r="J40" s="30" t="inlineStr">
        <is>
          <t>En attente</t>
        </is>
      </c>
      <c r="K40" s="30" t="n"/>
      <c r="L40" s="30" t="inlineStr">
        <is>
          <t>En attente</t>
        </is>
      </c>
      <c r="M40" s="30" t="n"/>
      <c r="N40" s="30" t="inlineStr">
        <is>
          <t>En attente</t>
        </is>
      </c>
      <c r="O40" s="30" t="n"/>
      <c r="P40" s="30" t="inlineStr">
        <is>
          <t>En attente</t>
        </is>
      </c>
      <c r="Q40" s="30" t="n"/>
      <c r="R40" s="30" t="inlineStr">
        <is>
          <t>En attente</t>
        </is>
      </c>
      <c r="S40" s="30" t="n"/>
      <c r="T40" s="30" t="inlineStr">
        <is>
          <t>En attente</t>
        </is>
      </c>
      <c r="U40" s="30" t="n"/>
      <c r="V40" s="30" t="inlineStr">
        <is>
          <t>En attente</t>
        </is>
      </c>
      <c r="W40" s="30" t="inlineStr">
        <is>
          <t>En attente</t>
        </is>
      </c>
      <c r="X40" s="30" t="inlineStr">
        <is>
          <t>Non</t>
        </is>
      </c>
      <c r="Y40" s="30" t="inlineStr">
        <is>
          <t>Dossiers de prestations avec dates non transmis.</t>
        </is>
      </c>
      <c r="Z40" s="30" t="n"/>
      <c r="AA40" s="30" t="n"/>
      <c r="AB40" s="30" t="n"/>
      <c r="AC40" s="30" t="n"/>
      <c r="AD40" s="30" t="n"/>
      <c r="AE40" s="30" t="n"/>
      <c r="AF40" s="30" t="n"/>
      <c r="AG40" s="30" t="n"/>
    </row>
    <row r="41">
      <c r="A41" s="42" t="n">
        <v>31</v>
      </c>
      <c r="B41" s="28" t="inlineStr">
        <is>
          <t>RAT</t>
        </is>
      </c>
      <c r="C41" s="28" t="inlineStr">
        <is>
          <t>Gestion</t>
        </is>
      </c>
      <c r="D41" s="28" t="inlineStr">
        <is>
          <t>Restes à traiter en fin de période (risques longs)</t>
        </is>
      </c>
      <c r="E41" s="28" t="inlineStr">
        <is>
          <t>Dossiers en instance / Dossiers reçus</t>
        </is>
      </c>
      <c r="F41" s="28" t="inlineStr">
        <is>
          <t>dossiers avec statut</t>
        </is>
      </c>
      <c r="G41" s="28" t="inlineStr">
        <is>
          <t>Au plus 5 %</t>
        </is>
      </c>
      <c r="H41" s="28" t="inlineStr">
        <is>
          <t>Décision n° 05/2022/COM/UEMOA, annexe, section II, § 2.8</t>
        </is>
      </c>
      <c r="I41" s="28" t="n"/>
      <c r="J41" s="28" t="inlineStr">
        <is>
          <t>En attente</t>
        </is>
      </c>
      <c r="K41" s="28" t="n"/>
      <c r="L41" s="28" t="inlineStr">
        <is>
          <t>En attente</t>
        </is>
      </c>
      <c r="M41" s="28" t="n"/>
      <c r="N41" s="28" t="inlineStr">
        <is>
          <t>En attente</t>
        </is>
      </c>
      <c r="O41" s="28" t="n"/>
      <c r="P41" s="28" t="inlineStr">
        <is>
          <t>En attente</t>
        </is>
      </c>
      <c r="Q41" s="28" t="n"/>
      <c r="R41" s="28" t="inlineStr">
        <is>
          <t>En attente</t>
        </is>
      </c>
      <c r="S41" s="28" t="n"/>
      <c r="T41" s="28" t="inlineStr">
        <is>
          <t>En attente</t>
        </is>
      </c>
      <c r="U41" s="28" t="n"/>
      <c r="V41" s="28" t="inlineStr">
        <is>
          <t>En attente</t>
        </is>
      </c>
      <c r="W41" s="28" t="inlineStr">
        <is>
          <t>En attente</t>
        </is>
      </c>
      <c r="X41" s="28" t="inlineStr">
        <is>
          <t>Non</t>
        </is>
      </c>
      <c r="Y41" s="28" t="inlineStr">
        <is>
          <t>Dossiers de prestations avec statut non transmis.</t>
        </is>
      </c>
      <c r="Z41" s="28" t="n"/>
      <c r="AA41" s="28" t="n"/>
      <c r="AB41" s="28" t="n"/>
      <c r="AC41" s="28" t="n"/>
      <c r="AD41" s="28" t="n"/>
      <c r="AE41" s="28" t="n"/>
      <c r="AF41" s="28" t="n"/>
      <c r="AG41" s="28" t="n"/>
    </row>
    <row r="42">
      <c r="A42" s="42" t="n">
        <v>32</v>
      </c>
      <c r="B42" s="30" t="inlineStr">
        <is>
          <t>DRB</t>
        </is>
      </c>
      <c r="C42" s="30" t="inlineStr">
        <is>
          <t>Gestion</t>
        </is>
      </c>
      <c r="D42" s="30" t="inlineStr">
        <is>
          <t>Délai de remise en banque des titres de paiement (risques longs)</t>
        </is>
      </c>
      <c r="E42" s="30" t="inlineStr">
        <is>
          <t>Délai de dépôt</t>
        </is>
      </c>
      <c r="F42" s="30" t="inlineStr">
        <is>
          <t>registre des encaissements</t>
        </is>
      </c>
      <c r="G42" s="30" t="inlineStr">
        <is>
          <t>Au plus 1 jour</t>
        </is>
      </c>
      <c r="H42" s="30" t="inlineStr">
        <is>
          <t>Décision n° 05/2022/COM/UEMOA, annexe, section II, § 2.6</t>
        </is>
      </c>
      <c r="I42" s="30" t="n"/>
      <c r="J42" s="30" t="inlineStr">
        <is>
          <t>En attente</t>
        </is>
      </c>
      <c r="K42" s="30" t="n"/>
      <c r="L42" s="30" t="inlineStr">
        <is>
          <t>En attente</t>
        </is>
      </c>
      <c r="M42" s="30" t="n"/>
      <c r="N42" s="30" t="inlineStr">
        <is>
          <t>En attente</t>
        </is>
      </c>
      <c r="O42" s="30" t="n"/>
      <c r="P42" s="30" t="inlineStr">
        <is>
          <t>En attente</t>
        </is>
      </c>
      <c r="Q42" s="30" t="n"/>
      <c r="R42" s="30" t="inlineStr">
        <is>
          <t>En attente</t>
        </is>
      </c>
      <c r="S42" s="30" t="n"/>
      <c r="T42" s="30" t="inlineStr">
        <is>
          <t>En attente</t>
        </is>
      </c>
      <c r="U42" s="30" t="n"/>
      <c r="V42" s="30" t="inlineStr">
        <is>
          <t>En attente</t>
        </is>
      </c>
      <c r="W42" s="30" t="inlineStr">
        <is>
          <t>En attente</t>
        </is>
      </c>
      <c r="X42" s="30" t="inlineStr">
        <is>
          <t>Non</t>
        </is>
      </c>
      <c r="Y42" s="30" t="inlineStr">
        <is>
          <t>Registre des encaissements non transmis.</t>
        </is>
      </c>
      <c r="Z42" s="30" t="n"/>
      <c r="AA42" s="30" t="n"/>
      <c r="AB42" s="30" t="n"/>
      <c r="AC42" s="30" t="n"/>
      <c r="AD42" s="30" t="n"/>
      <c r="AE42" s="30" t="n"/>
      <c r="AF42" s="30" t="n"/>
      <c r="AG42" s="30" t="n"/>
    </row>
    <row r="43">
      <c r="A43" s="42" t="n">
        <v>33</v>
      </c>
      <c r="B43" s="28" t="inlineStr">
        <is>
          <t>FNG</t>
        </is>
      </c>
      <c r="C43" s="28" t="inlineStr">
        <is>
          <t>Gouvernance</t>
        </is>
      </c>
      <c r="D43" s="28" t="inlineStr">
        <is>
          <t>Taux de règlement de la cotisation au Fonds national de garantie</t>
        </is>
      </c>
      <c r="E43" s="28" t="inlineStr">
        <is>
          <t>Montant payé à l'échéance / Cotisation due</t>
        </is>
      </c>
      <c r="F43" s="28" t="inlineStr">
        <is>
          <t>44100000 (aucun compte au FPPN)</t>
        </is>
      </c>
      <c r="G43" s="28" t="inlineStr">
        <is>
          <t>100 %</t>
        </is>
      </c>
      <c r="H43" s="28" t="inlineStr">
        <is>
          <t>Décision n° 05/2022/COM/UEMOA, annexe, tableau 1, ligne 1 ; Règlement n° 07/2009, art. 63</t>
        </is>
      </c>
      <c r="I43" s="28" t="n"/>
      <c r="J43" s="28" t="inlineStr">
        <is>
          <t>En attente</t>
        </is>
      </c>
      <c r="K43" s="28" t="n"/>
      <c r="L43" s="28" t="inlineStr">
        <is>
          <t>En attente</t>
        </is>
      </c>
      <c r="M43" s="28" t="n"/>
      <c r="N43" s="28" t="inlineStr">
        <is>
          <t>En attente</t>
        </is>
      </c>
      <c r="O43" s="28" t="n"/>
      <c r="P43" s="28" t="inlineStr">
        <is>
          <t>En attente</t>
        </is>
      </c>
      <c r="Q43" s="28" t="n"/>
      <c r="R43" s="28" t="inlineStr">
        <is>
          <t>En attente</t>
        </is>
      </c>
      <c r="S43" s="28" t="n"/>
      <c r="T43" s="28" t="inlineStr">
        <is>
          <t>En attente</t>
        </is>
      </c>
      <c r="U43" s="28" t="n"/>
      <c r="V43" s="28" t="inlineStr">
        <is>
          <t>En attente</t>
        </is>
      </c>
      <c r="W43" s="28" t="inlineStr">
        <is>
          <t>En attente</t>
        </is>
      </c>
      <c r="X43" s="28" t="inlineStr">
        <is>
          <t>Non</t>
        </is>
      </c>
      <c r="Y43" s="28" t="inlineStr">
        <is>
          <t>Aucun compte FNG (FOMUS-CI) dans les balances : adhésion et cotisation à confirmer.</t>
        </is>
      </c>
      <c r="Z43" s="28" t="n"/>
      <c r="AA43" s="28" t="n"/>
      <c r="AB43" s="28" t="n"/>
      <c r="AC43" s="28" t="n"/>
      <c r="AD43" s="28" t="n"/>
      <c r="AE43" s="28" t="n"/>
      <c r="AF43" s="28" t="n"/>
      <c r="AG43" s="28" t="n"/>
    </row>
    <row r="44">
      <c r="A44" s="42" t="n">
        <v>34</v>
      </c>
      <c r="B44" s="30" t="inlineStr">
        <is>
          <t>TTR</t>
        </is>
      </c>
      <c r="C44" s="30" t="inlineStr">
        <is>
          <t>Gouvernance</t>
        </is>
      </c>
      <c r="D44" s="30" t="inlineStr">
        <is>
          <t>Taux de tenue des réunions des organes</t>
        </is>
      </c>
      <c r="E44" s="30" t="inlineStr">
        <is>
          <t>Réunions tenues / Réunions statutaires</t>
        </is>
      </c>
      <c r="F44" s="30" t="inlineStr">
        <is>
          <t>procès-verbaux</t>
        </is>
      </c>
      <c r="G44" s="30" t="inlineStr">
        <is>
          <t>100 %</t>
        </is>
      </c>
      <c r="H44" s="30" t="inlineStr">
        <is>
          <t>Décision n° 05/2022/COM/UEMOA, annexe, tableau 1, ligne 6</t>
        </is>
      </c>
      <c r="I44" s="30" t="n"/>
      <c r="J44" s="30" t="inlineStr">
        <is>
          <t>En attente</t>
        </is>
      </c>
      <c r="K44" s="30" t="n"/>
      <c r="L44" s="30" t="inlineStr">
        <is>
          <t>En attente</t>
        </is>
      </c>
      <c r="M44" s="30" t="n"/>
      <c r="N44" s="30" t="inlineStr">
        <is>
          <t>En attente</t>
        </is>
      </c>
      <c r="O44" s="30" t="n"/>
      <c r="P44" s="30" t="inlineStr">
        <is>
          <t>En attente</t>
        </is>
      </c>
      <c r="Q44" s="30" t="n"/>
      <c r="R44" s="30" t="inlineStr">
        <is>
          <t>En attente</t>
        </is>
      </c>
      <c r="S44" s="30" t="n"/>
      <c r="T44" s="30" t="inlineStr">
        <is>
          <t>En attente</t>
        </is>
      </c>
      <c r="U44" s="30" t="n"/>
      <c r="V44" s="30" t="inlineStr">
        <is>
          <t>En attente</t>
        </is>
      </c>
      <c r="W44" s="30" t="inlineStr">
        <is>
          <t>En attente</t>
        </is>
      </c>
      <c r="X44" s="30" t="inlineStr">
        <is>
          <t>Non</t>
        </is>
      </c>
      <c r="Y44" s="30" t="inlineStr">
        <is>
          <t>Procès-verbaux non transmis.</t>
        </is>
      </c>
      <c r="Z44" s="30" t="n"/>
      <c r="AA44" s="30" t="n"/>
      <c r="AB44" s="30" t="n"/>
      <c r="AC44" s="30" t="n"/>
      <c r="AD44" s="30" t="n"/>
      <c r="AE44" s="30" t="n"/>
      <c r="AF44" s="30" t="n"/>
      <c r="AG44" s="30" t="n"/>
    </row>
    <row r="45">
      <c r="A45" s="42" t="n">
        <v>35</v>
      </c>
      <c r="B45" s="28" t="inlineStr">
        <is>
          <t>OSA</t>
        </is>
      </c>
      <c r="C45" s="28" t="inlineStr">
        <is>
          <t>Gouvernance</t>
        </is>
      </c>
      <c r="D45" s="28" t="inlineStr">
        <is>
          <t>Existence et tenue des outils de suivi administratif</t>
        </is>
      </c>
      <c r="E45" s="28" t="inlineStr">
        <is>
          <t>Contrôle sur place et sur pièce</t>
        </is>
      </c>
      <c r="F45" s="28" t="inlineStr">
        <is>
          <t>registres</t>
        </is>
      </c>
      <c r="G45" s="28" t="inlineStr">
        <is>
          <t>Existence et tenue</t>
        </is>
      </c>
      <c r="H45" s="28" t="inlineStr">
        <is>
          <t>Décision n° 05/2022/COM/UEMOA, annexe, tableau 1, ligne 7</t>
        </is>
      </c>
      <c r="I45" s="28" t="n"/>
      <c r="J45" s="28" t="inlineStr">
        <is>
          <t>En attente</t>
        </is>
      </c>
      <c r="K45" s="28" t="n"/>
      <c r="L45" s="28" t="inlineStr">
        <is>
          <t>En attente</t>
        </is>
      </c>
      <c r="M45" s="28" t="n"/>
      <c r="N45" s="28" t="inlineStr">
        <is>
          <t>En attente</t>
        </is>
      </c>
      <c r="O45" s="28" t="n"/>
      <c r="P45" s="28" t="inlineStr">
        <is>
          <t>En attente</t>
        </is>
      </c>
      <c r="Q45" s="28" t="n"/>
      <c r="R45" s="28" t="inlineStr">
        <is>
          <t>En attente</t>
        </is>
      </c>
      <c r="S45" s="28" t="n"/>
      <c r="T45" s="28" t="inlineStr">
        <is>
          <t>En attente</t>
        </is>
      </c>
      <c r="U45" s="28" t="n"/>
      <c r="V45" s="28" t="inlineStr">
        <is>
          <t>En attente</t>
        </is>
      </c>
      <c r="W45" s="28" t="inlineStr">
        <is>
          <t>En attente</t>
        </is>
      </c>
      <c r="X45" s="28" t="inlineStr">
        <is>
          <t>Non</t>
        </is>
      </c>
      <c r="Y45" s="28" t="inlineStr">
        <is>
          <t>Contrôle sur place, hors du champ des données reçues.</t>
        </is>
      </c>
      <c r="Z45" s="28" t="n"/>
      <c r="AA45" s="28" t="n"/>
      <c r="AB45" s="28" t="n"/>
      <c r="AC45" s="28" t="n"/>
      <c r="AD45" s="28" t="n"/>
      <c r="AE45" s="28" t="n"/>
      <c r="AF45" s="28" t="n"/>
      <c r="AG45" s="28" t="n"/>
    </row>
    <row r="46">
      <c r="A46" s="42" t="n">
        <v>36</v>
      </c>
      <c r="B46" s="30" t="inlineStr">
        <is>
          <t>OSF</t>
        </is>
      </c>
      <c r="C46" s="30" t="inlineStr">
        <is>
          <t>Gouvernance</t>
        </is>
      </c>
      <c r="D46" s="30" t="inlineStr">
        <is>
          <t>Existence et tenue des outils de suivi comptable et financier</t>
        </is>
      </c>
      <c r="E46" s="30" t="inlineStr">
        <is>
          <t>Contrôle sur place et sur pièce</t>
        </is>
      </c>
      <c r="F46" s="30" t="inlineStr">
        <is>
          <t>registres</t>
        </is>
      </c>
      <c r="G46" s="30" t="inlineStr">
        <is>
          <t>Existence et tenue</t>
        </is>
      </c>
      <c r="H46" s="30" t="inlineStr">
        <is>
          <t>Décision n° 05/2022/COM/UEMOA, annexe, tableau 1, ligne 8</t>
        </is>
      </c>
      <c r="I46" s="30" t="n"/>
      <c r="J46" s="30" t="inlineStr">
        <is>
          <t>En attente</t>
        </is>
      </c>
      <c r="K46" s="30" t="n"/>
      <c r="L46" s="30" t="inlineStr">
        <is>
          <t>En attente</t>
        </is>
      </c>
      <c r="M46" s="30" t="n"/>
      <c r="N46" s="30" t="inlineStr">
        <is>
          <t>En attente</t>
        </is>
      </c>
      <c r="O46" s="30" t="n"/>
      <c r="P46" s="30" t="inlineStr">
        <is>
          <t>En attente</t>
        </is>
      </c>
      <c r="Q46" s="30" t="n"/>
      <c r="R46" s="30" t="inlineStr">
        <is>
          <t>En attente</t>
        </is>
      </c>
      <c r="S46" s="30" t="n"/>
      <c r="T46" s="30" t="inlineStr">
        <is>
          <t>En attente</t>
        </is>
      </c>
      <c r="U46" s="30" t="n"/>
      <c r="V46" s="30" t="inlineStr">
        <is>
          <t>En attente</t>
        </is>
      </c>
      <c r="W46" s="30" t="inlineStr">
        <is>
          <t>En attente</t>
        </is>
      </c>
      <c r="X46" s="30" t="inlineStr">
        <is>
          <t>Non</t>
        </is>
      </c>
      <c r="Y46" s="30" t="inlineStr">
        <is>
          <t>Contrôle sur place, hors du champ des données reçues.</t>
        </is>
      </c>
      <c r="Z46" s="30" t="n"/>
      <c r="AA46" s="30" t="n"/>
      <c r="AB46" s="30" t="n"/>
      <c r="AC46" s="30" t="n"/>
      <c r="AD46" s="30" t="n"/>
      <c r="AE46" s="30" t="n"/>
      <c r="AF46" s="30" t="n"/>
      <c r="AG46" s="30" t="n"/>
    </row>
    <row r="47"/>
    <row r="48">
      <c r="A48" s="14" t="inlineStr">
        <is>
          <t>Source : balances du FPPN ; Décision n° 05/2022/COM/UEMOA, annexe ; règlement d'exécution n° 004/2022/COM/UEMOA ; calculs Adenka</t>
        </is>
      </c>
    </row>
  </sheetData>
  <mergeCells count="6">
    <mergeCell ref="B5:AG5"/>
    <mergeCell ref="B4:AG4"/>
    <mergeCell ref="B7:AG7"/>
    <mergeCell ref="B6:AG6"/>
    <mergeCell ref="B3:AG3"/>
    <mergeCell ref="B2:AG2"/>
  </mergeCells>
  <pageMargins left="0.75" right="0.75" top="1" bottom="1" header="0.5" footer="0.5"/>
  <pageSetup orientation="landscape" fitToHeight="0" fitToWidth="1"/>
</worksheet>
</file>

<file path=xl/worksheets/sheet37.xml><?xml version="1.0" encoding="utf-8"?>
<worksheet xmlns="http://schemas.openxmlformats.org/spreadsheetml/2006/main">
  <sheetPr>
    <tabColor rgb="00112A40"/>
    <outlinePr summaryBelow="1" summaryRight="1"/>
    <pageSetUpPr fitToPage="1"/>
  </sheetPr>
  <dimension ref="A1:F13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22.55" customWidth="1" min="3" max="3"/>
    <col width="22.55" customWidth="1" min="4" max="4"/>
    <col width="13" customWidth="1" min="5" max="5"/>
    <col width="50" customWidth="1" min="6" max="6"/>
  </cols>
  <sheetData>
    <row r="1">
      <c r="A1" s="7" t="inlineStr">
        <is>
          <t>Tableau : Numérateurs, dénominateurs, valeurs et statuts des ratios</t>
        </is>
      </c>
    </row>
    <row r="2" ht="15" customHeight="1">
      <c r="A2" s="25" t="inlineStr">
        <is>
          <t>À quoi sert cet onglet</t>
        </is>
      </c>
      <c r="B2" s="26" t="inlineStr">
        <is>
          <t>Donner, pour chaque ratio et chaque année, le numérateur et le dénominateur.</t>
        </is>
      </c>
    </row>
    <row r="3" ht="62.5" customHeight="1">
      <c r="A3" s="25" t="inlineStr">
        <is>
          <t>D'où viennent les chiffres</t>
        </is>
      </c>
      <c r="B3" s="26"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25" customHeight="1">
      <c r="A4" s="25" t="inlineStr">
        <is>
          <t>Comment le calcul est fait</t>
        </is>
      </c>
      <c r="B4" s="26" t="inlineStr">
        <is>
          <t>Valeur = numérateur / dénominateur. Les valeurs sont calculées par les scripts de la mission et collées ici ; la formule de chaque colonne est donnée dans « Comment le calcul est fait ».</t>
        </is>
      </c>
    </row>
    <row r="5" ht="15" customHeight="1">
      <c r="A5" s="25" t="inlineStr">
        <is>
          <t>Comment lire le résultat</t>
        </is>
      </c>
      <c r="B5" s="26" t="inlineStr">
        <is>
          <t>Permet de refaire chaque ratio à la main.</t>
        </is>
      </c>
    </row>
    <row r="6" ht="15" customHeight="1">
      <c r="A6" s="25" t="inlineStr">
        <is>
          <t>Valable pour</t>
        </is>
      </c>
      <c r="B6" s="26" t="inlineStr">
        <is>
          <t>2020 à 2026.</t>
        </is>
      </c>
    </row>
    <row r="7" ht="15" customHeight="1">
      <c r="A7" s="25" t="inlineStr">
        <is>
          <t>Limites</t>
        </is>
      </c>
      <c r="B7" s="26" t="inlineStr">
        <is>
          <t>Aucune.</t>
        </is>
      </c>
    </row>
    <row r="8"/>
    <row r="9"/>
    <row r="10" ht="30" customHeight="1">
      <c r="A10" s="8" t="inlineStr">
        <is>
          <t>Code</t>
        </is>
      </c>
      <c r="B10" s="8" t="inlineStr">
        <is>
          <t>Exercice</t>
        </is>
      </c>
      <c r="C10" s="8" t="inlineStr">
        <is>
          <t>Numérateur</t>
        </is>
      </c>
      <c r="D10" s="8" t="inlineStr">
        <is>
          <t>Dénominateur</t>
        </is>
      </c>
      <c r="E10" s="8" t="inlineStr">
        <is>
          <t>Valeur</t>
        </is>
      </c>
      <c r="F10" s="8" t="inlineStr">
        <is>
          <t>Statut</t>
        </is>
      </c>
    </row>
    <row r="11">
      <c r="A11" s="27" t="inlineStr">
        <is>
          <t>SIN</t>
        </is>
      </c>
      <c r="B11" s="35" t="n">
        <v>2020</v>
      </c>
      <c r="C11" s="29" t="n">
        <v>209745391</v>
      </c>
      <c r="D11" s="29" t="n">
        <v>2350217436</v>
      </c>
      <c r="E11" s="32" t="n">
        <v>0.08924510038397997</v>
      </c>
      <c r="F11" s="28" t="inlineStr">
        <is>
          <t>Non conforme (indicatif)</t>
        </is>
      </c>
    </row>
    <row r="12">
      <c r="A12" s="27" t="inlineStr">
        <is>
          <t>SIN</t>
        </is>
      </c>
      <c r="B12" s="36" t="n">
        <v>2021</v>
      </c>
      <c r="C12" s="31" t="n">
        <v>503309837</v>
      </c>
      <c r="D12" s="31" t="n">
        <v>2423204233</v>
      </c>
      <c r="E12" s="33" t="n">
        <v>0.2077042579184039</v>
      </c>
      <c r="F12" s="30" t="inlineStr">
        <is>
          <t>Non conforme (indicatif)</t>
        </is>
      </c>
    </row>
    <row r="13">
      <c r="A13" s="27" t="inlineStr">
        <is>
          <t>SIN</t>
        </is>
      </c>
      <c r="B13" s="35" t="n">
        <v>2022</v>
      </c>
      <c r="C13" s="29" t="n">
        <v>231427773</v>
      </c>
      <c r="D13" s="29" t="n">
        <v>2555040142</v>
      </c>
      <c r="E13" s="32" t="n">
        <v>0.09057696166716429</v>
      </c>
      <c r="F13" s="28" t="inlineStr">
        <is>
          <t>Non conforme</t>
        </is>
      </c>
    </row>
    <row r="14">
      <c r="A14" s="27" t="inlineStr">
        <is>
          <t>SIN</t>
        </is>
      </c>
      <c r="B14" s="36" t="n">
        <v>2023</v>
      </c>
      <c r="C14" s="31" t="n">
        <v>681244362</v>
      </c>
      <c r="D14" s="31" t="n">
        <v>2773482848</v>
      </c>
      <c r="E14" s="33" t="n">
        <v>0.2456277537433684</v>
      </c>
      <c r="F14" s="30" t="inlineStr">
        <is>
          <t>Non conforme</t>
        </is>
      </c>
    </row>
    <row r="15">
      <c r="A15" s="27" t="inlineStr">
        <is>
          <t>SIN</t>
        </is>
      </c>
      <c r="B15" s="35" t="n">
        <v>2024</v>
      </c>
      <c r="C15" s="29" t="n">
        <v>1269021291</v>
      </c>
      <c r="D15" s="29" t="n">
        <v>3145610249</v>
      </c>
      <c r="E15" s="32" t="n">
        <v>0.4034261051264778</v>
      </c>
      <c r="F15" s="28" t="inlineStr">
        <is>
          <t>Non conforme</t>
        </is>
      </c>
    </row>
    <row r="16">
      <c r="A16" s="27" t="inlineStr">
        <is>
          <t>SIN</t>
        </is>
      </c>
      <c r="B16" s="36" t="n">
        <v>2025</v>
      </c>
      <c r="C16" s="31" t="n">
        <v>1964772027</v>
      </c>
      <c r="D16" s="31" t="n">
        <v>3418141722</v>
      </c>
      <c r="E16" s="33" t="n">
        <v>0.574807069687674</v>
      </c>
      <c r="F16" s="30" t="inlineStr">
        <is>
          <t>Non conforme</t>
        </is>
      </c>
    </row>
    <row r="17">
      <c r="A17" s="27" t="inlineStr">
        <is>
          <t>SIN</t>
        </is>
      </c>
      <c r="B17" s="35" t="n">
        <v>2026</v>
      </c>
      <c r="C17" s="29" t="n">
        <v>1798855783</v>
      </c>
      <c r="D17" s="29" t="n">
        <v>2392197346</v>
      </c>
      <c r="E17" s="32" t="n">
        <v>0.7519679703716217</v>
      </c>
      <c r="F17" s="28" t="inlineStr">
        <is>
          <t>Conforme (indicatif)</t>
        </is>
      </c>
    </row>
    <row r="18">
      <c r="A18" s="27" t="inlineStr">
        <is>
          <t>MSE</t>
        </is>
      </c>
      <c r="B18" s="36" t="n">
        <v>2020</v>
      </c>
      <c r="C18" s="31" t="n">
        <v>2899400000</v>
      </c>
      <c r="D18" s="30" t="n"/>
      <c r="E18" s="30" t="n"/>
      <c r="F18" s="30" t="inlineStr">
        <is>
          <t>En attente</t>
        </is>
      </c>
    </row>
    <row r="19">
      <c r="A19" s="27" t="inlineStr">
        <is>
          <t>MSE</t>
        </is>
      </c>
      <c r="B19" s="35" t="n">
        <v>2021</v>
      </c>
      <c r="C19" s="29" t="n">
        <v>2899400000</v>
      </c>
      <c r="D19" s="29" t="n">
        <v>423039138.48</v>
      </c>
      <c r="E19" s="37" t="n">
        <v>6.853739373660991</v>
      </c>
      <c r="F19" s="28" t="inlineStr">
        <is>
          <t>Conforme (indicatif)</t>
        </is>
      </c>
    </row>
    <row r="20">
      <c r="A20" s="27" t="inlineStr">
        <is>
          <t>MSE</t>
        </is>
      </c>
      <c r="B20" s="36" t="n">
        <v>2022</v>
      </c>
      <c r="C20" s="31" t="n">
        <v>2899400000</v>
      </c>
      <c r="D20" s="31" t="n">
        <v>436176761.94</v>
      </c>
      <c r="E20" s="38" t="n">
        <v>6.647305067569919</v>
      </c>
      <c r="F20" s="30" t="inlineStr">
        <is>
          <t>Conforme</t>
        </is>
      </c>
    </row>
    <row r="21">
      <c r="A21" s="27" t="inlineStr">
        <is>
          <t>MSE</t>
        </is>
      </c>
      <c r="B21" s="35" t="n">
        <v>2023</v>
      </c>
      <c r="C21" s="29" t="n">
        <v>3083619879</v>
      </c>
      <c r="D21" s="29" t="n">
        <v>459907225.56</v>
      </c>
      <c r="E21" s="37" t="n">
        <v>6.704873738926956</v>
      </c>
      <c r="F21" s="28" t="inlineStr">
        <is>
          <t>Conforme</t>
        </is>
      </c>
    </row>
    <row r="22">
      <c r="A22" s="27" t="inlineStr">
        <is>
          <t>MSE</t>
        </is>
      </c>
      <c r="B22" s="36" t="n">
        <v>2024</v>
      </c>
      <c r="C22" s="31" t="n">
        <v>3604772176</v>
      </c>
      <c r="D22" s="31" t="n">
        <v>499226912.64</v>
      </c>
      <c r="E22" s="38" t="n">
        <v>7.220708829452581</v>
      </c>
      <c r="F22" s="30" t="inlineStr">
        <is>
          <t>Conforme</t>
        </is>
      </c>
    </row>
    <row r="23">
      <c r="A23" s="27" t="inlineStr">
        <is>
          <t>MSE</t>
        </is>
      </c>
      <c r="B23" s="35" t="n">
        <v>2025</v>
      </c>
      <c r="C23" s="29" t="n">
        <v>4396841817</v>
      </c>
      <c r="D23" s="29" t="n">
        <v>566209844.8199999</v>
      </c>
      <c r="E23" s="37" t="n">
        <v>7.765392737736256</v>
      </c>
      <c r="F23" s="28" t="inlineStr">
        <is>
          <t>Conforme</t>
        </is>
      </c>
    </row>
    <row r="24">
      <c r="A24" s="27" t="inlineStr">
        <is>
          <t>MSE</t>
        </is>
      </c>
      <c r="B24" s="36" t="n">
        <v>2026</v>
      </c>
      <c r="C24" s="31" t="n">
        <v>4396841817</v>
      </c>
      <c r="D24" s="31" t="n">
        <v>615265509.9599999</v>
      </c>
      <c r="E24" s="38" t="n">
        <v>7.146251083188217</v>
      </c>
      <c r="F24" s="30" t="inlineStr">
        <is>
          <t>Conforme (indicatif)</t>
        </is>
      </c>
    </row>
    <row r="25">
      <c r="A25" s="27" t="inlineStr">
        <is>
          <t>ROB</t>
        </is>
      </c>
      <c r="B25" s="35" t="n">
        <v>2020</v>
      </c>
      <c r="C25" s="29" t="n">
        <v>0</v>
      </c>
      <c r="D25" s="29" t="n">
        <v>209745391</v>
      </c>
      <c r="E25" s="37" t="n">
        <v>0</v>
      </c>
      <c r="F25" s="28" t="inlineStr">
        <is>
          <t>Non conforme (indicatif)</t>
        </is>
      </c>
    </row>
    <row r="26">
      <c r="A26" s="27" t="inlineStr">
        <is>
          <t>ROB</t>
        </is>
      </c>
      <c r="B26" s="36" t="n">
        <v>2021</v>
      </c>
      <c r="C26" s="31" t="n">
        <v>0</v>
      </c>
      <c r="D26" s="31" t="n">
        <v>503309837</v>
      </c>
      <c r="E26" s="38" t="n">
        <v>0</v>
      </c>
      <c r="F26" s="30" t="inlineStr">
        <is>
          <t>Non conforme (indicatif)</t>
        </is>
      </c>
    </row>
    <row r="27">
      <c r="A27" s="27" t="inlineStr">
        <is>
          <t>ROB</t>
        </is>
      </c>
      <c r="B27" s="35" t="n">
        <v>2022</v>
      </c>
      <c r="C27" s="29" t="n">
        <v>0</v>
      </c>
      <c r="D27" s="29" t="n">
        <v>231427773</v>
      </c>
      <c r="E27" s="37" t="n">
        <v>0</v>
      </c>
      <c r="F27" s="28" t="inlineStr">
        <is>
          <t>Non conforme</t>
        </is>
      </c>
    </row>
    <row r="28">
      <c r="A28" s="27" t="inlineStr">
        <is>
          <t>ROB</t>
        </is>
      </c>
      <c r="B28" s="36" t="n">
        <v>2023</v>
      </c>
      <c r="C28" s="31" t="n">
        <v>184219879</v>
      </c>
      <c r="D28" s="31" t="n">
        <v>681244362</v>
      </c>
      <c r="E28" s="38" t="n">
        <v>3.245000870920969</v>
      </c>
      <c r="F28" s="30" t="inlineStr">
        <is>
          <t>Non conforme</t>
        </is>
      </c>
    </row>
    <row r="29">
      <c r="A29" s="27" t="inlineStr">
        <is>
          <t>ROB</t>
        </is>
      </c>
      <c r="B29" s="35" t="n">
        <v>2024</v>
      </c>
      <c r="C29" s="29" t="n">
        <v>519246356</v>
      </c>
      <c r="D29" s="29" t="n">
        <v>1269021291</v>
      </c>
      <c r="E29" s="37" t="n">
        <v>4.910048646299662</v>
      </c>
      <c r="F29" s="28" t="inlineStr">
        <is>
          <t>Non conforme</t>
        </is>
      </c>
    </row>
    <row r="30">
      <c r="A30" s="27" t="inlineStr">
        <is>
          <t>ROB</t>
        </is>
      </c>
      <c r="B30" s="36" t="n">
        <v>2025</v>
      </c>
      <c r="C30" s="31" t="n">
        <v>820232819</v>
      </c>
      <c r="D30" s="31" t="n">
        <v>1964772027</v>
      </c>
      <c r="E30" s="38" t="n">
        <v>5.00963658518129</v>
      </c>
      <c r="F30" s="30" t="inlineStr">
        <is>
          <t>Non conforme</t>
        </is>
      </c>
    </row>
    <row r="31">
      <c r="A31" s="27" t="inlineStr">
        <is>
          <t>ROB</t>
        </is>
      </c>
      <c r="B31" s="35" t="n">
        <v>2026</v>
      </c>
      <c r="C31" s="29" t="n">
        <v>820232819</v>
      </c>
      <c r="D31" s="29" t="n">
        <v>1798855783</v>
      </c>
      <c r="E31" s="37" t="n">
        <v>3.647798013610966</v>
      </c>
      <c r="F31" s="28" t="inlineStr">
        <is>
          <t>Non conforme (indicatif)</t>
        </is>
      </c>
    </row>
    <row r="32">
      <c r="A32" s="27" t="inlineStr">
        <is>
          <t>FEP</t>
        </is>
      </c>
      <c r="B32" s="36" t="n">
        <v>2020</v>
      </c>
      <c r="C32" s="31" t="n">
        <v>-1913783443</v>
      </c>
      <c r="D32" s="31" t="n">
        <v>19978787261</v>
      </c>
      <c r="E32" s="38" t="n">
        <v>-0.09579077138159632</v>
      </c>
      <c r="F32" s="30" t="inlineStr">
        <is>
          <t>Non conforme (indicatif)</t>
        </is>
      </c>
    </row>
    <row r="33">
      <c r="A33" s="27" t="inlineStr">
        <is>
          <t>FEP</t>
        </is>
      </c>
      <c r="B33" s="35" t="n">
        <v>2021</v>
      </c>
      <c r="C33" s="29" t="n">
        <v>170124759</v>
      </c>
      <c r="D33" s="29" t="n">
        <v>19593012609</v>
      </c>
      <c r="E33" s="37" t="n">
        <v>0.008682930103451964</v>
      </c>
      <c r="F33" s="28" t="inlineStr">
        <is>
          <t>Non conforme (indicatif)</t>
        </is>
      </c>
    </row>
    <row r="34">
      <c r="A34" s="27" t="inlineStr">
        <is>
          <t>FEP</t>
        </is>
      </c>
      <c r="B34" s="36" t="n">
        <v>2022</v>
      </c>
      <c r="C34" s="31" t="n">
        <v>2230457436</v>
      </c>
      <c r="D34" s="31" t="n">
        <v>16699827402</v>
      </c>
      <c r="E34" s="38" t="n">
        <v>0.1335617058972045</v>
      </c>
      <c r="F34" s="30" t="inlineStr">
        <is>
          <t>Non conforme</t>
        </is>
      </c>
    </row>
    <row r="35">
      <c r="A35" s="27" t="inlineStr">
        <is>
          <t>FEP</t>
        </is>
      </c>
      <c r="B35" s="35" t="n">
        <v>2023</v>
      </c>
      <c r="C35" s="29" t="n">
        <v>3161086538</v>
      </c>
      <c r="D35" s="29" t="n">
        <v>16304419039</v>
      </c>
      <c r="E35" s="37" t="n">
        <v>0.1938791275198898</v>
      </c>
      <c r="F35" s="28" t="inlineStr">
        <is>
          <t>Non conforme</t>
        </is>
      </c>
    </row>
    <row r="36">
      <c r="A36" s="27" t="inlineStr">
        <is>
          <t>FEP</t>
        </is>
      </c>
      <c r="B36" s="36" t="n">
        <v>2024</v>
      </c>
      <c r="C36" s="31" t="n">
        <v>3953156179</v>
      </c>
      <c r="D36" s="31" t="n">
        <v>18627940602</v>
      </c>
      <c r="E36" s="38" t="n">
        <v>0.212216490457113</v>
      </c>
      <c r="F36" s="30" t="inlineStr">
        <is>
          <t>Non conforme</t>
        </is>
      </c>
    </row>
    <row r="37">
      <c r="A37" s="27" t="inlineStr">
        <is>
          <t>FEP</t>
        </is>
      </c>
      <c r="B37" s="35" t="n">
        <v>2025</v>
      </c>
      <c r="C37" s="29" t="n">
        <v>4391056090</v>
      </c>
      <c r="D37" s="29" t="n">
        <v>20393111235</v>
      </c>
      <c r="E37" s="37" t="n">
        <v>0.2153205579766456</v>
      </c>
      <c r="F37" s="28" t="inlineStr">
        <is>
          <t>Non conforme</t>
        </is>
      </c>
    </row>
    <row r="38">
      <c r="A38" s="27" t="inlineStr">
        <is>
          <t>FEP</t>
        </is>
      </c>
      <c r="B38" s="36" t="n">
        <v>2026</v>
      </c>
      <c r="C38" s="31" t="n">
        <v>3949799590</v>
      </c>
      <c r="D38" s="31" t="n">
        <v>22804919566</v>
      </c>
      <c r="E38" s="38" t="n">
        <v>0.1731994528009115</v>
      </c>
      <c r="F38" s="30" t="inlineStr">
        <is>
          <t>Non conforme (indicatif)</t>
        </is>
      </c>
    </row>
    <row r="39">
      <c r="A39" s="27" t="inlineStr">
        <is>
          <t>LIQ</t>
        </is>
      </c>
      <c r="B39" s="35" t="n">
        <v>2020</v>
      </c>
      <c r="C39" s="29" t="n">
        <v>881310155</v>
      </c>
      <c r="D39" s="29" t="n">
        <v>15111714627</v>
      </c>
      <c r="E39" s="37" t="n">
        <v>0.05831966634847438</v>
      </c>
      <c r="F39" s="28" t="inlineStr">
        <is>
          <t>Non conforme (indicatif)</t>
        </is>
      </c>
    </row>
    <row r="40">
      <c r="A40" s="27" t="inlineStr">
        <is>
          <t>LIQ</t>
        </is>
      </c>
      <c r="B40" s="36" t="n">
        <v>2021</v>
      </c>
      <c r="C40" s="31" t="n">
        <v>2809574473</v>
      </c>
      <c r="D40" s="31" t="n">
        <v>14571444198</v>
      </c>
      <c r="E40" s="38" t="n">
        <v>0.1928137276458587</v>
      </c>
      <c r="F40" s="30" t="inlineStr">
        <is>
          <t>Non conforme (indicatif)</t>
        </is>
      </c>
    </row>
    <row r="41">
      <c r="A41" s="27" t="inlineStr">
        <is>
          <t>LIQ</t>
        </is>
      </c>
      <c r="B41" s="35" t="n">
        <v>2022</v>
      </c>
      <c r="C41" s="29" t="n">
        <v>1233051977</v>
      </c>
      <c r="D41" s="29" t="n">
        <v>11806256464</v>
      </c>
      <c r="E41" s="37" t="n">
        <v>0.104440554951509</v>
      </c>
      <c r="F41" s="28" t="inlineStr">
        <is>
          <t>Non conforme</t>
        </is>
      </c>
    </row>
    <row r="42">
      <c r="A42" s="27" t="inlineStr">
        <is>
          <t>LIQ</t>
        </is>
      </c>
      <c r="B42" s="36" t="n">
        <v>2023</v>
      </c>
      <c r="C42" s="31" t="n">
        <v>1242945485</v>
      </c>
      <c r="D42" s="31" t="n">
        <v>11439022640</v>
      </c>
      <c r="E42" s="38" t="n">
        <v>0.1086583639281966</v>
      </c>
      <c r="F42" s="30" t="inlineStr">
        <is>
          <t>Non conforme</t>
        </is>
      </c>
    </row>
    <row r="43">
      <c r="A43" s="27" t="inlineStr">
        <is>
          <t>LIQ</t>
        </is>
      </c>
      <c r="B43" s="35" t="n">
        <v>2024</v>
      </c>
      <c r="C43" s="29" t="n">
        <v>979838445</v>
      </c>
      <c r="D43" s="29" t="n">
        <v>13763102835</v>
      </c>
      <c r="E43" s="37" t="n">
        <v>0.07119313549763213</v>
      </c>
      <c r="F43" s="28" t="inlineStr">
        <is>
          <t>Non conforme</t>
        </is>
      </c>
    </row>
    <row r="44">
      <c r="A44" s="27" t="inlineStr">
        <is>
          <t>LIQ</t>
        </is>
      </c>
      <c r="B44" s="36" t="n">
        <v>2025</v>
      </c>
      <c r="C44" s="31" t="n">
        <v>1964171543</v>
      </c>
      <c r="D44" s="31" t="n">
        <v>15520146267</v>
      </c>
      <c r="E44" s="38" t="n">
        <v>0.1265562520616417</v>
      </c>
      <c r="F44" s="30" t="inlineStr">
        <is>
          <t>Non conforme</t>
        </is>
      </c>
    </row>
    <row r="45">
      <c r="A45" s="27" t="inlineStr">
        <is>
          <t>LIQ</t>
        </is>
      </c>
      <c r="B45" s="35" t="n">
        <v>2026</v>
      </c>
      <c r="C45" s="29" t="n">
        <v>3359100618</v>
      </c>
      <c r="D45" s="29" t="n">
        <v>17931954598</v>
      </c>
      <c r="E45" s="37" t="n">
        <v>0.1873248451328696</v>
      </c>
      <c r="F45" s="28" t="inlineStr">
        <is>
          <t>Non conforme (indicatif)</t>
        </is>
      </c>
    </row>
    <row r="46">
      <c r="A46" s="27" t="inlineStr">
        <is>
          <t>EQS</t>
        </is>
      </c>
      <c r="B46" s="36" t="n">
        <v>2020</v>
      </c>
      <c r="C46" s="31" t="n">
        <v>5420135286</v>
      </c>
      <c r="D46" s="31" t="n">
        <v>-1876009099</v>
      </c>
      <c r="E46" s="38" t="n">
        <v>-2.889183900488107</v>
      </c>
      <c r="F46" s="30" t="inlineStr">
        <is>
          <t>Non conforme (ressources négatives) (indicatif)</t>
        </is>
      </c>
    </row>
    <row r="47">
      <c r="A47" s="27" t="inlineStr">
        <is>
          <t>EQS</t>
        </is>
      </c>
      <c r="B47" s="35" t="n">
        <v>2021</v>
      </c>
      <c r="C47" s="29" t="n">
        <v>4916701524</v>
      </c>
      <c r="D47" s="29" t="n">
        <v>362394880</v>
      </c>
      <c r="E47" s="37" t="n">
        <v>13.56724886400161</v>
      </c>
      <c r="F47" s="28" t="inlineStr">
        <is>
          <t>Non conforme (indicatif)</t>
        </is>
      </c>
    </row>
    <row r="48">
      <c r="A48" s="27" t="inlineStr">
        <is>
          <t>EQS</t>
        </is>
      </c>
      <c r="B48" s="36" t="n">
        <v>2022</v>
      </c>
      <c r="C48" s="31" t="n">
        <v>4888463485</v>
      </c>
      <c r="D48" s="31" t="n">
        <v>2294730084</v>
      </c>
      <c r="E48" s="38" t="n">
        <v>2.130299994358726</v>
      </c>
      <c r="F48" s="30" t="inlineStr">
        <is>
          <t>Non conforme</t>
        </is>
      </c>
    </row>
    <row r="49">
      <c r="A49" s="27" t="inlineStr">
        <is>
          <t>EQS</t>
        </is>
      </c>
      <c r="B49" s="35" t="n">
        <v>2023</v>
      </c>
      <c r="C49" s="29" t="n">
        <v>5151329261</v>
      </c>
      <c r="D49" s="29" t="n">
        <v>3197184647</v>
      </c>
      <c r="E49" s="37" t="n">
        <v>1.611207931275919</v>
      </c>
      <c r="F49" s="28" t="inlineStr">
        <is>
          <t>Non conforme</t>
        </is>
      </c>
    </row>
    <row r="50">
      <c r="A50" s="27" t="inlineStr">
        <is>
          <t>EQS</t>
        </is>
      </c>
      <c r="B50" s="36" t="n">
        <v>2024</v>
      </c>
      <c r="C50" s="31" t="n">
        <v>6790107498</v>
      </c>
      <c r="D50" s="31" t="n">
        <v>3988695656</v>
      </c>
      <c r="E50" s="38" t="n">
        <v>1.702337827601856</v>
      </c>
      <c r="F50" s="30" t="inlineStr">
        <is>
          <t>Non conforme</t>
        </is>
      </c>
    </row>
    <row r="51">
      <c r="A51" s="27" t="inlineStr">
        <is>
          <t>EQS</t>
        </is>
      </c>
      <c r="B51" s="35" t="n">
        <v>2025</v>
      </c>
      <c r="C51" s="29" t="n">
        <v>6814784076</v>
      </c>
      <c r="D51" s="29" t="n">
        <v>4434722768</v>
      </c>
      <c r="E51" s="37" t="n">
        <v>1.536687732810269</v>
      </c>
      <c r="F51" s="28" t="inlineStr">
        <is>
          <t>Non conforme</t>
        </is>
      </c>
    </row>
    <row r="52">
      <c r="A52" s="27" t="inlineStr">
        <is>
          <t>EQS</t>
        </is>
      </c>
      <c r="B52" s="36" t="n">
        <v>2026</v>
      </c>
      <c r="C52" s="31" t="n">
        <v>6863564240</v>
      </c>
      <c r="D52" s="31" t="n">
        <v>3993466268</v>
      </c>
      <c r="E52" s="38" t="n">
        <v>1.718698438746898</v>
      </c>
      <c r="F52" s="30" t="inlineStr">
        <is>
          <t>Non conforme (indicatif)</t>
        </is>
      </c>
    </row>
    <row r="53">
      <c r="A53" s="27" t="inlineStr">
        <is>
          <t>AUT</t>
        </is>
      </c>
      <c r="B53" s="35" t="n">
        <v>2020</v>
      </c>
      <c r="C53" s="29" t="n">
        <v>2350217436</v>
      </c>
      <c r="D53" s="29" t="n">
        <v>2899992006</v>
      </c>
      <c r="E53" s="37" t="n">
        <v>0.8104220394875116</v>
      </c>
      <c r="F53" s="28" t="inlineStr">
        <is>
          <t>Non conforme (indicatif)</t>
        </is>
      </c>
    </row>
    <row r="54">
      <c r="A54" s="27" t="inlineStr">
        <is>
          <t>AUT</t>
        </is>
      </c>
      <c r="B54" s="36" t="n">
        <v>2021</v>
      </c>
      <c r="C54" s="31" t="n">
        <v>2423204233</v>
      </c>
      <c r="D54" s="31" t="n">
        <v>2178122814</v>
      </c>
      <c r="E54" s="38" t="n">
        <v>1.112519559239142</v>
      </c>
      <c r="F54" s="30" t="inlineStr">
        <is>
          <t>Conforme (indicatif)</t>
        </is>
      </c>
    </row>
    <row r="55">
      <c r="A55" s="27" t="inlineStr">
        <is>
          <t>AUT</t>
        </is>
      </c>
      <c r="B55" s="35" t="n">
        <v>2022</v>
      </c>
      <c r="C55" s="29" t="n">
        <v>2555040142</v>
      </c>
      <c r="D55" s="29" t="n">
        <v>1469604614</v>
      </c>
      <c r="E55" s="37" t="n">
        <v>1.738590174295683</v>
      </c>
      <c r="F55" s="28" t="inlineStr">
        <is>
          <t>Conforme</t>
        </is>
      </c>
    </row>
    <row r="56">
      <c r="A56" s="27" t="inlineStr">
        <is>
          <t>AUT</t>
        </is>
      </c>
      <c r="B56" s="36" t="n">
        <v>2023</v>
      </c>
      <c r="C56" s="31" t="n">
        <v>2773482848</v>
      </c>
      <c r="D56" s="31" t="n">
        <v>1987550994</v>
      </c>
      <c r="E56" s="38" t="n">
        <v>1.39542726519851</v>
      </c>
      <c r="F56" s="30" t="inlineStr">
        <is>
          <t>Conforme</t>
        </is>
      </c>
    </row>
    <row r="57">
      <c r="A57" s="27" t="inlineStr">
        <is>
          <t>AUT</t>
        </is>
      </c>
      <c r="B57" s="35" t="n">
        <v>2024</v>
      </c>
      <c r="C57" s="29" t="n">
        <v>3145610249</v>
      </c>
      <c r="D57" s="29" t="n">
        <v>2438320002</v>
      </c>
      <c r="E57" s="37" t="n">
        <v>1.290072774049286</v>
      </c>
      <c r="F57" s="28" t="inlineStr">
        <is>
          <t>Conforme</t>
        </is>
      </c>
    </row>
    <row r="58">
      <c r="A58" s="27" t="inlineStr">
        <is>
          <t>AUT</t>
        </is>
      </c>
      <c r="B58" s="36" t="n">
        <v>2025</v>
      </c>
      <c r="C58" s="31" t="n">
        <v>3418141722</v>
      </c>
      <c r="D58" s="31" t="n">
        <v>3250431812</v>
      </c>
      <c r="E58" s="38" t="n">
        <v>1.051596193890561</v>
      </c>
      <c r="F58" s="30" t="inlineStr">
        <is>
          <t>Conforme</t>
        </is>
      </c>
    </row>
    <row r="59">
      <c r="A59" s="27" t="inlineStr">
        <is>
          <t>AUT</t>
        </is>
      </c>
      <c r="B59" s="35" t="n">
        <v>2026</v>
      </c>
      <c r="C59" s="29" t="n">
        <v>2392197346</v>
      </c>
      <c r="D59" s="29" t="n">
        <v>2854316620</v>
      </c>
      <c r="E59" s="37" t="n">
        <v>0.8380981034963108</v>
      </c>
      <c r="F59" s="28" t="inlineStr">
        <is>
          <t>Non conforme (indicatif)</t>
        </is>
      </c>
    </row>
    <row r="60">
      <c r="A60" s="27" t="inlineStr">
        <is>
          <t>EXN</t>
        </is>
      </c>
      <c r="B60" s="36" t="n">
        <v>2020</v>
      </c>
      <c r="C60" s="31" t="n">
        <v>1018579699</v>
      </c>
      <c r="D60" s="31" t="n">
        <v>2350217436</v>
      </c>
      <c r="E60" s="33" t="n">
        <v>0.4333980692159242</v>
      </c>
      <c r="F60" s="30" t="inlineStr">
        <is>
          <t>Non conforme (indicatif)</t>
        </is>
      </c>
    </row>
    <row r="61">
      <c r="A61" s="27" t="inlineStr">
        <is>
          <t>EXN</t>
        </is>
      </c>
      <c r="B61" s="35" t="n">
        <v>2021</v>
      </c>
      <c r="C61" s="29" t="n">
        <v>2083908202</v>
      </c>
      <c r="D61" s="29" t="n">
        <v>2423204233</v>
      </c>
      <c r="E61" s="32" t="n">
        <v>0.8599804232844455</v>
      </c>
      <c r="F61" s="28" t="inlineStr">
        <is>
          <t>Non conforme (indicatif)</t>
        </is>
      </c>
    </row>
    <row r="62">
      <c r="A62" s="27" t="inlineStr">
        <is>
          <t>EXN</t>
        </is>
      </c>
      <c r="B62" s="36" t="n">
        <v>2022</v>
      </c>
      <c r="C62" s="31" t="n">
        <v>2060332677</v>
      </c>
      <c r="D62" s="31" t="n">
        <v>2555040142</v>
      </c>
      <c r="E62" s="33" t="n">
        <v>0.8063797680247953</v>
      </c>
      <c r="F62" s="30" t="inlineStr">
        <is>
          <t>Non conforme</t>
        </is>
      </c>
    </row>
    <row r="63">
      <c r="A63" s="27" t="inlineStr">
        <is>
          <t>EXN</t>
        </is>
      </c>
      <c r="B63" s="35" t="n">
        <v>2023</v>
      </c>
      <c r="C63" s="29" t="n">
        <v>930629102</v>
      </c>
      <c r="D63" s="29" t="n">
        <v>2773482848</v>
      </c>
      <c r="E63" s="32" t="n">
        <v>0.3355452883622809</v>
      </c>
      <c r="F63" s="28" t="inlineStr">
        <is>
          <t>Non conforme</t>
        </is>
      </c>
    </row>
    <row r="64">
      <c r="A64" s="27" t="inlineStr">
        <is>
          <t>EXN</t>
        </is>
      </c>
      <c r="B64" s="36" t="n">
        <v>2024</v>
      </c>
      <c r="C64" s="31" t="n">
        <v>792069641</v>
      </c>
      <c r="D64" s="31" t="n">
        <v>3145610249</v>
      </c>
      <c r="E64" s="33" t="n">
        <v>0.2518015832545693</v>
      </c>
      <c r="F64" s="30" t="inlineStr">
        <is>
          <t>Non conforme</t>
        </is>
      </c>
    </row>
    <row r="65">
      <c r="A65" s="27" t="inlineStr">
        <is>
          <t>EXN</t>
        </is>
      </c>
      <c r="B65" s="35" t="n">
        <v>2025</v>
      </c>
      <c r="C65" s="29" t="n">
        <v>437899911</v>
      </c>
      <c r="D65" s="29" t="n">
        <v>3418141722</v>
      </c>
      <c r="E65" s="32" t="n">
        <v>0.1281105192864206</v>
      </c>
      <c r="F65" s="28" t="inlineStr">
        <is>
          <t>Non conforme</t>
        </is>
      </c>
    </row>
    <row r="66">
      <c r="A66" s="27" t="inlineStr">
        <is>
          <t>EXN</t>
        </is>
      </c>
      <c r="B66" s="36" t="n">
        <v>2026</v>
      </c>
      <c r="C66" s="31" t="n">
        <v>-441256500</v>
      </c>
      <c r="D66" s="31" t="n">
        <v>2392197346</v>
      </c>
      <c r="E66" s="33" t="n">
        <v>-0.1844565628073395</v>
      </c>
      <c r="F66" s="30" t="inlineStr">
        <is>
          <t>Non conforme (ressources négatives) (indicatif)</t>
        </is>
      </c>
    </row>
    <row r="67">
      <c r="A67" s="27" t="inlineStr">
        <is>
          <t>TFP</t>
        </is>
      </c>
      <c r="B67" s="35" t="n">
        <v>2020</v>
      </c>
      <c r="C67" s="29" t="n">
        <v>3918571705</v>
      </c>
      <c r="D67" s="29" t="n">
        <v>2899992006</v>
      </c>
      <c r="E67" s="32" t="n">
        <v>1.351235347163919</v>
      </c>
      <c r="F67" s="28" t="inlineStr">
        <is>
          <t>Conforme (indicatif)</t>
        </is>
      </c>
    </row>
    <row r="68">
      <c r="A68" s="27" t="inlineStr">
        <is>
          <t>TFP</t>
        </is>
      </c>
      <c r="B68" s="36" t="n">
        <v>2021</v>
      </c>
      <c r="C68" s="31" t="n">
        <v>4262031016</v>
      </c>
      <c r="D68" s="31" t="n">
        <v>2178122814</v>
      </c>
      <c r="E68" s="33" t="n">
        <v>1.956745041466702</v>
      </c>
      <c r="F68" s="30" t="inlineStr">
        <is>
          <t>Conforme (indicatif)</t>
        </is>
      </c>
    </row>
    <row r="69">
      <c r="A69" s="27" t="inlineStr">
        <is>
          <t>TFP</t>
        </is>
      </c>
      <c r="B69" s="35" t="n">
        <v>2022</v>
      </c>
      <c r="C69" s="29" t="n">
        <v>3529937291</v>
      </c>
      <c r="D69" s="29" t="n">
        <v>1469604614</v>
      </c>
      <c r="E69" s="32" t="n">
        <v>2.401963941438741</v>
      </c>
      <c r="F69" s="28" t="inlineStr">
        <is>
          <t>Conforme</t>
        </is>
      </c>
    </row>
    <row r="70">
      <c r="A70" s="27" t="inlineStr">
        <is>
          <t>TFP</t>
        </is>
      </c>
      <c r="B70" s="36" t="n">
        <v>2023</v>
      </c>
      <c r="C70" s="31" t="n">
        <v>2918180096</v>
      </c>
      <c r="D70" s="31" t="n">
        <v>1987550994</v>
      </c>
      <c r="E70" s="33" t="n">
        <v>1.468229044089623</v>
      </c>
      <c r="F70" s="30" t="inlineStr">
        <is>
          <t>Conforme</t>
        </is>
      </c>
    </row>
    <row r="71">
      <c r="A71" s="27" t="inlineStr">
        <is>
          <t>TFP</t>
        </is>
      </c>
      <c r="B71" s="35" t="n">
        <v>2024</v>
      </c>
      <c r="C71" s="29" t="n">
        <v>3230389643</v>
      </c>
      <c r="D71" s="29" t="n">
        <v>2438320002</v>
      </c>
      <c r="E71" s="32" t="n">
        <v>1.324842367019224</v>
      </c>
      <c r="F71" s="28" t="inlineStr">
        <is>
          <t>Conforme</t>
        </is>
      </c>
    </row>
    <row r="72">
      <c r="A72" s="27" t="inlineStr">
        <is>
          <t>TFP</t>
        </is>
      </c>
      <c r="B72" s="36" t="n">
        <v>2025</v>
      </c>
      <c r="C72" s="31" t="n">
        <v>3688331723</v>
      </c>
      <c r="D72" s="31" t="n">
        <v>3250431812</v>
      </c>
      <c r="E72" s="33" t="n">
        <v>1.134720534478943</v>
      </c>
      <c r="F72" s="30" t="inlineStr">
        <is>
          <t>Conforme</t>
        </is>
      </c>
    </row>
    <row r="73">
      <c r="A73" s="27" t="inlineStr">
        <is>
          <t>TFP</t>
        </is>
      </c>
      <c r="B73" s="35" t="n">
        <v>2026</v>
      </c>
      <c r="C73" s="29" t="n">
        <v>2413060120</v>
      </c>
      <c r="D73" s="29" t="n">
        <v>2854316620</v>
      </c>
      <c r="E73" s="32" t="n">
        <v>0.8454073045337206</v>
      </c>
      <c r="F73" s="28" t="inlineStr">
        <is>
          <t>Non conforme (indicatif)</t>
        </is>
      </c>
    </row>
    <row r="74">
      <c r="A74" s="27" t="inlineStr">
        <is>
          <t>RL1</t>
        </is>
      </c>
      <c r="B74" s="36" t="n">
        <v>2020</v>
      </c>
      <c r="C74" s="31" t="n">
        <v>714042784</v>
      </c>
      <c r="D74" s="31" t="n">
        <v>10828205640</v>
      </c>
      <c r="E74" s="38" t="n">
        <v>0.0659428540368947</v>
      </c>
      <c r="F74" s="30" t="inlineStr">
        <is>
          <t>Non conforme (indicatif)</t>
        </is>
      </c>
    </row>
    <row r="75">
      <c r="A75" s="27" t="inlineStr">
        <is>
          <t>RL1</t>
        </is>
      </c>
      <c r="B75" s="35" t="n">
        <v>2021</v>
      </c>
      <c r="C75" s="29" t="n">
        <v>1957211038</v>
      </c>
      <c r="D75" s="29" t="n">
        <v>10147421276</v>
      </c>
      <c r="E75" s="37" t="n">
        <v>0.1928776764821092</v>
      </c>
      <c r="F75" s="28" t="inlineStr">
        <is>
          <t>Non conforme (indicatif)</t>
        </is>
      </c>
    </row>
    <row r="76">
      <c r="A76" s="27" t="inlineStr">
        <is>
          <t>RL1</t>
        </is>
      </c>
      <c r="B76" s="36" t="n">
        <v>2022</v>
      </c>
      <c r="C76" s="31" t="n">
        <v>888844233</v>
      </c>
      <c r="D76" s="31" t="n">
        <v>9364845293</v>
      </c>
      <c r="E76" s="38" t="n">
        <v>0.09491285816161747</v>
      </c>
      <c r="F76" s="30" t="inlineStr">
        <is>
          <t>Non conforme</t>
        </is>
      </c>
    </row>
    <row r="77">
      <c r="A77" s="27" t="inlineStr">
        <is>
          <t>RL1</t>
        </is>
      </c>
      <c r="B77" s="35" t="n">
        <v>2023</v>
      </c>
      <c r="C77" s="29" t="n">
        <v>839212069</v>
      </c>
      <c r="D77" s="29" t="n">
        <v>9121576576</v>
      </c>
      <c r="E77" s="37" t="n">
        <v>0.09200296264661868</v>
      </c>
      <c r="F77" s="28" t="inlineStr">
        <is>
          <t>Non conforme</t>
        </is>
      </c>
    </row>
    <row r="78">
      <c r="A78" s="27" t="inlineStr">
        <is>
          <t>RL1</t>
        </is>
      </c>
      <c r="B78" s="36" t="n">
        <v>2024</v>
      </c>
      <c r="C78" s="31" t="n">
        <v>699925787</v>
      </c>
      <c r="D78" s="31" t="n">
        <v>10785064432</v>
      </c>
      <c r="E78" s="38" t="n">
        <v>0.06489769174890359</v>
      </c>
      <c r="F78" s="30" t="inlineStr">
        <is>
          <t>Non conforme</t>
        </is>
      </c>
    </row>
    <row r="79">
      <c r="A79" s="27" t="inlineStr">
        <is>
          <t>RL1</t>
        </is>
      </c>
      <c r="B79" s="35" t="n">
        <v>2025</v>
      </c>
      <c r="C79" s="29" t="n">
        <v>1608155525</v>
      </c>
      <c r="D79" s="29" t="n">
        <v>13814066964</v>
      </c>
      <c r="E79" s="37" t="n">
        <v>0.1164143426545503</v>
      </c>
      <c r="F79" s="28" t="inlineStr">
        <is>
          <t>Non conforme</t>
        </is>
      </c>
    </row>
    <row r="80">
      <c r="A80" s="27" t="inlineStr">
        <is>
          <t>RL1</t>
        </is>
      </c>
      <c r="B80" s="36" t="n">
        <v>2026</v>
      </c>
      <c r="C80" s="31" t="n">
        <v>2562885661</v>
      </c>
      <c r="D80" s="31" t="n">
        <v>15743516391</v>
      </c>
      <c r="E80" s="38" t="n">
        <v>0.1627899128345373</v>
      </c>
      <c r="F80" s="30" t="inlineStr">
        <is>
          <t>Non conforme (indicatif)</t>
        </is>
      </c>
    </row>
    <row r="81">
      <c r="A81" s="27" t="inlineStr">
        <is>
          <t>RL2</t>
        </is>
      </c>
      <c r="B81" s="35" t="n">
        <v>2020</v>
      </c>
      <c r="C81" s="29" t="n">
        <v>993320103</v>
      </c>
      <c r="D81" s="29" t="n">
        <v>15111714627</v>
      </c>
      <c r="E81" s="37" t="n">
        <v>0.06573179334827046</v>
      </c>
      <c r="F81" s="28" t="inlineStr">
        <is>
          <t>Non conforme (indicatif)</t>
        </is>
      </c>
    </row>
    <row r="82">
      <c r="A82" s="27" t="inlineStr">
        <is>
          <t>RL2</t>
        </is>
      </c>
      <c r="B82" s="36" t="n">
        <v>2021</v>
      </c>
      <c r="C82" s="31" t="n">
        <v>2905231455</v>
      </c>
      <c r="D82" s="31" t="n">
        <v>14571444198</v>
      </c>
      <c r="E82" s="38" t="n">
        <v>0.1993784154489475</v>
      </c>
      <c r="F82" s="30" t="inlineStr">
        <is>
          <t>Non conforme (indicatif)</t>
        </is>
      </c>
    </row>
    <row r="83">
      <c r="A83" s="27" t="inlineStr">
        <is>
          <t>RL2</t>
        </is>
      </c>
      <c r="B83" s="35" t="n">
        <v>2022</v>
      </c>
      <c r="C83" s="29" t="n">
        <v>1370233092</v>
      </c>
      <c r="D83" s="29" t="n">
        <v>11806256464</v>
      </c>
      <c r="E83" s="37" t="n">
        <v>0.1160599124860752</v>
      </c>
      <c r="F83" s="28" t="inlineStr">
        <is>
          <t>Non conforme</t>
        </is>
      </c>
    </row>
    <row r="84">
      <c r="A84" s="27" t="inlineStr">
        <is>
          <t>RL2</t>
        </is>
      </c>
      <c r="B84" s="36" t="n">
        <v>2023</v>
      </c>
      <c r="C84" s="31" t="n">
        <v>1312981747</v>
      </c>
      <c r="D84" s="31" t="n">
        <v>11439022640</v>
      </c>
      <c r="E84" s="38" t="n">
        <v>0.1147809378756505</v>
      </c>
      <c r="F84" s="30" t="inlineStr">
        <is>
          <t>Non conforme</t>
        </is>
      </c>
    </row>
    <row r="85">
      <c r="A85" s="27" t="inlineStr">
        <is>
          <t>RL2</t>
        </is>
      </c>
      <c r="B85" s="35" t="n">
        <v>2024</v>
      </c>
      <c r="C85" s="29" t="n">
        <v>1747174114</v>
      </c>
      <c r="D85" s="29" t="n">
        <v>13763102835</v>
      </c>
      <c r="E85" s="37" t="n">
        <v>0.1269462369747672</v>
      </c>
      <c r="F85" s="28" t="inlineStr">
        <is>
          <t>Non conforme</t>
        </is>
      </c>
    </row>
    <row r="86">
      <c r="A86" s="27" t="inlineStr">
        <is>
          <t>RL2</t>
        </is>
      </c>
      <c r="B86" s="36" t="n">
        <v>2025</v>
      </c>
      <c r="C86" s="31" t="n">
        <v>2715008827</v>
      </c>
      <c r="D86" s="31" t="n">
        <v>15520146267</v>
      </c>
      <c r="E86" s="38" t="n">
        <v>0.1749344871042123</v>
      </c>
      <c r="F86" s="30" t="inlineStr">
        <is>
          <t>Non conforme</t>
        </is>
      </c>
    </row>
    <row r="87">
      <c r="A87" s="27" t="inlineStr">
        <is>
          <t>RL2</t>
        </is>
      </c>
      <c r="B87" s="35" t="n">
        <v>2026</v>
      </c>
      <c r="C87" s="29" t="n">
        <v>3457866951</v>
      </c>
      <c r="D87" s="29" t="n">
        <v>17931954598</v>
      </c>
      <c r="E87" s="37" t="n">
        <v>0.1928326849202298</v>
      </c>
      <c r="F87" s="28" t="inlineStr">
        <is>
          <t>Non conforme (indicatif)</t>
        </is>
      </c>
    </row>
    <row r="88">
      <c r="A88" s="27" t="inlineStr">
        <is>
          <t>RL3</t>
        </is>
      </c>
      <c r="B88" s="36" t="n">
        <v>2020</v>
      </c>
      <c r="C88" s="31" t="n">
        <v>881310155</v>
      </c>
      <c r="D88" s="31" t="n">
        <v>15111714627</v>
      </c>
      <c r="E88" s="38" t="n">
        <v>0.05831966634847438</v>
      </c>
      <c r="F88" s="30" t="inlineStr">
        <is>
          <t>Non conforme (indicatif)</t>
        </is>
      </c>
    </row>
    <row r="89">
      <c r="A89" s="27" t="inlineStr">
        <is>
          <t>RL3</t>
        </is>
      </c>
      <c r="B89" s="35" t="n">
        <v>2021</v>
      </c>
      <c r="C89" s="29" t="n">
        <v>2809574473</v>
      </c>
      <c r="D89" s="29" t="n">
        <v>14571444198</v>
      </c>
      <c r="E89" s="37" t="n">
        <v>0.1928137276458587</v>
      </c>
      <c r="F89" s="28" t="inlineStr">
        <is>
          <t>Non conforme (indicatif)</t>
        </is>
      </c>
    </row>
    <row r="90">
      <c r="A90" s="27" t="inlineStr">
        <is>
          <t>RL3</t>
        </is>
      </c>
      <c r="B90" s="36" t="n">
        <v>2022</v>
      </c>
      <c r="C90" s="31" t="n">
        <v>1233051977</v>
      </c>
      <c r="D90" s="31" t="n">
        <v>11806256464</v>
      </c>
      <c r="E90" s="38" t="n">
        <v>0.104440554951509</v>
      </c>
      <c r="F90" s="30" t="inlineStr">
        <is>
          <t>Non conforme</t>
        </is>
      </c>
    </row>
    <row r="91">
      <c r="A91" s="27" t="inlineStr">
        <is>
          <t>RL3</t>
        </is>
      </c>
      <c r="B91" s="35" t="n">
        <v>2023</v>
      </c>
      <c r="C91" s="29" t="n">
        <v>1242945485</v>
      </c>
      <c r="D91" s="29" t="n">
        <v>11439022640</v>
      </c>
      <c r="E91" s="37" t="n">
        <v>0.1086583639281966</v>
      </c>
      <c r="F91" s="28" t="inlineStr">
        <is>
          <t>Non conforme</t>
        </is>
      </c>
    </row>
    <row r="92">
      <c r="A92" s="27" t="inlineStr">
        <is>
          <t>RL3</t>
        </is>
      </c>
      <c r="B92" s="36" t="n">
        <v>2024</v>
      </c>
      <c r="C92" s="31" t="n">
        <v>979838445</v>
      </c>
      <c r="D92" s="31" t="n">
        <v>13763102835</v>
      </c>
      <c r="E92" s="38" t="n">
        <v>0.07119313549763213</v>
      </c>
      <c r="F92" s="30" t="inlineStr">
        <is>
          <t>Non conforme</t>
        </is>
      </c>
    </row>
    <row r="93">
      <c r="A93" s="27" t="inlineStr">
        <is>
          <t>RL3</t>
        </is>
      </c>
      <c r="B93" s="35" t="n">
        <v>2025</v>
      </c>
      <c r="C93" s="29" t="n">
        <v>1964171543</v>
      </c>
      <c r="D93" s="29" t="n">
        <v>15520146267</v>
      </c>
      <c r="E93" s="37" t="n">
        <v>0.1265562520616417</v>
      </c>
      <c r="F93" s="28" t="inlineStr">
        <is>
          <t>Non conforme</t>
        </is>
      </c>
    </row>
    <row r="94">
      <c r="A94" s="27" t="inlineStr">
        <is>
          <t>RL3</t>
        </is>
      </c>
      <c r="B94" s="36" t="n">
        <v>2026</v>
      </c>
      <c r="C94" s="31" t="n">
        <v>3359100618</v>
      </c>
      <c r="D94" s="31" t="n">
        <v>17931954598</v>
      </c>
      <c r="E94" s="38" t="n">
        <v>0.1873248451328696</v>
      </c>
      <c r="F94" s="30" t="inlineStr">
        <is>
          <t>Non conforme (indicatif)</t>
        </is>
      </c>
    </row>
    <row r="95">
      <c r="A95" s="27" t="inlineStr">
        <is>
          <t>RL4</t>
        </is>
      </c>
      <c r="B95" s="35" t="n">
        <v>2020</v>
      </c>
      <c r="C95" s="29" t="n">
        <v>0</v>
      </c>
      <c r="D95" s="29" t="n">
        <v>576084804.4361296</v>
      </c>
      <c r="E95" s="37" t="n">
        <v>0</v>
      </c>
      <c r="F95" s="28" t="inlineStr">
        <is>
          <t>Non conforme (indicatif)</t>
        </is>
      </c>
    </row>
    <row r="96">
      <c r="A96" s="27" t="inlineStr">
        <is>
          <t>RL4</t>
        </is>
      </c>
      <c r="B96" s="36" t="n">
        <v>2021</v>
      </c>
      <c r="C96" s="31" t="n">
        <v>0</v>
      </c>
      <c r="D96" s="31" t="n">
        <v>647979099.8511199</v>
      </c>
      <c r="E96" s="38" t="n">
        <v>0</v>
      </c>
      <c r="F96" s="30" t="inlineStr">
        <is>
          <t>Non conforme (indicatif)</t>
        </is>
      </c>
    </row>
    <row r="97">
      <c r="A97" s="27" t="inlineStr">
        <is>
          <t>RL4</t>
        </is>
      </c>
      <c r="B97" s="35" t="n">
        <v>2022</v>
      </c>
      <c r="C97" s="29" t="n">
        <v>0</v>
      </c>
      <c r="D97" s="29" t="n">
        <v>817123156.7861801</v>
      </c>
      <c r="E97" s="37" t="n">
        <v>0</v>
      </c>
      <c r="F97" s="28" t="inlineStr">
        <is>
          <t>Non conforme</t>
        </is>
      </c>
    </row>
    <row r="98">
      <c r="A98" s="27" t="inlineStr">
        <is>
          <t>RL4</t>
        </is>
      </c>
      <c r="B98" s="36" t="n">
        <v>2023</v>
      </c>
      <c r="C98" s="31" t="n">
        <v>0</v>
      </c>
      <c r="D98" s="31" t="n">
        <v>883302245.8693476</v>
      </c>
      <c r="E98" s="38" t="n">
        <v>0</v>
      </c>
      <c r="F98" s="30" t="inlineStr">
        <is>
          <t>Non conforme</t>
        </is>
      </c>
    </row>
    <row r="99">
      <c r="A99" s="27" t="inlineStr">
        <is>
          <t>RL4</t>
        </is>
      </c>
      <c r="B99" s="35" t="n">
        <v>2024</v>
      </c>
      <c r="C99" s="29" t="n">
        <v>0</v>
      </c>
      <c r="D99" s="29" t="n">
        <v>628305223.8298519</v>
      </c>
      <c r="E99" s="37" t="n">
        <v>0</v>
      </c>
      <c r="F99" s="28" t="inlineStr">
        <is>
          <t>Non conforme</t>
        </is>
      </c>
    </row>
    <row r="100">
      <c r="A100" s="27" t="inlineStr">
        <is>
          <t>RL4</t>
        </is>
      </c>
      <c r="B100" s="36" t="n">
        <v>2025</v>
      </c>
      <c r="C100" s="31" t="n">
        <v>0</v>
      </c>
      <c r="D100" s="31" t="n">
        <v>588613820.5215025</v>
      </c>
      <c r="E100" s="38" t="n">
        <v>0</v>
      </c>
      <c r="F100" s="30" t="inlineStr">
        <is>
          <t>Non conforme</t>
        </is>
      </c>
    </row>
    <row r="101">
      <c r="A101" s="27" t="inlineStr">
        <is>
          <t>RL4</t>
        </is>
      </c>
      <c r="B101" s="35" t="n">
        <v>2026</v>
      </c>
      <c r="C101" s="29" t="n">
        <v>0</v>
      </c>
      <c r="D101" s="29" t="n">
        <v>597868370.4056796</v>
      </c>
      <c r="E101" s="37" t="n">
        <v>0</v>
      </c>
      <c r="F101" s="28" t="inlineStr">
        <is>
          <t>Non conforme (indicatif)</t>
        </is>
      </c>
    </row>
    <row r="102">
      <c r="A102" s="27" t="inlineStr">
        <is>
          <t>RL5</t>
        </is>
      </c>
      <c r="B102" s="36" t="n">
        <v>2020</v>
      </c>
      <c r="C102" s="31" t="n">
        <v>-6743081733</v>
      </c>
      <c r="D102" s="30" t="n"/>
      <c r="E102" s="30" t="n"/>
      <c r="F102" s="30" t="inlineStr">
        <is>
          <t>En attente</t>
        </is>
      </c>
    </row>
    <row r="103">
      <c r="A103" s="27" t="inlineStr">
        <is>
          <t>RL5</t>
        </is>
      </c>
      <c r="B103" s="35" t="n">
        <v>2021</v>
      </c>
      <c r="C103" s="29" t="n">
        <v>-4659173531</v>
      </c>
      <c r="D103" s="29" t="n">
        <v>2329208667</v>
      </c>
      <c r="E103" s="37" t="n">
        <v>-2.000324658331696</v>
      </c>
      <c r="F103" s="28" t="inlineStr">
        <is>
          <t>Non conforme (indicatif)</t>
        </is>
      </c>
    </row>
    <row r="104">
      <c r="A104" s="27" t="inlineStr">
        <is>
          <t>RL5</t>
        </is>
      </c>
      <c r="B104" s="36" t="n">
        <v>2022</v>
      </c>
      <c r="C104" s="31" t="n">
        <v>-2598840854</v>
      </c>
      <c r="D104" s="31" t="n">
        <v>3970878899</v>
      </c>
      <c r="E104" s="38" t="n">
        <v>-0.6544749714362921</v>
      </c>
      <c r="F104" s="30" t="inlineStr">
        <is>
          <t>Non conforme</t>
        </is>
      </c>
    </row>
    <row r="105">
      <c r="A105" s="27" t="inlineStr">
        <is>
          <t>RL5</t>
        </is>
      </c>
      <c r="B105" s="35" t="n">
        <v>2023</v>
      </c>
      <c r="C105" s="29" t="n">
        <v>-1668211752</v>
      </c>
      <c r="D105" s="29" t="n">
        <v>4897860833</v>
      </c>
      <c r="E105" s="37" t="n">
        <v>-0.3406000719253184</v>
      </c>
      <c r="F105" s="28" t="inlineStr">
        <is>
          <t>Non conforme</t>
        </is>
      </c>
    </row>
    <row r="106">
      <c r="A106" s="27" t="inlineStr">
        <is>
          <t>RL5</t>
        </is>
      </c>
      <c r="B106" s="36" t="n">
        <v>2024</v>
      </c>
      <c r="C106" s="31" t="n">
        <v>-876142111</v>
      </c>
      <c r="D106" s="31" t="n">
        <v>4214747626</v>
      </c>
      <c r="E106" s="38" t="n">
        <v>-0.2078753436137531</v>
      </c>
      <c r="F106" s="30" t="inlineStr">
        <is>
          <t>Non conforme</t>
        </is>
      </c>
    </row>
    <row r="107">
      <c r="A107" s="27" t="inlineStr">
        <is>
          <t>RL5</t>
        </is>
      </c>
      <c r="B107" s="35" t="n">
        <v>2025</v>
      </c>
      <c r="C107" s="29" t="n">
        <v>-438242200</v>
      </c>
      <c r="D107" s="29" t="n">
        <v>2993682337</v>
      </c>
      <c r="E107" s="37" t="n">
        <v>-0.1463890121485525</v>
      </c>
      <c r="F107" s="28" t="inlineStr">
        <is>
          <t>Non conforme</t>
        </is>
      </c>
    </row>
    <row r="108">
      <c r="A108" s="27" t="inlineStr">
        <is>
          <t>RL5</t>
        </is>
      </c>
      <c r="B108" s="36" t="n">
        <v>2026</v>
      </c>
      <c r="C108" s="31" t="n">
        <v>-879498700</v>
      </c>
      <c r="D108" s="31" t="n">
        <v>2834054660</v>
      </c>
      <c r="E108" s="38" t="n">
        <v>-0.3103322996600214</v>
      </c>
      <c r="F108" s="30" t="inlineStr">
        <is>
          <t>Non conforme (indicatif)</t>
        </is>
      </c>
    </row>
    <row r="109">
      <c r="A109" s="27" t="inlineStr">
        <is>
          <t>CHF</t>
        </is>
      </c>
      <c r="B109" s="35" t="n">
        <v>2020</v>
      </c>
      <c r="C109" s="29" t="n">
        <v>1981393302</v>
      </c>
      <c r="D109" s="29" t="n">
        <v>2350217436</v>
      </c>
      <c r="E109" s="32" t="n">
        <v>0.8430680802761265</v>
      </c>
      <c r="F109" s="28" t="inlineStr">
        <is>
          <t>Non conforme (indicatif)</t>
        </is>
      </c>
    </row>
    <row r="110">
      <c r="A110" s="27" t="inlineStr">
        <is>
          <t>CHF</t>
        </is>
      </c>
      <c r="B110" s="36" t="n">
        <v>2021</v>
      </c>
      <c r="C110" s="31" t="n">
        <v>1163247996</v>
      </c>
      <c r="D110" s="31" t="n">
        <v>2423204233</v>
      </c>
      <c r="E110" s="33" t="n">
        <v>0.4800453796500115</v>
      </c>
      <c r="F110" s="30" t="inlineStr">
        <is>
          <t>Non conforme (indicatif)</t>
        </is>
      </c>
    </row>
    <row r="111">
      <c r="A111" s="27" t="inlineStr">
        <is>
          <t>CHF</t>
        </is>
      </c>
      <c r="B111" s="35" t="n">
        <v>2022</v>
      </c>
      <c r="C111" s="29" t="n">
        <v>1209851047</v>
      </c>
      <c r="D111" s="29" t="n">
        <v>2555040142</v>
      </c>
      <c r="E111" s="32" t="n">
        <v>0.4735154752022679</v>
      </c>
      <c r="F111" s="28" t="inlineStr">
        <is>
          <t>Non conforme</t>
        </is>
      </c>
    </row>
    <row r="112">
      <c r="A112" s="27" t="inlineStr">
        <is>
          <t>CHF</t>
        </is>
      </c>
      <c r="B112" s="36" t="n">
        <v>2023</v>
      </c>
      <c r="C112" s="31" t="n">
        <v>1243187379</v>
      </c>
      <c r="D112" s="31" t="n">
        <v>2773482848</v>
      </c>
      <c r="E112" s="33" t="n">
        <v>0.4482405145921421</v>
      </c>
      <c r="F112" s="30" t="inlineStr">
        <is>
          <t>Non conforme</t>
        </is>
      </c>
    </row>
    <row r="113">
      <c r="A113" s="27" t="inlineStr">
        <is>
          <t>CHF</t>
        </is>
      </c>
      <c r="B113" s="35" t="n">
        <v>2024</v>
      </c>
      <c r="C113" s="29" t="n">
        <v>1134545164</v>
      </c>
      <c r="D113" s="29" t="n">
        <v>3145610249</v>
      </c>
      <c r="E113" s="32" t="n">
        <v>0.3606756953950909</v>
      </c>
      <c r="F113" s="28" t="inlineStr">
        <is>
          <t>Non conforme</t>
        </is>
      </c>
    </row>
    <row r="114">
      <c r="A114" s="27" t="inlineStr">
        <is>
          <t>CHF</t>
        </is>
      </c>
      <c r="B114" s="36" t="n">
        <v>2025</v>
      </c>
      <c r="C114" s="31" t="n">
        <v>1241993107</v>
      </c>
      <c r="D114" s="31" t="n">
        <v>3418141722</v>
      </c>
      <c r="E114" s="33" t="n">
        <v>0.3633533094915952</v>
      </c>
      <c r="F114" s="30" t="inlineStr">
        <is>
          <t>Non conforme</t>
        </is>
      </c>
    </row>
    <row r="115">
      <c r="A115" s="27" t="inlineStr">
        <is>
          <t>CHF</t>
        </is>
      </c>
      <c r="B115" s="35" t="n">
        <v>2026</v>
      </c>
      <c r="C115" s="29" t="n">
        <v>1055460837</v>
      </c>
      <c r="D115" s="29" t="n">
        <v>2392197346</v>
      </c>
      <c r="E115" s="32" t="n">
        <v>0.4412097684017747</v>
      </c>
      <c r="F115" s="28" t="inlineStr">
        <is>
          <t>Non conforme (indicatif)</t>
        </is>
      </c>
    </row>
    <row r="116">
      <c r="A116" s="27" t="inlineStr">
        <is>
          <t>CHB</t>
        </is>
      </c>
      <c r="B116" s="36" t="n">
        <v>2020</v>
      </c>
      <c r="C116" s="31" t="n">
        <v>2010120385</v>
      </c>
      <c r="D116" s="31" t="n">
        <v>3918571705</v>
      </c>
      <c r="E116" s="33" t="n">
        <v>0.512972719737433</v>
      </c>
      <c r="F116" s="30" t="inlineStr">
        <is>
          <t>Non conforme (indicatif)</t>
        </is>
      </c>
    </row>
    <row r="117">
      <c r="A117" s="27" t="inlineStr">
        <is>
          <t>CHB</t>
        </is>
      </c>
      <c r="B117" s="35" t="n">
        <v>2021</v>
      </c>
      <c r="C117" s="29" t="n">
        <v>1187281853</v>
      </c>
      <c r="D117" s="29" t="n">
        <v>4262031016</v>
      </c>
      <c r="E117" s="32" t="n">
        <v>0.2785718472115408</v>
      </c>
      <c r="F117" s="28" t="inlineStr">
        <is>
          <t>Non conforme (indicatif)</t>
        </is>
      </c>
    </row>
    <row r="118">
      <c r="A118" s="27" t="inlineStr">
        <is>
          <t>CHB</t>
        </is>
      </c>
      <c r="B118" s="36" t="n">
        <v>2022</v>
      </c>
      <c r="C118" s="31" t="n">
        <v>1238176841</v>
      </c>
      <c r="D118" s="31" t="n">
        <v>3529937291</v>
      </c>
      <c r="E118" s="33" t="n">
        <v>0.3507645430860432</v>
      </c>
      <c r="F118" s="30" t="inlineStr">
        <is>
          <t>Non conforme</t>
        </is>
      </c>
    </row>
    <row r="119">
      <c r="A119" s="27" t="inlineStr">
        <is>
          <t>CHB</t>
        </is>
      </c>
      <c r="B119" s="35" t="n">
        <v>2023</v>
      </c>
      <c r="C119" s="29" t="n">
        <v>1278499558</v>
      </c>
      <c r="D119" s="29" t="n">
        <v>2918180096</v>
      </c>
      <c r="E119" s="32" t="n">
        <v>0.438115371889645</v>
      </c>
      <c r="F119" s="28" t="inlineStr">
        <is>
          <t>Non conforme</t>
        </is>
      </c>
    </row>
    <row r="120">
      <c r="A120" s="27" t="inlineStr">
        <is>
          <t>CHB</t>
        </is>
      </c>
      <c r="B120" s="36" t="n">
        <v>2024</v>
      </c>
      <c r="C120" s="31" t="n">
        <v>1169298711</v>
      </c>
      <c r="D120" s="31" t="n">
        <v>3230389643</v>
      </c>
      <c r="E120" s="33" t="n">
        <v>0.3619683196835955</v>
      </c>
      <c r="F120" s="30" t="inlineStr">
        <is>
          <t>Non conforme</t>
        </is>
      </c>
    </row>
    <row r="121">
      <c r="A121" s="27" t="inlineStr">
        <is>
          <t>CHB</t>
        </is>
      </c>
      <c r="B121" s="35" t="n">
        <v>2025</v>
      </c>
      <c r="C121" s="29" t="n">
        <v>1285659785</v>
      </c>
      <c r="D121" s="29" t="n">
        <v>3688331723</v>
      </c>
      <c r="E121" s="32" t="n">
        <v>0.3485748792557832</v>
      </c>
      <c r="F121" s="28" t="inlineStr">
        <is>
          <t>Non conforme</t>
        </is>
      </c>
    </row>
    <row r="122">
      <c r="A122" s="27" t="inlineStr">
        <is>
          <t>CHB</t>
        </is>
      </c>
      <c r="B122" s="36" t="n">
        <v>2026</v>
      </c>
      <c r="C122" s="31" t="n">
        <v>1055460837</v>
      </c>
      <c r="D122" s="31" t="n">
        <v>2413060120</v>
      </c>
      <c r="E122" s="33" t="n">
        <v>0.4373951681734312</v>
      </c>
      <c r="F122" s="30" t="inlineStr">
        <is>
          <t>Non conforme (indicatif)</t>
        </is>
      </c>
    </row>
    <row r="123">
      <c r="A123" s="27" t="inlineStr">
        <is>
          <t>CUP</t>
        </is>
      </c>
      <c r="B123" s="35" t="n">
        <v>2020</v>
      </c>
      <c r="C123" s="29" t="n">
        <v>1981393302</v>
      </c>
      <c r="D123" s="29" t="n">
        <v>209745391</v>
      </c>
      <c r="E123" s="32" t="n">
        <v>9.446659554964905</v>
      </c>
      <c r="F123" s="28" t="inlineStr">
        <is>
          <t>Non conforme (indicatif)</t>
        </is>
      </c>
    </row>
    <row r="124">
      <c r="A124" s="27" t="inlineStr">
        <is>
          <t>CUP</t>
        </is>
      </c>
      <c r="B124" s="36" t="n">
        <v>2021</v>
      </c>
      <c r="C124" s="31" t="n">
        <v>1163247996</v>
      </c>
      <c r="D124" s="31" t="n">
        <v>503309837</v>
      </c>
      <c r="E124" s="33" t="n">
        <v>2.31119662380054</v>
      </c>
      <c r="F124" s="30" t="inlineStr">
        <is>
          <t>Non conforme (indicatif)</t>
        </is>
      </c>
    </row>
    <row r="125">
      <c r="A125" s="27" t="inlineStr">
        <is>
          <t>CUP</t>
        </is>
      </c>
      <c r="B125" s="35" t="n">
        <v>2022</v>
      </c>
      <c r="C125" s="29" t="n">
        <v>1209851047</v>
      </c>
      <c r="D125" s="29" t="n">
        <v>231427773</v>
      </c>
      <c r="E125" s="32" t="n">
        <v>5.227769473459005</v>
      </c>
      <c r="F125" s="28" t="inlineStr">
        <is>
          <t>Non conforme</t>
        </is>
      </c>
    </row>
    <row r="126">
      <c r="A126" s="27" t="inlineStr">
        <is>
          <t>CUP</t>
        </is>
      </c>
      <c r="B126" s="36" t="n">
        <v>2023</v>
      </c>
      <c r="C126" s="31" t="n">
        <v>1243187379</v>
      </c>
      <c r="D126" s="31" t="n">
        <v>681244362</v>
      </c>
      <c r="E126" s="33" t="n">
        <v>1.824877310324074</v>
      </c>
      <c r="F126" s="30" t="inlineStr">
        <is>
          <t>Non conforme</t>
        </is>
      </c>
    </row>
    <row r="127">
      <c r="A127" s="27" t="inlineStr">
        <is>
          <t>CUP</t>
        </is>
      </c>
      <c r="B127" s="35" t="n">
        <v>2024</v>
      </c>
      <c r="C127" s="29" t="n">
        <v>1134545164</v>
      </c>
      <c r="D127" s="29" t="n">
        <v>1269021291</v>
      </c>
      <c r="E127" s="32" t="n">
        <v>0.8940316226735395</v>
      </c>
      <c r="F127" s="28" t="inlineStr">
        <is>
          <t>Non conforme</t>
        </is>
      </c>
    </row>
    <row r="128">
      <c r="A128" s="27" t="inlineStr">
        <is>
          <t>CUP</t>
        </is>
      </c>
      <c r="B128" s="36" t="n">
        <v>2025</v>
      </c>
      <c r="C128" s="31" t="n">
        <v>1241993107</v>
      </c>
      <c r="D128" s="31" t="n">
        <v>1964772027</v>
      </c>
      <c r="E128" s="33" t="n">
        <v>0.6321308986144274</v>
      </c>
      <c r="F128" s="30" t="inlineStr">
        <is>
          <t>Non conforme</t>
        </is>
      </c>
    </row>
    <row r="129">
      <c r="A129" s="27" t="inlineStr">
        <is>
          <t>CUP</t>
        </is>
      </c>
      <c r="B129" s="35" t="n">
        <v>2026</v>
      </c>
      <c r="C129" s="29" t="n">
        <v>1055460837</v>
      </c>
      <c r="D129" s="29" t="n">
        <v>1798855783</v>
      </c>
      <c r="E129" s="32" t="n">
        <v>0.5867401083369672</v>
      </c>
      <c r="F129" s="28" t="inlineStr">
        <is>
          <t>Non conforme (indicatif)</t>
        </is>
      </c>
    </row>
    <row r="130">
      <c r="A130" s="27" t="inlineStr">
        <is>
          <t>CHP</t>
        </is>
      </c>
      <c r="B130" s="36" t="n">
        <v>2020</v>
      </c>
      <c r="C130" s="31" t="n">
        <v>222795066</v>
      </c>
      <c r="D130" s="31" t="n">
        <v>2010120385</v>
      </c>
      <c r="E130" s="33" t="n">
        <v>0.1108366780728906</v>
      </c>
      <c r="F130" s="30" t="inlineStr">
        <is>
          <t>Conforme (indicatif)</t>
        </is>
      </c>
    </row>
    <row r="131">
      <c r="A131" s="27" t="inlineStr">
        <is>
          <t>CHP</t>
        </is>
      </c>
      <c r="B131" s="35" t="n">
        <v>2021</v>
      </c>
      <c r="C131" s="29" t="n">
        <v>204256928</v>
      </c>
      <c r="D131" s="29" t="n">
        <v>1187281853</v>
      </c>
      <c r="E131" s="32" t="n">
        <v>0.1720374378534361</v>
      </c>
      <c r="F131" s="28" t="inlineStr">
        <is>
          <t>Conforme (indicatif)</t>
        </is>
      </c>
    </row>
    <row r="132">
      <c r="A132" s="27" t="inlineStr">
        <is>
          <t>CHP</t>
        </is>
      </c>
      <c r="B132" s="36" t="n">
        <v>2022</v>
      </c>
      <c r="C132" s="31" t="n">
        <v>238533699</v>
      </c>
      <c r="D132" s="31" t="n">
        <v>1238176841</v>
      </c>
      <c r="E132" s="33" t="n">
        <v>0.1926491362957095</v>
      </c>
      <c r="F132" s="30" t="inlineStr">
        <is>
          <t>Conforme</t>
        </is>
      </c>
    </row>
    <row r="133">
      <c r="A133" s="27" t="inlineStr">
        <is>
          <t>CHP</t>
        </is>
      </c>
      <c r="B133" s="35" t="n">
        <v>2023</v>
      </c>
      <c r="C133" s="29" t="n">
        <v>296787650</v>
      </c>
      <c r="D133" s="29" t="n">
        <v>1278499558</v>
      </c>
      <c r="E133" s="32" t="n">
        <v>0.2321374678175681</v>
      </c>
      <c r="F133" s="28" t="inlineStr">
        <is>
          <t>Conforme</t>
        </is>
      </c>
    </row>
    <row r="134">
      <c r="A134" s="27" t="inlineStr">
        <is>
          <t>CHP</t>
        </is>
      </c>
      <c r="B134" s="36" t="n">
        <v>2024</v>
      </c>
      <c r="C134" s="31" t="n">
        <v>290312103</v>
      </c>
      <c r="D134" s="31" t="n">
        <v>1169298711</v>
      </c>
      <c r="E134" s="33" t="n">
        <v>0.2482788189783611</v>
      </c>
      <c r="F134" s="30" t="inlineStr">
        <is>
          <t>Conforme</t>
        </is>
      </c>
    </row>
    <row r="135">
      <c r="A135" s="27" t="inlineStr">
        <is>
          <t>CHP</t>
        </is>
      </c>
      <c r="B135" s="35" t="n">
        <v>2025</v>
      </c>
      <c r="C135" s="29" t="n">
        <v>341642998</v>
      </c>
      <c r="D135" s="29" t="n">
        <v>1285659785</v>
      </c>
      <c r="E135" s="32" t="n">
        <v>0.2657335960772857</v>
      </c>
      <c r="F135" s="28" t="inlineStr">
        <is>
          <t>Conforme</t>
        </is>
      </c>
    </row>
    <row r="136">
      <c r="A136" s="27" t="inlineStr">
        <is>
          <t>CHP</t>
        </is>
      </c>
      <c r="B136" s="36" t="n">
        <v>2026</v>
      </c>
      <c r="C136" s="31" t="n">
        <v>272578469</v>
      </c>
      <c r="D136" s="31" t="n">
        <v>1055460837</v>
      </c>
      <c r="E136" s="33" t="n">
        <v>0.258255407917139</v>
      </c>
      <c r="F136" s="30" t="inlineStr">
        <is>
          <t>Conforme (indicatif)</t>
        </is>
      </c>
    </row>
    <row r="137"/>
    <row r="138">
      <c r="A138" s="14" t="inlineStr">
        <is>
          <t>Source : balances du FPPN ; Décision n° 05/2022/COM/UEMOA, annexe ; règlement d'exécution n° 004/2022/COM/UEMOA ; calculs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38.xml><?xml version="1.0" encoding="utf-8"?>
<worksheet xmlns="http://schemas.openxmlformats.org/spreadsheetml/2006/main">
  <sheetPr>
    <tabColor rgb="00112A40"/>
    <outlinePr summaryBelow="1" summaryRight="1"/>
    <pageSetUpPr fitToPage="1"/>
  </sheetPr>
  <dimension ref="A1:N25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43.25" customWidth="1" min="2" max="2"/>
    <col width="50" customWidth="1" min="3" max="3"/>
    <col width="40.95" customWidth="1" min="4" max="4"/>
    <col width="39.8" customWidth="1" min="5" max="5"/>
    <col width="50" customWidth="1" min="6" max="6"/>
    <col width="35.2" customWidth="1" min="7" max="7"/>
    <col width="19.1" customWidth="1" min="8" max="8"/>
    <col width="19.1" customWidth="1" min="9" max="9"/>
    <col width="19.1" customWidth="1" min="10" max="10"/>
    <col width="19.1" customWidth="1" min="11" max="11"/>
    <col width="19.1" customWidth="1" min="12" max="12"/>
    <col width="19.1" customWidth="1" min="13" max="13"/>
    <col width="20.25" customWidth="1" min="14" max="14"/>
  </cols>
  <sheetData>
    <row r="1">
      <c r="A1" s="7" t="inlineStr">
        <is>
          <t>Tableau : Classement des comptes selon le PCMS et selon la nature des risques</t>
        </is>
      </c>
    </row>
    <row r="2" ht="15" customHeight="1">
      <c r="A2" s="25" t="inlineStr">
        <is>
          <t>À quoi sert cet onglet</t>
        </is>
      </c>
      <c r="B2" s="26" t="inlineStr">
        <is>
          <t>Classer chaque compte du FPPN selon le plan comptable de la mutualité sociale (PCMS) et selon le risque.</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 PCMS (mai 2012).</t>
        </is>
      </c>
    </row>
    <row r="4" ht="37.5" customHeight="1">
      <c r="A4" s="25" t="inlineStr">
        <is>
          <t>Comment le calcul est fait</t>
        </is>
      </c>
      <c r="B4" s="26" t="inlineStr">
        <is>
          <t>Chaque compte reçoit sa rubrique PCMS, son classement (ressource longue, actif liquide…) et les ratios qui l'utilisent. Les valeurs sont calculées par les scripts de la mission et collées ici ; la formule de chaque colonne est donnée dans « Comment le calcul est fait ».</t>
        </is>
      </c>
    </row>
    <row r="5" ht="15" customHeight="1">
      <c r="A5" s="25" t="inlineStr">
        <is>
          <t>Comment lire le résultat</t>
        </is>
      </c>
      <c r="B5" s="26" t="inlineStr">
        <is>
          <t>Le classement explique les montants des ratios de liquidité et d'équilibre.</t>
        </is>
      </c>
    </row>
    <row r="6" ht="15" customHeight="1">
      <c r="A6" s="25" t="inlineStr">
        <is>
          <t>Valable pour</t>
        </is>
      </c>
      <c r="B6" s="26" t="inlineStr">
        <is>
          <t>Comptes présents de 2020 à 2026.</t>
        </is>
      </c>
    </row>
    <row r="7" ht="15" customHeight="1">
      <c r="A7" s="25" t="inlineStr">
        <is>
          <t>Limites</t>
        </is>
      </c>
      <c r="B7" s="26" t="inlineStr">
        <is>
          <t>Classement d'après l'intitulé du compte.</t>
        </is>
      </c>
    </row>
    <row r="8"/>
    <row r="9"/>
    <row r="10" ht="30" customHeight="1">
      <c r="A10" s="8" t="inlineStr">
        <is>
          <t>Compte</t>
        </is>
      </c>
      <c r="B10" s="8" t="inlineStr">
        <is>
          <t>Intitulé FPPN</t>
        </is>
      </c>
      <c r="C10" s="8" t="inlineStr">
        <is>
          <t>Rubrique PCMS</t>
        </is>
      </c>
      <c r="D10" s="8" t="inlineStr">
        <is>
          <t>Tiroir</t>
        </is>
      </c>
      <c r="E10" s="8" t="inlineStr">
        <is>
          <t>Classement PCMS</t>
        </is>
      </c>
      <c r="F10" s="8" t="inlineStr">
        <is>
          <t>Classement retraite</t>
        </is>
      </c>
      <c r="G10" s="8" t="inlineStr">
        <is>
          <t>Ratios</t>
        </is>
      </c>
      <c r="H10" s="8" t="inlineStr">
        <is>
          <t>Solde 2020</t>
        </is>
      </c>
      <c r="I10" s="8" t="inlineStr">
        <is>
          <t>Solde 2021</t>
        </is>
      </c>
      <c r="J10" s="8" t="inlineStr">
        <is>
          <t>Solde 2022</t>
        </is>
      </c>
      <c r="K10" s="8" t="inlineStr">
        <is>
          <t>Solde 2023</t>
        </is>
      </c>
      <c r="L10" s="8" t="inlineStr">
        <is>
          <t>Solde 2024</t>
        </is>
      </c>
      <c r="M10" s="8" t="inlineStr">
        <is>
          <t>Solde 2025</t>
        </is>
      </c>
      <c r="N10" s="8" t="inlineStr">
        <is>
          <t>Solde 2026</t>
        </is>
      </c>
    </row>
    <row r="11">
      <c r="A11" s="27" t="inlineStr">
        <is>
          <t>10620000</t>
        </is>
      </c>
      <c r="B11" s="28" t="inlineStr">
        <is>
          <t>Réserve disponible</t>
        </is>
      </c>
      <c r="C11" s="28" t="inlineStr">
        <is>
          <t>106 Écarts de réévaluation des immeubles</t>
        </is>
      </c>
      <c r="D11" s="28" t="inlineStr">
        <is>
          <t>Ressources propres</t>
        </is>
      </c>
      <c r="E11" s="28" t="inlineStr">
        <is>
          <t>Ressource longue</t>
        </is>
      </c>
      <c r="F11" s="28" t="inlineStr">
        <is>
          <t>Ressource longue</t>
        </is>
      </c>
      <c r="G11" s="28" t="inlineStr">
        <is>
          <t>MSE</t>
        </is>
      </c>
      <c r="H11" s="29" t="n">
        <v>-2899400000</v>
      </c>
      <c r="I11" s="29" t="n">
        <v>-2899400000</v>
      </c>
      <c r="J11" s="29" t="n">
        <v>-2899400000</v>
      </c>
      <c r="K11" s="29" t="n">
        <v>-2899400000</v>
      </c>
      <c r="L11" s="29" t="n">
        <v>-2899400000</v>
      </c>
      <c r="M11" s="29" t="n">
        <v>-2899400000</v>
      </c>
      <c r="N11" s="29" t="n">
        <v>-2899400000</v>
      </c>
    </row>
    <row r="12">
      <c r="A12" s="27" t="inlineStr">
        <is>
          <t>11100000</t>
        </is>
      </c>
      <c r="B12" s="30" t="inlineStr">
        <is>
          <t>Réserves légale</t>
        </is>
      </c>
      <c r="C12" s="30" t="inlineStr">
        <is>
          <t>111 Réserves légales</t>
        </is>
      </c>
      <c r="D12" s="30" t="inlineStr">
        <is>
          <t>Ressources propres</t>
        </is>
      </c>
      <c r="E12" s="30" t="inlineStr">
        <is>
          <t>Ressource longue</t>
        </is>
      </c>
      <c r="F12" s="30" t="inlineStr">
        <is>
          <t>Ressource longue</t>
        </is>
      </c>
      <c r="G12" s="30" t="inlineStr">
        <is>
          <t>ROB, MSE</t>
        </is>
      </c>
      <c r="H12" s="31" t="n">
        <v>0</v>
      </c>
      <c r="I12" s="31" t="n">
        <v>0</v>
      </c>
      <c r="J12" s="31" t="n">
        <v>0</v>
      </c>
      <c r="K12" s="31" t="n">
        <v>-184219879</v>
      </c>
      <c r="L12" s="31" t="n">
        <v>-519246356</v>
      </c>
      <c r="M12" s="31" t="n">
        <v>-820232819</v>
      </c>
      <c r="N12" s="31" t="n">
        <v>-820232819</v>
      </c>
    </row>
    <row r="13">
      <c r="A13" s="27" t="inlineStr">
        <is>
          <t>11880000</t>
        </is>
      </c>
      <c r="B13" s="28" t="inlineStr">
        <is>
          <t>RESERVES FACULTATIVES</t>
        </is>
      </c>
      <c r="C13" s="28" t="inlineStr">
        <is>
          <t>118 Autres réserves</t>
        </is>
      </c>
      <c r="D13" s="28" t="inlineStr">
        <is>
          <t>Ressources propres</t>
        </is>
      </c>
      <c r="E13" s="28" t="inlineStr">
        <is>
          <t>Ressource longue</t>
        </is>
      </c>
      <c r="F13" s="28" t="inlineStr">
        <is>
          <t>Ressource longue</t>
        </is>
      </c>
      <c r="G13" s="28" t="inlineStr">
        <is>
          <t>MSE</t>
        </is>
      </c>
      <c r="H13" s="29" t="n">
        <v>0</v>
      </c>
      <c r="I13" s="29" t="n">
        <v>0</v>
      </c>
      <c r="J13" s="29" t="n">
        <v>0</v>
      </c>
      <c r="K13" s="29" t="n">
        <v>0</v>
      </c>
      <c r="L13" s="29" t="n">
        <v>-186125820</v>
      </c>
      <c r="M13" s="29" t="n">
        <v>-677208998</v>
      </c>
      <c r="N13" s="29" t="n">
        <v>-677208998</v>
      </c>
    </row>
    <row r="14">
      <c r="A14" s="27" t="inlineStr">
        <is>
          <t>12100000</t>
        </is>
      </c>
      <c r="B14" s="30" t="inlineStr">
        <is>
          <t>Report à nouveau cféditeur</t>
        </is>
      </c>
      <c r="C14" s="30" t="inlineStr">
        <is>
          <t>121 Report à nouveau créditeur</t>
        </is>
      </c>
      <c r="D14" s="30" t="inlineStr">
        <is>
          <t>Ressources propres</t>
        </is>
      </c>
      <c r="E14" s="30" t="inlineStr">
        <is>
          <t>Ressource longue</t>
        </is>
      </c>
      <c r="F14" s="30" t="inlineStr">
        <is>
          <t>Ressource longue</t>
        </is>
      </c>
      <c r="G14" s="30" t="n"/>
      <c r="H14" s="31" t="n">
        <v>-730697877</v>
      </c>
      <c r="I14" s="31" t="n">
        <v>0</v>
      </c>
      <c r="J14" s="31" t="n">
        <v>-2083908202</v>
      </c>
      <c r="K14" s="31" t="n">
        <v>-1876112798</v>
      </c>
      <c r="L14" s="31" t="n">
        <v>0</v>
      </c>
      <c r="M14" s="31" t="n">
        <v>0</v>
      </c>
      <c r="N14" s="31" t="n">
        <v>-437899911</v>
      </c>
    </row>
    <row r="15">
      <c r="A15" s="27" t="inlineStr">
        <is>
          <t>12900000</t>
        </is>
      </c>
      <c r="B15" s="28" t="inlineStr">
        <is>
          <t>Résultat exercice (perte)</t>
        </is>
      </c>
      <c r="C15" s="28" t="inlineStr">
        <is>
          <t>129 Report à nouveau débiteur</t>
        </is>
      </c>
      <c r="D15" s="28" t="inlineStr">
        <is>
          <t>Ressources propres</t>
        </is>
      </c>
      <c r="E15" s="28" t="inlineStr">
        <is>
          <t>Ressource longue</t>
        </is>
      </c>
      <c r="F15" s="28" t="inlineStr">
        <is>
          <t>Ressource longue</t>
        </is>
      </c>
      <c r="G15" s="28" t="n"/>
      <c r="H15" s="29" t="n">
        <v>11391759309</v>
      </c>
      <c r="I15" s="29" t="n">
        <v>9642481733</v>
      </c>
      <c r="J15" s="29" t="n">
        <v>9642481733</v>
      </c>
      <c r="K15" s="29" t="n">
        <v>7558573531</v>
      </c>
      <c r="L15" s="29" t="n">
        <v>5272983928</v>
      </c>
      <c r="M15" s="29" t="n">
        <v>5272983928</v>
      </c>
      <c r="N15" s="29" t="n">
        <v>5272983928</v>
      </c>
    </row>
    <row r="16">
      <c r="A16" s="27" t="inlineStr">
        <is>
          <t>15801000</t>
        </is>
      </c>
      <c r="B16" s="30" t="inlineStr">
        <is>
          <t>Prov pr prestations à payer-maladie</t>
        </is>
      </c>
      <c r="C16" s="30" t="inlineStr">
        <is>
          <t>158 Autres provisions réglementées</t>
        </is>
      </c>
      <c r="D16" s="30" t="inlineStr">
        <is>
          <t>Provisions techniques</t>
        </is>
      </c>
      <c r="E16" s="30" t="inlineStr">
        <is>
          <t>Ressource longue</t>
        </is>
      </c>
      <c r="F16" s="30" t="inlineStr">
        <is>
          <t>Engagement à moins d'un an (prestations à payer)</t>
        </is>
      </c>
      <c r="G16" s="30" t="inlineStr">
        <is>
          <t>FEP, LIQ, EQS</t>
        </is>
      </c>
      <c r="H16" s="31" t="n">
        <v>0</v>
      </c>
      <c r="I16" s="31" t="n">
        <v>0</v>
      </c>
      <c r="J16" s="31" t="n">
        <v>0</v>
      </c>
      <c r="K16" s="31" t="n">
        <v>0</v>
      </c>
      <c r="L16" s="31" t="n">
        <v>-2867602878</v>
      </c>
      <c r="M16" s="31" t="n">
        <v>-2867602878</v>
      </c>
      <c r="N16" s="31" t="n">
        <v>-2867602878</v>
      </c>
    </row>
    <row r="17">
      <c r="A17" s="27" t="inlineStr">
        <is>
          <t>15802000</t>
        </is>
      </c>
      <c r="B17" s="28" t="inlineStr">
        <is>
          <t>Provision pr prestation à payer obs</t>
        </is>
      </c>
      <c r="C17" s="28" t="inlineStr">
        <is>
          <t>158 Autres provisions réglementées</t>
        </is>
      </c>
      <c r="D17" s="28" t="inlineStr">
        <is>
          <t>Provisions techniques</t>
        </is>
      </c>
      <c r="E17" s="28" t="inlineStr">
        <is>
          <t>Ressource longue</t>
        </is>
      </c>
      <c r="F17" s="28" t="inlineStr">
        <is>
          <t>Engagement à moins d'un an (prestations à payer)</t>
        </is>
      </c>
      <c r="G17" s="28" t="inlineStr">
        <is>
          <t>FEP, LIQ, EQS</t>
        </is>
      </c>
      <c r="H17" s="29" t="n">
        <v>0</v>
      </c>
      <c r="I17" s="29" t="n">
        <v>0</v>
      </c>
      <c r="J17" s="29" t="n">
        <v>0</v>
      </c>
      <c r="K17" s="29" t="n">
        <v>0</v>
      </c>
      <c r="L17" s="29" t="n">
        <v>-1961695412</v>
      </c>
      <c r="M17" s="29" t="n">
        <v>-1961695412</v>
      </c>
      <c r="N17" s="29" t="n">
        <v>-1961695412</v>
      </c>
    </row>
    <row r="18">
      <c r="A18" s="27" t="inlineStr">
        <is>
          <t>16200000</t>
        </is>
      </c>
      <c r="B18" s="30" t="inlineStr">
        <is>
          <t>Emprunts auprès des étab. de crédit</t>
        </is>
      </c>
      <c r="C18" s="30" t="inlineStr">
        <is>
          <t>16 Emprunts</t>
        </is>
      </c>
      <c r="D18" s="30" t="inlineStr">
        <is>
          <t>Emprunts</t>
        </is>
      </c>
      <c r="E18" s="30" t="inlineStr">
        <is>
          <t>Ressource longue</t>
        </is>
      </c>
      <c r="F18" s="30" t="inlineStr">
        <is>
          <t>Ressource longue</t>
        </is>
      </c>
      <c r="G18" s="30" t="n"/>
      <c r="H18" s="31" t="n">
        <v>-13618401</v>
      </c>
      <c r="I18" s="31" t="n">
        <v>-168941649</v>
      </c>
      <c r="J18" s="31" t="n">
        <v>-35160924</v>
      </c>
      <c r="K18" s="31" t="n">
        <v>0</v>
      </c>
      <c r="L18" s="31" t="n">
        <v>0</v>
      </c>
      <c r="M18" s="31" t="n">
        <v>0</v>
      </c>
      <c r="N18" s="31" t="n">
        <v>0</v>
      </c>
    </row>
    <row r="19">
      <c r="A19" s="27" t="inlineStr">
        <is>
          <t>16620000</t>
        </is>
      </c>
      <c r="B19" s="28" t="inlineStr">
        <is>
          <t>Int.courus sur emp. auprès ets créd</t>
        </is>
      </c>
      <c r="C19" s="28" t="inlineStr">
        <is>
          <t>16 Emprunts</t>
        </is>
      </c>
      <c r="D19" s="28" t="inlineStr">
        <is>
          <t>Emprunts</t>
        </is>
      </c>
      <c r="E19" s="28" t="inlineStr">
        <is>
          <t>Ressource longue</t>
        </is>
      </c>
      <c r="F19" s="28" t="inlineStr">
        <is>
          <t>Ressource longue</t>
        </is>
      </c>
      <c r="G19" s="28" t="n"/>
      <c r="H19" s="29" t="n">
        <v>0</v>
      </c>
      <c r="I19" s="29" t="n">
        <v>-785930</v>
      </c>
      <c r="J19" s="29" t="n">
        <v>-785930</v>
      </c>
      <c r="K19" s="29" t="n">
        <v>-785930</v>
      </c>
      <c r="L19" s="29" t="n">
        <v>-785930</v>
      </c>
      <c r="M19" s="29" t="n">
        <v>0</v>
      </c>
      <c r="N19" s="29" t="n">
        <v>0</v>
      </c>
    </row>
    <row r="20">
      <c r="A20" s="27" t="inlineStr">
        <is>
          <t>19011000</t>
        </is>
      </c>
      <c r="B20" s="30" t="inlineStr">
        <is>
          <t>Prov pr prestations à payer-maladie</t>
        </is>
      </c>
      <c r="C20" s="30" t="inlineStr">
        <is>
          <t>19011 Provision pour prestations à payer - maladie</t>
        </is>
      </c>
      <c r="D20" s="30" t="inlineStr">
        <is>
          <t>Provisions techniques</t>
        </is>
      </c>
      <c r="E20" s="30" t="inlineStr">
        <is>
          <t>Ressource longue</t>
        </is>
      </c>
      <c r="F20" s="30" t="inlineStr">
        <is>
          <t>Engagement à moins d'un an (prestations à payer)</t>
        </is>
      </c>
      <c r="G20" s="30" t="inlineStr">
        <is>
          <t>FEP, LIQ, EQS</t>
        </is>
      </c>
      <c r="H20" s="31" t="n">
        <v>-2867602878</v>
      </c>
      <c r="I20" s="31" t="n">
        <v>-2867602878</v>
      </c>
      <c r="J20" s="31" t="n">
        <v>-2867602878</v>
      </c>
      <c r="K20" s="31" t="n">
        <v>-2867602878</v>
      </c>
      <c r="L20" s="31" t="n">
        <v>0</v>
      </c>
      <c r="M20" s="31" t="n">
        <v>0</v>
      </c>
      <c r="N20" s="31" t="n">
        <v>0</v>
      </c>
    </row>
    <row r="21">
      <c r="A21" s="27" t="inlineStr">
        <is>
          <t>19012000</t>
        </is>
      </c>
      <c r="B21" s="28" t="inlineStr">
        <is>
          <t>Prov. pr prestat°à payer-obsèques</t>
        </is>
      </c>
      <c r="C21" s="28" t="inlineStr">
        <is>
          <t>19012 Provision pour prestations à payer - obsèques</t>
        </is>
      </c>
      <c r="D21" s="28" t="inlineStr">
        <is>
          <t>Provisions techniques</t>
        </is>
      </c>
      <c r="E21" s="28" t="inlineStr">
        <is>
          <t>Ressource longue</t>
        </is>
      </c>
      <c r="F21" s="28" t="inlineStr">
        <is>
          <t>Engagement à moins d'un an (prestations à payer)</t>
        </is>
      </c>
      <c r="G21" s="28" t="inlineStr">
        <is>
          <t>FEP, LIQ, EQS</t>
        </is>
      </c>
      <c r="H21" s="29" t="n">
        <v>-1961695412</v>
      </c>
      <c r="I21" s="29" t="n">
        <v>-1961695412</v>
      </c>
      <c r="J21" s="29" t="n">
        <v>-1961695412</v>
      </c>
      <c r="K21" s="29" t="n">
        <v>-1961695412</v>
      </c>
      <c r="L21" s="29" t="n">
        <v>0</v>
      </c>
      <c r="M21" s="29" t="n">
        <v>0</v>
      </c>
      <c r="N21" s="29" t="n">
        <v>0</v>
      </c>
    </row>
    <row r="22">
      <c r="A22" s="27" t="inlineStr">
        <is>
          <t>19600000</t>
        </is>
      </c>
      <c r="B22" s="30" t="inlineStr">
        <is>
          <t>Prov pr pensions &amp; oblig. similaire</t>
        </is>
      </c>
      <c r="C22" s="30" t="inlineStr">
        <is>
          <t>196 Provisions pour pensions</t>
        </is>
      </c>
      <c r="D22" s="30" t="inlineStr">
        <is>
          <t>Autres provisions</t>
        </is>
      </c>
      <c r="E22" s="30" t="inlineStr">
        <is>
          <t>Ressource longue</t>
        </is>
      </c>
      <c r="F22" s="30" t="inlineStr">
        <is>
          <t>Ressource longue</t>
        </is>
      </c>
      <c r="G22" s="30" t="n"/>
      <c r="H22" s="31" t="n">
        <v>-24155943</v>
      </c>
      <c r="I22" s="31" t="n">
        <v>-22542542</v>
      </c>
      <c r="J22" s="31" t="n">
        <v>-28325794</v>
      </c>
      <c r="K22" s="31" t="n">
        <v>-35312179</v>
      </c>
      <c r="L22" s="31" t="n">
        <v>-34753547</v>
      </c>
      <c r="M22" s="31" t="n">
        <v>-43666678</v>
      </c>
      <c r="N22" s="31" t="n">
        <v>-43666678</v>
      </c>
    </row>
    <row r="23">
      <c r="A23" s="27" t="inlineStr">
        <is>
          <t>21200000</t>
        </is>
      </c>
      <c r="B23" s="28" t="inlineStr">
        <is>
          <t>Agencements et aménag. terrains</t>
        </is>
      </c>
      <c r="C23" s="28" t="inlineStr">
        <is>
          <t>2 Actif immobilisé</t>
        </is>
      </c>
      <c r="D23" s="28" t="inlineStr">
        <is>
          <t>Actif immobilisé</t>
        </is>
      </c>
      <c r="E23" s="28" t="inlineStr">
        <is>
          <t>Emploi long</t>
        </is>
      </c>
      <c r="F23" s="28" t="inlineStr">
        <is>
          <t>Emploi long</t>
        </is>
      </c>
      <c r="G23" s="28" t="inlineStr">
        <is>
          <t>EQS</t>
        </is>
      </c>
      <c r="H23" s="29" t="n">
        <v>21516819</v>
      </c>
      <c r="I23" s="29" t="n">
        <v>32726819</v>
      </c>
      <c r="J23" s="29" t="n">
        <v>36302219</v>
      </c>
      <c r="K23" s="29" t="n">
        <v>36302219</v>
      </c>
      <c r="L23" s="29" t="n">
        <v>41802219</v>
      </c>
      <c r="M23" s="29" t="n">
        <v>41802219</v>
      </c>
      <c r="N23" s="29" t="n">
        <v>41802219</v>
      </c>
    </row>
    <row r="24">
      <c r="A24" s="27" t="inlineStr">
        <is>
          <t>21300000</t>
        </is>
      </c>
      <c r="B24" s="30" t="inlineStr">
        <is>
          <t>Logiciel</t>
        </is>
      </c>
      <c r="C24" s="30" t="inlineStr">
        <is>
          <t>2 Actif immobilisé</t>
        </is>
      </c>
      <c r="D24" s="30" t="inlineStr">
        <is>
          <t>Actif immobilisé</t>
        </is>
      </c>
      <c r="E24" s="30" t="inlineStr">
        <is>
          <t>Emploi long</t>
        </is>
      </c>
      <c r="F24" s="30" t="inlineStr">
        <is>
          <t>Emploi long</t>
        </is>
      </c>
      <c r="G24" s="30" t="inlineStr">
        <is>
          <t>EQS</t>
        </is>
      </c>
      <c r="H24" s="31" t="n">
        <v>233322368</v>
      </c>
      <c r="I24" s="31" t="n">
        <v>233322368</v>
      </c>
      <c r="J24" s="31" t="n">
        <v>233698243</v>
      </c>
      <c r="K24" s="31" t="n">
        <v>233698243</v>
      </c>
      <c r="L24" s="31" t="n">
        <v>233698243</v>
      </c>
      <c r="M24" s="31" t="n">
        <v>243698243</v>
      </c>
      <c r="N24" s="31" t="n">
        <v>250778243</v>
      </c>
    </row>
    <row r="25">
      <c r="A25" s="27" t="inlineStr">
        <is>
          <t>21930000</t>
        </is>
      </c>
      <c r="B25" s="28" t="inlineStr">
        <is>
          <t>LOGICIEL EN COURS</t>
        </is>
      </c>
      <c r="C25" s="28" t="inlineStr">
        <is>
          <t>2 Actif immobilisé</t>
        </is>
      </c>
      <c r="D25" s="28" t="inlineStr">
        <is>
          <t>Actif immobilisé</t>
        </is>
      </c>
      <c r="E25" s="28" t="inlineStr">
        <is>
          <t>Emploi long</t>
        </is>
      </c>
      <c r="F25" s="28" t="inlineStr">
        <is>
          <t>Emploi long</t>
        </is>
      </c>
      <c r="G25" s="28" t="inlineStr">
        <is>
          <t>EQS</t>
        </is>
      </c>
      <c r="H25" s="29" t="n">
        <v>12933333</v>
      </c>
      <c r="I25" s="29" t="n">
        <v>12933333</v>
      </c>
      <c r="J25" s="29" t="n">
        <v>12933333</v>
      </c>
      <c r="K25" s="29" t="n">
        <v>12933333</v>
      </c>
      <c r="L25" s="29" t="n">
        <v>12933333</v>
      </c>
      <c r="M25" s="29" t="n">
        <v>12933333</v>
      </c>
      <c r="N25" s="29" t="n">
        <v>12933333</v>
      </c>
    </row>
    <row r="26">
      <c r="A26" s="27" t="inlineStr">
        <is>
          <t>22200000</t>
        </is>
      </c>
      <c r="B26" s="30" t="inlineStr">
        <is>
          <t>Terrains nus</t>
        </is>
      </c>
      <c r="C26" s="30" t="inlineStr">
        <is>
          <t>2 Actif immobilisé</t>
        </is>
      </c>
      <c r="D26" s="30" t="inlineStr">
        <is>
          <t>Actif immobilisé</t>
        </is>
      </c>
      <c r="E26" s="30" t="inlineStr">
        <is>
          <t>Emploi long</t>
        </is>
      </c>
      <c r="F26" s="30" t="inlineStr">
        <is>
          <t>Emploi long</t>
        </is>
      </c>
      <c r="G26" s="30" t="inlineStr">
        <is>
          <t>EQS</t>
        </is>
      </c>
      <c r="H26" s="31" t="n">
        <v>3931156624</v>
      </c>
      <c r="I26" s="31" t="n">
        <v>3443682500</v>
      </c>
      <c r="J26" s="31" t="n">
        <v>3443682500</v>
      </c>
      <c r="K26" s="31" t="n">
        <v>3443682500</v>
      </c>
      <c r="L26" s="31" t="n">
        <v>3443682500</v>
      </c>
      <c r="M26" s="31" t="n">
        <v>5245896750</v>
      </c>
      <c r="N26" s="31" t="n">
        <v>5245896750</v>
      </c>
    </row>
    <row r="27">
      <c r="A27" s="27" t="inlineStr">
        <is>
          <t>22900000</t>
        </is>
      </c>
      <c r="B27" s="28" t="inlineStr">
        <is>
          <t>Aménagements de terrains en cours</t>
        </is>
      </c>
      <c r="C27" s="28" t="inlineStr">
        <is>
          <t>2 Actif immobilisé</t>
        </is>
      </c>
      <c r="D27" s="28" t="inlineStr">
        <is>
          <t>Actif immobilisé</t>
        </is>
      </c>
      <c r="E27" s="28" t="inlineStr">
        <is>
          <t>Emploi long</t>
        </is>
      </c>
      <c r="F27" s="28" t="inlineStr">
        <is>
          <t>Emploi long</t>
        </is>
      </c>
      <c r="G27" s="28" t="inlineStr">
        <is>
          <t>EQS</t>
        </is>
      </c>
      <c r="H27" s="29" t="n">
        <v>56000000</v>
      </c>
      <c r="I27" s="29" t="n">
        <v>56000000</v>
      </c>
      <c r="J27" s="29" t="n">
        <v>86000000</v>
      </c>
      <c r="K27" s="29" t="n">
        <v>536000000</v>
      </c>
      <c r="L27" s="29" t="n">
        <v>2212850000</v>
      </c>
      <c r="M27" s="29" t="n">
        <v>536000000</v>
      </c>
      <c r="N27" s="29" t="n">
        <v>574762164</v>
      </c>
    </row>
    <row r="28">
      <c r="A28" s="27" t="inlineStr">
        <is>
          <t>23100000</t>
        </is>
      </c>
      <c r="B28" s="30" t="inlineStr">
        <is>
          <t>Immob. corporelles en cours</t>
        </is>
      </c>
      <c r="C28" s="30" t="inlineStr">
        <is>
          <t>2 Actif immobilisé</t>
        </is>
      </c>
      <c r="D28" s="30" t="inlineStr">
        <is>
          <t>Actif immobilisé</t>
        </is>
      </c>
      <c r="E28" s="30" t="inlineStr">
        <is>
          <t>Emploi long</t>
        </is>
      </c>
      <c r="F28" s="30" t="inlineStr">
        <is>
          <t>Emploi long</t>
        </is>
      </c>
      <c r="G28" s="30" t="inlineStr">
        <is>
          <t>EQS</t>
        </is>
      </c>
      <c r="H28" s="31" t="n">
        <v>138572100</v>
      </c>
      <c r="I28" s="31" t="n">
        <v>138572100</v>
      </c>
      <c r="J28" s="31" t="n">
        <v>242441705</v>
      </c>
      <c r="K28" s="31" t="n">
        <v>242441705</v>
      </c>
      <c r="L28" s="31" t="n">
        <v>242441705</v>
      </c>
      <c r="M28" s="31" t="n">
        <v>242441705</v>
      </c>
      <c r="N28" s="31" t="n">
        <v>242441705</v>
      </c>
    </row>
    <row r="29">
      <c r="A29" s="27" t="inlineStr">
        <is>
          <t>23130000</t>
        </is>
      </c>
      <c r="B29" s="28" t="inlineStr">
        <is>
          <t>BATIMENTS ADMINISTRATIF</t>
        </is>
      </c>
      <c r="C29" s="28" t="inlineStr">
        <is>
          <t>2 Actif immobilisé</t>
        </is>
      </c>
      <c r="D29" s="28" t="inlineStr">
        <is>
          <t>Actif immobilisé</t>
        </is>
      </c>
      <c r="E29" s="28" t="inlineStr">
        <is>
          <t>Emploi long</t>
        </is>
      </c>
      <c r="F29" s="28" t="inlineStr">
        <is>
          <t>Emploi long</t>
        </is>
      </c>
      <c r="G29" s="28" t="inlineStr">
        <is>
          <t>EQS</t>
        </is>
      </c>
      <c r="H29" s="29" t="n">
        <v>424341213</v>
      </c>
      <c r="I29" s="29" t="n">
        <v>424341213</v>
      </c>
      <c r="J29" s="29" t="n">
        <v>424341213</v>
      </c>
      <c r="K29" s="29" t="n">
        <v>424341213</v>
      </c>
      <c r="L29" s="29" t="n">
        <v>424341213</v>
      </c>
      <c r="M29" s="29" t="n">
        <v>424341213</v>
      </c>
      <c r="N29" s="29" t="n">
        <v>424341213</v>
      </c>
    </row>
    <row r="30">
      <c r="A30" s="27" t="inlineStr">
        <is>
          <t>23810000</t>
        </is>
      </c>
      <c r="B30" s="30" t="inlineStr">
        <is>
          <t>AMENAGEMENT DE BUREAU</t>
        </is>
      </c>
      <c r="C30" s="30" t="inlineStr">
        <is>
          <t>2 Actif immobilisé</t>
        </is>
      </c>
      <c r="D30" s="30" t="inlineStr">
        <is>
          <t>Actif immobilisé</t>
        </is>
      </c>
      <c r="E30" s="30" t="inlineStr">
        <is>
          <t>Emploi long</t>
        </is>
      </c>
      <c r="F30" s="30" t="inlineStr">
        <is>
          <t>Emploi long</t>
        </is>
      </c>
      <c r="G30" s="30" t="inlineStr">
        <is>
          <t>EQS</t>
        </is>
      </c>
      <c r="H30" s="31" t="n">
        <v>262562296</v>
      </c>
      <c r="I30" s="31" t="n">
        <v>277739148</v>
      </c>
      <c r="J30" s="31" t="n">
        <v>277739148</v>
      </c>
      <c r="K30" s="31" t="n">
        <v>282714352</v>
      </c>
      <c r="L30" s="31" t="n">
        <v>294651313</v>
      </c>
      <c r="M30" s="31" t="n">
        <v>303776005</v>
      </c>
      <c r="N30" s="31" t="n">
        <v>310084005</v>
      </c>
    </row>
    <row r="31">
      <c r="A31" s="27" t="inlineStr">
        <is>
          <t>23880000</t>
        </is>
      </c>
      <c r="B31" s="28" t="inlineStr">
        <is>
          <t>AUTRES INSTALLATION &amp; AGENCEMENTS</t>
        </is>
      </c>
      <c r="C31" s="28" t="inlineStr">
        <is>
          <t>2 Actif immobilisé</t>
        </is>
      </c>
      <c r="D31" s="28" t="inlineStr">
        <is>
          <t>Actif immobilisé</t>
        </is>
      </c>
      <c r="E31" s="28" t="inlineStr">
        <is>
          <t>Emploi long</t>
        </is>
      </c>
      <c r="F31" s="28" t="inlineStr">
        <is>
          <t>Emploi long</t>
        </is>
      </c>
      <c r="G31" s="28" t="inlineStr">
        <is>
          <t>EQS</t>
        </is>
      </c>
      <c r="H31" s="29" t="n">
        <v>422100968</v>
      </c>
      <c r="I31" s="29" t="n">
        <v>464470380</v>
      </c>
      <c r="J31" s="29" t="n">
        <v>464470380</v>
      </c>
      <c r="K31" s="29" t="n">
        <v>467917600</v>
      </c>
      <c r="L31" s="29" t="n">
        <v>467917600</v>
      </c>
      <c r="M31" s="29" t="n">
        <v>467917600</v>
      </c>
      <c r="N31" s="29" t="n">
        <v>467917600</v>
      </c>
    </row>
    <row r="32">
      <c r="A32" s="27" t="inlineStr">
        <is>
          <t>23910000</t>
        </is>
      </c>
      <c r="B32" s="30" t="inlineStr">
        <is>
          <t>BATIMENTS &amp; INSTALLATIONS EN COURS</t>
        </is>
      </c>
      <c r="C32" s="30" t="inlineStr">
        <is>
          <t>2 Actif immobilisé</t>
        </is>
      </c>
      <c r="D32" s="30" t="inlineStr">
        <is>
          <t>Actif immobilisé</t>
        </is>
      </c>
      <c r="E32" s="30" t="inlineStr">
        <is>
          <t>Emploi long</t>
        </is>
      </c>
      <c r="F32" s="30" t="inlineStr">
        <is>
          <t>Emploi long</t>
        </is>
      </c>
      <c r="G32" s="30" t="inlineStr">
        <is>
          <t>EQS</t>
        </is>
      </c>
      <c r="H32" s="31" t="n">
        <v>60000000</v>
      </c>
      <c r="I32" s="31" t="n">
        <v>112869605</v>
      </c>
      <c r="J32" s="31" t="n">
        <v>15000000</v>
      </c>
      <c r="K32" s="31" t="n">
        <v>15000000</v>
      </c>
      <c r="L32" s="31" t="n">
        <v>15000000</v>
      </c>
      <c r="M32" s="31" t="n">
        <v>15000000</v>
      </c>
      <c r="N32" s="31" t="n">
        <v>15000000</v>
      </c>
    </row>
    <row r="33">
      <c r="A33" s="27" t="inlineStr">
        <is>
          <t>24410000</t>
        </is>
      </c>
      <c r="B33" s="28" t="inlineStr">
        <is>
          <t>Matériel de bureau</t>
        </is>
      </c>
      <c r="C33" s="28" t="inlineStr">
        <is>
          <t>2 Actif immobilisé</t>
        </is>
      </c>
      <c r="D33" s="28" t="inlineStr">
        <is>
          <t>Actif immobilisé</t>
        </is>
      </c>
      <c r="E33" s="28" t="inlineStr">
        <is>
          <t>Emploi long</t>
        </is>
      </c>
      <c r="F33" s="28" t="inlineStr">
        <is>
          <t>Emploi long</t>
        </is>
      </c>
      <c r="G33" s="28" t="inlineStr">
        <is>
          <t>EQS</t>
        </is>
      </c>
      <c r="H33" s="29" t="n">
        <v>18079561</v>
      </c>
      <c r="I33" s="29" t="n">
        <v>18079561</v>
      </c>
      <c r="J33" s="29" t="n">
        <v>18079561</v>
      </c>
      <c r="K33" s="29" t="n">
        <v>18079561</v>
      </c>
      <c r="L33" s="29" t="n">
        <v>18079561</v>
      </c>
      <c r="M33" s="29" t="n">
        <v>18079561</v>
      </c>
      <c r="N33" s="29" t="n">
        <v>18079561</v>
      </c>
    </row>
    <row r="34">
      <c r="A34" s="27" t="inlineStr">
        <is>
          <t>24420000</t>
        </is>
      </c>
      <c r="B34" s="30" t="inlineStr">
        <is>
          <t>Matériels Informatiques</t>
        </is>
      </c>
      <c r="C34" s="30" t="inlineStr">
        <is>
          <t>2 Actif immobilisé</t>
        </is>
      </c>
      <c r="D34" s="30" t="inlineStr">
        <is>
          <t>Actif immobilisé</t>
        </is>
      </c>
      <c r="E34" s="30" t="inlineStr">
        <is>
          <t>Emploi long</t>
        </is>
      </c>
      <c r="F34" s="30" t="inlineStr">
        <is>
          <t>Emploi long</t>
        </is>
      </c>
      <c r="G34" s="30" t="inlineStr">
        <is>
          <t>EQS</t>
        </is>
      </c>
      <c r="H34" s="31" t="n">
        <v>111417919</v>
      </c>
      <c r="I34" s="31" t="n">
        <v>125621064</v>
      </c>
      <c r="J34" s="31" t="n">
        <v>138255064</v>
      </c>
      <c r="K34" s="31" t="n">
        <v>146683964</v>
      </c>
      <c r="L34" s="31" t="n">
        <v>156982464</v>
      </c>
      <c r="M34" s="31" t="n">
        <v>158792464</v>
      </c>
      <c r="N34" s="31" t="n">
        <v>161052464</v>
      </c>
    </row>
    <row r="35">
      <c r="A35" s="27" t="inlineStr">
        <is>
          <t>24440000</t>
        </is>
      </c>
      <c r="B35" s="28" t="inlineStr">
        <is>
          <t>MOBILIER DE BUREAU</t>
        </is>
      </c>
      <c r="C35" s="28" t="inlineStr">
        <is>
          <t>2 Actif immobilisé</t>
        </is>
      </c>
      <c r="D35" s="28" t="inlineStr">
        <is>
          <t>Actif immobilisé</t>
        </is>
      </c>
      <c r="E35" s="28" t="inlineStr">
        <is>
          <t>Emploi long</t>
        </is>
      </c>
      <c r="F35" s="28" t="inlineStr">
        <is>
          <t>Emploi long</t>
        </is>
      </c>
      <c r="G35" s="28" t="inlineStr">
        <is>
          <t>EQS</t>
        </is>
      </c>
      <c r="H35" s="29" t="n">
        <v>171901930</v>
      </c>
      <c r="I35" s="29" t="n">
        <v>172631930</v>
      </c>
      <c r="J35" s="29" t="n">
        <v>176578560</v>
      </c>
      <c r="K35" s="29" t="n">
        <v>179801825</v>
      </c>
      <c r="L35" s="29" t="n">
        <v>180401825</v>
      </c>
      <c r="M35" s="29" t="n">
        <v>207552522</v>
      </c>
      <c r="N35" s="29" t="n">
        <v>207802522</v>
      </c>
    </row>
    <row r="36">
      <c r="A36" s="27" t="inlineStr">
        <is>
          <t>24500000</t>
        </is>
      </c>
      <c r="B36" s="30" t="inlineStr">
        <is>
          <t>Matériel de transport</t>
        </is>
      </c>
      <c r="C36" s="30" t="inlineStr">
        <is>
          <t>2 Actif immobilisé</t>
        </is>
      </c>
      <c r="D36" s="30" t="inlineStr">
        <is>
          <t>Actif immobilisé</t>
        </is>
      </c>
      <c r="E36" s="30" t="inlineStr">
        <is>
          <t>Emploi long</t>
        </is>
      </c>
      <c r="F36" s="30" t="inlineStr">
        <is>
          <t>Emploi long</t>
        </is>
      </c>
      <c r="G36" s="30" t="inlineStr">
        <is>
          <t>EQS</t>
        </is>
      </c>
      <c r="H36" s="31" t="n">
        <v>165620973</v>
      </c>
      <c r="I36" s="31" t="n">
        <v>91463988</v>
      </c>
      <c r="J36" s="31" t="n">
        <v>126382886</v>
      </c>
      <c r="K36" s="31" t="n">
        <v>113413988</v>
      </c>
      <c r="L36" s="31" t="n">
        <v>96353969</v>
      </c>
      <c r="M36" s="31" t="n">
        <v>130536775</v>
      </c>
      <c r="N36" s="31" t="n">
        <v>130536775</v>
      </c>
    </row>
    <row r="37">
      <c r="A37" s="27" t="inlineStr">
        <is>
          <t>24800000</t>
        </is>
      </c>
      <c r="B37" s="28" t="inlineStr">
        <is>
          <t>Autres matériels</t>
        </is>
      </c>
      <c r="C37" s="28" t="inlineStr">
        <is>
          <t>2 Actif immobilisé</t>
        </is>
      </c>
      <c r="D37" s="28" t="inlineStr">
        <is>
          <t>Actif immobilisé</t>
        </is>
      </c>
      <c r="E37" s="28" t="inlineStr">
        <is>
          <t>Emploi long</t>
        </is>
      </c>
      <c r="F37" s="28" t="inlineStr">
        <is>
          <t>Emploi long</t>
        </is>
      </c>
      <c r="G37" s="28" t="inlineStr">
        <is>
          <t>EQS</t>
        </is>
      </c>
      <c r="H37" s="29" t="n">
        <v>73668996</v>
      </c>
      <c r="I37" s="29" t="n">
        <v>76294843</v>
      </c>
      <c r="J37" s="29" t="n">
        <v>78764843</v>
      </c>
      <c r="K37" s="29" t="n">
        <v>81084843</v>
      </c>
      <c r="L37" s="29" t="n">
        <v>83854258</v>
      </c>
      <c r="M37" s="29" t="n">
        <v>84644258</v>
      </c>
      <c r="N37" s="29" t="n">
        <v>86164258</v>
      </c>
    </row>
    <row r="38">
      <c r="A38" s="27" t="inlineStr">
        <is>
          <t>24801000</t>
        </is>
      </c>
      <c r="B38" s="30" t="inlineStr">
        <is>
          <t>MATERIEL MEDICAL</t>
        </is>
      </c>
      <c r="C38" s="30" t="inlineStr">
        <is>
          <t>2 Actif immobilisé</t>
        </is>
      </c>
      <c r="D38" s="30" t="inlineStr">
        <is>
          <t>Actif immobilisé</t>
        </is>
      </c>
      <c r="E38" s="30" t="inlineStr">
        <is>
          <t>Emploi long</t>
        </is>
      </c>
      <c r="F38" s="30" t="inlineStr">
        <is>
          <t>Emploi long</t>
        </is>
      </c>
      <c r="G38" s="30" t="inlineStr">
        <is>
          <t>EQS</t>
        </is>
      </c>
      <c r="H38" s="31" t="n">
        <v>37440672</v>
      </c>
      <c r="I38" s="31" t="n">
        <v>37440672</v>
      </c>
      <c r="J38" s="31" t="n">
        <v>37440672</v>
      </c>
      <c r="K38" s="31" t="n">
        <v>37440672</v>
      </c>
      <c r="L38" s="31" t="n">
        <v>37440672</v>
      </c>
      <c r="M38" s="31" t="n">
        <v>37440672</v>
      </c>
      <c r="N38" s="31" t="n">
        <v>37440672</v>
      </c>
    </row>
    <row r="39">
      <c r="A39" s="27" t="inlineStr">
        <is>
          <t>24942000</t>
        </is>
      </c>
      <c r="B39" s="28" t="inlineStr">
        <is>
          <t>MATERIEL INFORMATIQUE EN COURS</t>
        </is>
      </c>
      <c r="C39" s="28" t="inlineStr">
        <is>
          <t>2 Actif immobilisé</t>
        </is>
      </c>
      <c r="D39" s="28" t="inlineStr">
        <is>
          <t>Actif immobilisé</t>
        </is>
      </c>
      <c r="E39" s="28" t="inlineStr">
        <is>
          <t>Emploi long</t>
        </is>
      </c>
      <c r="F39" s="28" t="inlineStr">
        <is>
          <t>Emploi long</t>
        </is>
      </c>
      <c r="G39" s="28" t="inlineStr">
        <is>
          <t>EQS</t>
        </is>
      </c>
      <c r="H39" s="29" t="n">
        <v>13666667</v>
      </c>
      <c r="I39" s="29" t="n">
        <v>13666667</v>
      </c>
      <c r="J39" s="29" t="n">
        <v>13666667</v>
      </c>
      <c r="K39" s="29" t="n">
        <v>13666667</v>
      </c>
      <c r="L39" s="29" t="n">
        <v>13666667</v>
      </c>
      <c r="M39" s="29" t="n">
        <v>13666667</v>
      </c>
      <c r="N39" s="29" t="n">
        <v>13666667</v>
      </c>
    </row>
    <row r="40">
      <c r="A40" s="27" t="inlineStr">
        <is>
          <t>24950000</t>
        </is>
      </c>
      <c r="B40" s="30" t="inlineStr">
        <is>
          <t>MATERIEL DE TRANSPORT EN COURS</t>
        </is>
      </c>
      <c r="C40" s="30" t="inlineStr">
        <is>
          <t>2 Actif immobilisé</t>
        </is>
      </c>
      <c r="D40" s="30" t="inlineStr">
        <is>
          <t>Actif immobilisé</t>
        </is>
      </c>
      <c r="E40" s="30" t="inlineStr">
        <is>
          <t>Emploi long</t>
        </is>
      </c>
      <c r="F40" s="30" t="inlineStr">
        <is>
          <t>Emploi long</t>
        </is>
      </c>
      <c r="G40" s="30" t="inlineStr">
        <is>
          <t>EQS</t>
        </is>
      </c>
      <c r="H40" s="31" t="n">
        <v>0</v>
      </c>
      <c r="I40" s="31" t="n">
        <v>0</v>
      </c>
      <c r="J40" s="31" t="n">
        <v>43000000</v>
      </c>
      <c r="K40" s="31" t="n">
        <v>0</v>
      </c>
      <c r="L40" s="31" t="n">
        <v>52064000</v>
      </c>
      <c r="M40" s="31" t="n">
        <v>0</v>
      </c>
      <c r="N40" s="31" t="n">
        <v>0</v>
      </c>
    </row>
    <row r="41">
      <c r="A41" s="27" t="inlineStr">
        <is>
          <t>27110000</t>
        </is>
      </c>
      <c r="B41" s="28" t="inlineStr">
        <is>
          <t>PEP/Prêt équipement</t>
        </is>
      </c>
      <c r="C41" s="28" t="inlineStr">
        <is>
          <t>27 Autres immobilisations financières (prêts)</t>
        </is>
      </c>
      <c r="D41" s="28" t="inlineStr">
        <is>
          <t>Actif immobilisé</t>
        </is>
      </c>
      <c r="E41" s="28" t="inlineStr">
        <is>
          <t>Emploi long</t>
        </is>
      </c>
      <c r="F41" s="28" t="inlineStr">
        <is>
          <t>Emploi long</t>
        </is>
      </c>
      <c r="G41" s="28" t="inlineStr">
        <is>
          <t>EQS</t>
        </is>
      </c>
      <c r="H41" s="29" t="n">
        <v>136281227</v>
      </c>
      <c r="I41" s="29" t="n">
        <v>135977038</v>
      </c>
      <c r="J41" s="29" t="n">
        <v>134938402</v>
      </c>
      <c r="K41" s="29" t="n">
        <v>134802504</v>
      </c>
      <c r="L41" s="29" t="n">
        <v>134802504</v>
      </c>
      <c r="M41" s="29" t="n">
        <v>134802504</v>
      </c>
      <c r="N41" s="29" t="n">
        <v>134802504</v>
      </c>
    </row>
    <row r="42">
      <c r="A42" s="27" t="inlineStr">
        <is>
          <t>27120000</t>
        </is>
      </c>
      <c r="B42" s="30" t="inlineStr">
        <is>
          <t>PEP/Prêt immobilier</t>
        </is>
      </c>
      <c r="C42" s="30" t="inlineStr">
        <is>
          <t>27 Autres immobilisations financières (prêts)</t>
        </is>
      </c>
      <c r="D42" s="30" t="inlineStr">
        <is>
          <t>Actif immobilisé</t>
        </is>
      </c>
      <c r="E42" s="30" t="inlineStr">
        <is>
          <t>Emploi long</t>
        </is>
      </c>
      <c r="F42" s="30" t="inlineStr">
        <is>
          <t>Emploi long</t>
        </is>
      </c>
      <c r="G42" s="30" t="inlineStr">
        <is>
          <t>EQS</t>
        </is>
      </c>
      <c r="H42" s="31" t="n">
        <v>336583429</v>
      </c>
      <c r="I42" s="31" t="n">
        <v>307130669</v>
      </c>
      <c r="J42" s="31" t="n">
        <v>285114960</v>
      </c>
      <c r="K42" s="31" t="n">
        <v>255962201</v>
      </c>
      <c r="L42" s="31" t="n">
        <v>245871732</v>
      </c>
      <c r="M42" s="31" t="n">
        <v>244401757</v>
      </c>
      <c r="N42" s="31" t="n">
        <v>244401757</v>
      </c>
    </row>
    <row r="43">
      <c r="A43" s="27" t="inlineStr">
        <is>
          <t>27200000</t>
        </is>
      </c>
      <c r="B43" s="28" t="inlineStr">
        <is>
          <t>Prêts au Personnel</t>
        </is>
      </c>
      <c r="C43" s="28" t="inlineStr">
        <is>
          <t>27 Autres immobilisations financières (prêts)</t>
        </is>
      </c>
      <c r="D43" s="28" t="inlineStr">
        <is>
          <t>Actif immobilisé</t>
        </is>
      </c>
      <c r="E43" s="28" t="inlineStr">
        <is>
          <t>Emploi long</t>
        </is>
      </c>
      <c r="F43" s="28" t="inlineStr">
        <is>
          <t>Emploi long</t>
        </is>
      </c>
      <c r="G43" s="28" t="inlineStr">
        <is>
          <t>EQS</t>
        </is>
      </c>
      <c r="H43" s="29" t="n">
        <v>0</v>
      </c>
      <c r="I43" s="29" t="n">
        <v>0</v>
      </c>
      <c r="J43" s="29" t="n">
        <v>6000000</v>
      </c>
      <c r="K43" s="29" t="n">
        <v>2950000</v>
      </c>
      <c r="L43" s="29" t="n">
        <v>22350000</v>
      </c>
      <c r="M43" s="29" t="n">
        <v>9900000</v>
      </c>
      <c r="N43" s="29" t="n">
        <v>2500000</v>
      </c>
    </row>
    <row r="44">
      <c r="A44" s="27" t="inlineStr">
        <is>
          <t>27520000</t>
        </is>
      </c>
      <c r="B44" s="30" t="inlineStr">
        <is>
          <t>DEPOTS/L'ELECTRICITE</t>
        </is>
      </c>
      <c r="C44" s="30" t="inlineStr">
        <is>
          <t>27 Autres immobilisations financières (prêts)</t>
        </is>
      </c>
      <c r="D44" s="30" t="inlineStr">
        <is>
          <t>Actif immobilisé</t>
        </is>
      </c>
      <c r="E44" s="30" t="inlineStr">
        <is>
          <t>Emploi long</t>
        </is>
      </c>
      <c r="F44" s="30" t="inlineStr">
        <is>
          <t>Emploi long</t>
        </is>
      </c>
      <c r="G44" s="30" t="inlineStr">
        <is>
          <t>EQS</t>
        </is>
      </c>
      <c r="H44" s="31" t="n">
        <v>3269707</v>
      </c>
      <c r="I44" s="31" t="n">
        <v>3269707</v>
      </c>
      <c r="J44" s="31" t="n">
        <v>3269707</v>
      </c>
      <c r="K44" s="31" t="n">
        <v>3269707</v>
      </c>
      <c r="L44" s="31" t="n">
        <v>3269707</v>
      </c>
      <c r="M44" s="31" t="n">
        <v>3269707</v>
      </c>
      <c r="N44" s="31" t="n">
        <v>3269707</v>
      </c>
    </row>
    <row r="45">
      <c r="A45" s="27" t="inlineStr">
        <is>
          <t>27580000</t>
        </is>
      </c>
      <c r="B45" s="28" t="inlineStr">
        <is>
          <t>AUTRES DEPOTS ET CAUTIONNEMENTS</t>
        </is>
      </c>
      <c r="C45" s="28" t="inlineStr">
        <is>
          <t>27 Autres immobilisations financières (prêts)</t>
        </is>
      </c>
      <c r="D45" s="28" t="inlineStr">
        <is>
          <t>Actif immobilisé</t>
        </is>
      </c>
      <c r="E45" s="28" t="inlineStr">
        <is>
          <t>Emploi long</t>
        </is>
      </c>
      <c r="F45" s="28" t="inlineStr">
        <is>
          <t>Emploi long</t>
        </is>
      </c>
      <c r="G45" s="28" t="inlineStr">
        <is>
          <t>EQS</t>
        </is>
      </c>
      <c r="H45" s="29" t="n">
        <v>90000</v>
      </c>
      <c r="I45" s="29" t="n">
        <v>90000</v>
      </c>
      <c r="J45" s="29" t="n">
        <v>90000</v>
      </c>
      <c r="K45" s="29" t="n">
        <v>90000</v>
      </c>
      <c r="L45" s="29" t="n">
        <v>90000</v>
      </c>
      <c r="M45" s="29" t="n">
        <v>5090000</v>
      </c>
      <c r="N45" s="29" t="n">
        <v>5090000</v>
      </c>
    </row>
    <row r="46">
      <c r="A46" s="27" t="inlineStr">
        <is>
          <t>28120000</t>
        </is>
      </c>
      <c r="B46" s="30" t="inlineStr">
        <is>
          <t>Amort. des brevets et licences</t>
        </is>
      </c>
      <c r="C46" s="30" t="inlineStr">
        <is>
          <t>2 Actif immobilisé</t>
        </is>
      </c>
      <c r="D46" s="30" t="inlineStr">
        <is>
          <t>Actif immobilisé</t>
        </is>
      </c>
      <c r="E46" s="30" t="inlineStr">
        <is>
          <t>Emploi long</t>
        </is>
      </c>
      <c r="F46" s="30" t="inlineStr">
        <is>
          <t>Emploi long</t>
        </is>
      </c>
      <c r="G46" s="30" t="inlineStr">
        <is>
          <t>EQS</t>
        </is>
      </c>
      <c r="H46" s="31" t="n">
        <v>-21465258</v>
      </c>
      <c r="I46" s="31" t="n">
        <v>-24941756</v>
      </c>
      <c r="J46" s="31" t="n">
        <v>-29308631</v>
      </c>
      <c r="K46" s="31" t="n">
        <v>-34236605</v>
      </c>
      <c r="L46" s="31" t="n">
        <v>-36810102</v>
      </c>
      <c r="M46" s="31" t="n">
        <v>-39204708</v>
      </c>
      <c r="N46" s="31" t="n">
        <v>-39204708</v>
      </c>
    </row>
    <row r="47">
      <c r="A47" s="27" t="inlineStr">
        <is>
          <t>28130000</t>
        </is>
      </c>
      <c r="B47" s="28" t="inlineStr">
        <is>
          <t>Amort des logiciels</t>
        </is>
      </c>
      <c r="C47" s="28" t="inlineStr">
        <is>
          <t>2 Actif immobilisé</t>
        </is>
      </c>
      <c r="D47" s="28" t="inlineStr">
        <is>
          <t>Actif immobilisé</t>
        </is>
      </c>
      <c r="E47" s="28" t="inlineStr">
        <is>
          <t>Emploi long</t>
        </is>
      </c>
      <c r="F47" s="28" t="inlineStr">
        <is>
          <t>Emploi long</t>
        </is>
      </c>
      <c r="G47" s="28" t="inlineStr">
        <is>
          <t>EQS</t>
        </is>
      </c>
      <c r="H47" s="29" t="n">
        <v>-205963919</v>
      </c>
      <c r="I47" s="29" t="n">
        <v>-213340905</v>
      </c>
      <c r="J47" s="29" t="n">
        <v>-215247134</v>
      </c>
      <c r="K47" s="29" t="n">
        <v>-221523459</v>
      </c>
      <c r="L47" s="29" t="n">
        <v>-227646472</v>
      </c>
      <c r="M47" s="29" t="n">
        <v>-237031241</v>
      </c>
      <c r="N47" s="29" t="n">
        <v>-237031241</v>
      </c>
    </row>
    <row r="48">
      <c r="A48" s="27" t="inlineStr">
        <is>
          <t>28310000</t>
        </is>
      </c>
      <c r="B48" s="30" t="inlineStr">
        <is>
          <t>AMORTISSEMENT BATIMENTS SUR SOLS PR</t>
        </is>
      </c>
      <c r="C48" s="30" t="inlineStr">
        <is>
          <t>2 Actif immobilisé</t>
        </is>
      </c>
      <c r="D48" s="30" t="inlineStr">
        <is>
          <t>Actif immobilisé</t>
        </is>
      </c>
      <c r="E48" s="30" t="inlineStr">
        <is>
          <t>Emploi long</t>
        </is>
      </c>
      <c r="F48" s="30" t="inlineStr">
        <is>
          <t>Emploi long</t>
        </is>
      </c>
      <c r="G48" s="30" t="inlineStr">
        <is>
          <t>EQS</t>
        </is>
      </c>
      <c r="H48" s="31" t="n">
        <v>-5196454</v>
      </c>
      <c r="I48" s="31" t="n">
        <v>-12125059</v>
      </c>
      <c r="J48" s="31" t="n">
        <v>-21650404</v>
      </c>
      <c r="K48" s="31" t="n">
        <v>-33772489</v>
      </c>
      <c r="L48" s="31" t="n">
        <v>-45894574</v>
      </c>
      <c r="M48" s="31" t="n">
        <v>-58016659</v>
      </c>
      <c r="N48" s="31" t="n">
        <v>-58016659</v>
      </c>
    </row>
    <row r="49">
      <c r="A49" s="27" t="inlineStr">
        <is>
          <t>28313000</t>
        </is>
      </c>
      <c r="B49" s="28" t="inlineStr">
        <is>
          <t>AMORT. BATIMENT ADMINITRATIF</t>
        </is>
      </c>
      <c r="C49" s="28" t="inlineStr">
        <is>
          <t>2 Actif immobilisé</t>
        </is>
      </c>
      <c r="D49" s="28" t="inlineStr">
        <is>
          <t>Actif immobilisé</t>
        </is>
      </c>
      <c r="E49" s="28" t="inlineStr">
        <is>
          <t>Emploi long</t>
        </is>
      </c>
      <c r="F49" s="28" t="inlineStr">
        <is>
          <t>Emploi long</t>
        </is>
      </c>
      <c r="G49" s="28" t="inlineStr">
        <is>
          <t>EQS</t>
        </is>
      </c>
      <c r="H49" s="29" t="n">
        <v>-167783149</v>
      </c>
      <c r="I49" s="29" t="n">
        <v>-189000210</v>
      </c>
      <c r="J49" s="29" t="n">
        <v>-210217271</v>
      </c>
      <c r="K49" s="29" t="n">
        <v>-231434332</v>
      </c>
      <c r="L49" s="29" t="n">
        <v>-252651393</v>
      </c>
      <c r="M49" s="29" t="n">
        <v>-273868454</v>
      </c>
      <c r="N49" s="29" t="n">
        <v>-273868454</v>
      </c>
    </row>
    <row r="50">
      <c r="A50" s="27" t="inlineStr">
        <is>
          <t>28381000</t>
        </is>
      </c>
      <c r="B50" s="30" t="inlineStr">
        <is>
          <t>Amortis des amenagements de bureaux</t>
        </is>
      </c>
      <c r="C50" s="30" t="inlineStr">
        <is>
          <t>2 Actif immobilisé</t>
        </is>
      </c>
      <c r="D50" s="30" t="inlineStr">
        <is>
          <t>Actif immobilisé</t>
        </is>
      </c>
      <c r="E50" s="30" t="inlineStr">
        <is>
          <t>Emploi long</t>
        </is>
      </c>
      <c r="F50" s="30" t="inlineStr">
        <is>
          <t>Emploi long</t>
        </is>
      </c>
      <c r="G50" s="30" t="inlineStr">
        <is>
          <t>EQS</t>
        </is>
      </c>
      <c r="H50" s="31" t="n">
        <v>-129288239</v>
      </c>
      <c r="I50" s="31" t="n">
        <v>-156106221</v>
      </c>
      <c r="J50" s="31" t="n">
        <v>-183880136</v>
      </c>
      <c r="K50" s="31" t="n">
        <v>-206252028</v>
      </c>
      <c r="L50" s="31" t="n">
        <v>-225134101</v>
      </c>
      <c r="M50" s="31" t="n">
        <v>-238799167</v>
      </c>
      <c r="N50" s="31" t="n">
        <v>-238799167</v>
      </c>
    </row>
    <row r="51">
      <c r="A51" s="27" t="inlineStr">
        <is>
          <t>28388000</t>
        </is>
      </c>
      <c r="B51" s="28" t="inlineStr">
        <is>
          <t>Amort amenagement et autres insta</t>
        </is>
      </c>
      <c r="C51" s="28" t="inlineStr">
        <is>
          <t>2 Actif immobilisé</t>
        </is>
      </c>
      <c r="D51" s="28" t="inlineStr">
        <is>
          <t>Actif immobilisé</t>
        </is>
      </c>
      <c r="E51" s="28" t="inlineStr">
        <is>
          <t>Emploi long</t>
        </is>
      </c>
      <c r="F51" s="28" t="inlineStr">
        <is>
          <t>Emploi long</t>
        </is>
      </c>
      <c r="G51" s="28" t="inlineStr">
        <is>
          <t>EQS</t>
        </is>
      </c>
      <c r="H51" s="29" t="n">
        <v>-244530200</v>
      </c>
      <c r="I51" s="29" t="n">
        <v>-286918097</v>
      </c>
      <c r="J51" s="29" t="n">
        <v>-326264237</v>
      </c>
      <c r="K51" s="29" t="n">
        <v>-364326120</v>
      </c>
      <c r="L51" s="29" t="n">
        <v>-401445041</v>
      </c>
      <c r="M51" s="29" t="n">
        <v>-423494572</v>
      </c>
      <c r="N51" s="29" t="n">
        <v>-423494572</v>
      </c>
    </row>
    <row r="52">
      <c r="A52" s="27" t="inlineStr">
        <is>
          <t>28441000</t>
        </is>
      </c>
      <c r="B52" s="30" t="inlineStr">
        <is>
          <t>Amort.matériels de bureau</t>
        </is>
      </c>
      <c r="C52" s="30" t="inlineStr">
        <is>
          <t>2 Actif immobilisé</t>
        </is>
      </c>
      <c r="D52" s="30" t="inlineStr">
        <is>
          <t>Actif immobilisé</t>
        </is>
      </c>
      <c r="E52" s="30" t="inlineStr">
        <is>
          <t>Emploi long</t>
        </is>
      </c>
      <c r="F52" s="30" t="inlineStr">
        <is>
          <t>Emploi long</t>
        </is>
      </c>
      <c r="G52" s="30" t="inlineStr">
        <is>
          <t>EQS</t>
        </is>
      </c>
      <c r="H52" s="31" t="n">
        <v>-11084917</v>
      </c>
      <c r="I52" s="31" t="n">
        <v>-12880790</v>
      </c>
      <c r="J52" s="31" t="n">
        <v>-14392806</v>
      </c>
      <c r="K52" s="31" t="n">
        <v>-15743246</v>
      </c>
      <c r="L52" s="31" t="n">
        <v>-16943236</v>
      </c>
      <c r="M52" s="31" t="n">
        <v>-17625476</v>
      </c>
      <c r="N52" s="31" t="n">
        <v>-17625476</v>
      </c>
    </row>
    <row r="53">
      <c r="A53" s="27" t="inlineStr">
        <is>
          <t>28442000</t>
        </is>
      </c>
      <c r="B53" s="28" t="inlineStr">
        <is>
          <t>Amort.matériels informatiques</t>
        </is>
      </c>
      <c r="C53" s="28" t="inlineStr">
        <is>
          <t>2 Actif immobilisé</t>
        </is>
      </c>
      <c r="D53" s="28" t="inlineStr">
        <is>
          <t>Actif immobilisé</t>
        </is>
      </c>
      <c r="E53" s="28" t="inlineStr">
        <is>
          <t>Emploi long</t>
        </is>
      </c>
      <c r="F53" s="28" t="inlineStr">
        <is>
          <t>Emploi long</t>
        </is>
      </c>
      <c r="G53" s="28" t="inlineStr">
        <is>
          <t>EQS</t>
        </is>
      </c>
      <c r="H53" s="29" t="n">
        <v>-110129461</v>
      </c>
      <c r="I53" s="29" t="n">
        <v>-116392757</v>
      </c>
      <c r="J53" s="29" t="n">
        <v>-127583788</v>
      </c>
      <c r="K53" s="29" t="n">
        <v>-136921256</v>
      </c>
      <c r="L53" s="29" t="n">
        <v>-146689164</v>
      </c>
      <c r="M53" s="29" t="n">
        <v>-155160964</v>
      </c>
      <c r="N53" s="29" t="n">
        <v>-155160964</v>
      </c>
    </row>
    <row r="54">
      <c r="A54" s="27" t="inlineStr">
        <is>
          <t>28444000</t>
        </is>
      </c>
      <c r="B54" s="30" t="inlineStr">
        <is>
          <t>AMORTISSEMENT DU MOBILIER DE BUREAU</t>
        </is>
      </c>
      <c r="C54" s="30" t="inlineStr">
        <is>
          <t>2 Actif immobilisé</t>
        </is>
      </c>
      <c r="D54" s="30" t="inlineStr">
        <is>
          <t>Actif immobilisé</t>
        </is>
      </c>
      <c r="E54" s="30" t="inlineStr">
        <is>
          <t>Emploi long</t>
        </is>
      </c>
      <c r="F54" s="30" t="inlineStr">
        <is>
          <t>Emploi long</t>
        </is>
      </c>
      <c r="G54" s="30" t="inlineStr">
        <is>
          <t>EQS</t>
        </is>
      </c>
      <c r="H54" s="31" t="n">
        <v>-94328498</v>
      </c>
      <c r="I54" s="31" t="n">
        <v>-111506762</v>
      </c>
      <c r="J54" s="31" t="n">
        <v>-126682044</v>
      </c>
      <c r="K54" s="31" t="n">
        <v>-141126813</v>
      </c>
      <c r="L54" s="31" t="n">
        <v>-153567062</v>
      </c>
      <c r="M54" s="31" t="n">
        <v>-163711093</v>
      </c>
      <c r="N54" s="31" t="n">
        <v>-163711093</v>
      </c>
    </row>
    <row r="55">
      <c r="A55" s="27" t="inlineStr">
        <is>
          <t>28450000</t>
        </is>
      </c>
      <c r="B55" s="28" t="inlineStr">
        <is>
          <t>AMORT MAT. TRANSPORT</t>
        </is>
      </c>
      <c r="C55" s="28" t="inlineStr">
        <is>
          <t>2 Actif immobilisé</t>
        </is>
      </c>
      <c r="D55" s="28" t="inlineStr">
        <is>
          <t>Actif immobilisé</t>
        </is>
      </c>
      <c r="E55" s="28" t="inlineStr">
        <is>
          <t>Emploi long</t>
        </is>
      </c>
      <c r="F55" s="28" t="inlineStr">
        <is>
          <t>Emploi long</t>
        </is>
      </c>
      <c r="G55" s="28" t="inlineStr">
        <is>
          <t>EQS</t>
        </is>
      </c>
      <c r="H55" s="29" t="n">
        <v>-156615584</v>
      </c>
      <c r="I55" s="29" t="n">
        <v>-69825925</v>
      </c>
      <c r="J55" s="29" t="n">
        <v>-81326005</v>
      </c>
      <c r="K55" s="29" t="n">
        <v>-70061168</v>
      </c>
      <c r="L55" s="29" t="n">
        <v>-60298955</v>
      </c>
      <c r="M55" s="29" t="n">
        <v>-80688656</v>
      </c>
      <c r="N55" s="29" t="n">
        <v>-80688656</v>
      </c>
    </row>
    <row r="56">
      <c r="A56" s="27" t="inlineStr">
        <is>
          <t>28480000</t>
        </is>
      </c>
      <c r="B56" s="30" t="inlineStr">
        <is>
          <t>Amort.autres matériels</t>
        </is>
      </c>
      <c r="C56" s="30" t="inlineStr">
        <is>
          <t>2 Actif immobilisé</t>
        </is>
      </c>
      <c r="D56" s="30" t="inlineStr">
        <is>
          <t>Actif immobilisé</t>
        </is>
      </c>
      <c r="E56" s="30" t="inlineStr">
        <is>
          <t>Emploi long</t>
        </is>
      </c>
      <c r="F56" s="30" t="inlineStr">
        <is>
          <t>Emploi long</t>
        </is>
      </c>
      <c r="G56" s="30" t="inlineStr">
        <is>
          <t>EQS</t>
        </is>
      </c>
      <c r="H56" s="31" t="n">
        <v>-64005837</v>
      </c>
      <c r="I56" s="31" t="n">
        <v>-68583599</v>
      </c>
      <c r="J56" s="31" t="n">
        <v>-73174122</v>
      </c>
      <c r="K56" s="31" t="n">
        <v>-75550320</v>
      </c>
      <c r="L56" s="31" t="n">
        <v>-77357887</v>
      </c>
      <c r="M56" s="31" t="n">
        <v>-79598889</v>
      </c>
      <c r="N56" s="31" t="n">
        <v>-79598889</v>
      </c>
    </row>
    <row r="57">
      <c r="A57" s="27" t="inlineStr">
        <is>
          <t>31200000</t>
        </is>
      </c>
      <c r="B57" s="28" t="inlineStr">
        <is>
          <t>Prov pour dépréc des terrains</t>
        </is>
      </c>
      <c r="C57" s="28" t="inlineStr">
        <is>
          <t>31</t>
        </is>
      </c>
      <c r="D57" s="28" t="inlineStr">
        <is>
          <t>Tiers à court terme</t>
        </is>
      </c>
      <c r="E57" s="28" t="inlineStr">
        <is>
          <t>Court terme</t>
        </is>
      </c>
      <c r="F57" s="28" t="inlineStr">
        <is>
          <t>Court terme</t>
        </is>
      </c>
      <c r="G57" s="28" t="n"/>
      <c r="H57" s="29" t="n">
        <v>0</v>
      </c>
      <c r="I57" s="29" t="n">
        <v>0</v>
      </c>
      <c r="J57" s="29" t="n">
        <v>0</v>
      </c>
      <c r="K57" s="29" t="n">
        <v>0</v>
      </c>
      <c r="L57" s="29" t="n">
        <v>0</v>
      </c>
      <c r="M57" s="29" t="n">
        <v>0</v>
      </c>
      <c r="N57" s="29" t="n">
        <v>50000</v>
      </c>
    </row>
    <row r="58">
      <c r="A58" s="27" t="inlineStr">
        <is>
          <t>32100000</t>
        </is>
      </c>
      <c r="B58" s="30" t="inlineStr">
        <is>
          <t>Matières consommables</t>
        </is>
      </c>
      <c r="C58" s="30" t="inlineStr">
        <is>
          <t>32</t>
        </is>
      </c>
      <c r="D58" s="30" t="inlineStr">
        <is>
          <t>Tiers à court terme</t>
        </is>
      </c>
      <c r="E58" s="30" t="inlineStr">
        <is>
          <t>Court terme</t>
        </is>
      </c>
      <c r="F58" s="30" t="inlineStr">
        <is>
          <t>Court terme</t>
        </is>
      </c>
      <c r="G58" s="30" t="n"/>
      <c r="H58" s="31" t="n">
        <v>10638294</v>
      </c>
      <c r="I58" s="31" t="n">
        <v>4444973</v>
      </c>
      <c r="J58" s="31" t="n">
        <v>0</v>
      </c>
      <c r="K58" s="31" t="n">
        <v>6618759</v>
      </c>
      <c r="L58" s="31" t="n">
        <v>3218410</v>
      </c>
      <c r="M58" s="31" t="n">
        <v>3255395</v>
      </c>
      <c r="N58" s="31" t="n">
        <v>3255395</v>
      </c>
    </row>
    <row r="59">
      <c r="A59" s="27" t="inlineStr">
        <is>
          <t>40100000</t>
        </is>
      </c>
      <c r="B59" s="28" t="inlineStr">
        <is>
          <t>Fournisseurs</t>
        </is>
      </c>
      <c r="C59" s="28" t="inlineStr">
        <is>
          <t>40 Fournisseurs</t>
        </is>
      </c>
      <c r="D59" s="28" t="inlineStr">
        <is>
          <t>Tiers à court terme</t>
        </is>
      </c>
      <c r="E59" s="28" t="inlineStr">
        <is>
          <t>Court terme</t>
        </is>
      </c>
      <c r="F59" s="28" t="inlineStr">
        <is>
          <t>Court terme</t>
        </is>
      </c>
      <c r="G59" s="28" t="n"/>
      <c r="H59" s="29" t="n">
        <v>0</v>
      </c>
      <c r="I59" s="29" t="n">
        <v>0</v>
      </c>
      <c r="J59" s="29" t="n">
        <v>0</v>
      </c>
      <c r="K59" s="29" t="n">
        <v>0</v>
      </c>
      <c r="L59" s="29" t="n">
        <v>0</v>
      </c>
      <c r="M59" s="29" t="n">
        <v>0</v>
      </c>
      <c r="N59" s="29" t="n">
        <v>36270664</v>
      </c>
    </row>
    <row r="60">
      <c r="A60" s="27" t="inlineStr">
        <is>
          <t>40110000</t>
        </is>
      </c>
      <c r="B60" s="30" t="inlineStr">
        <is>
          <t>Fournisseurs cliniques privées</t>
        </is>
      </c>
      <c r="C60" s="30" t="inlineStr">
        <is>
          <t>40 Fournisseurs</t>
        </is>
      </c>
      <c r="D60" s="30" t="inlineStr">
        <is>
          <t>Tiers à court terme</t>
        </is>
      </c>
      <c r="E60" s="30" t="inlineStr">
        <is>
          <t>Court terme</t>
        </is>
      </c>
      <c r="F60" s="30" t="inlineStr">
        <is>
          <t>Court terme</t>
        </is>
      </c>
      <c r="G60" s="30" t="n"/>
      <c r="H60" s="31" t="n">
        <v>-1394774547</v>
      </c>
      <c r="I60" s="31" t="n">
        <v>-875220557</v>
      </c>
      <c r="J60" s="31" t="n">
        <v>-533144348</v>
      </c>
      <c r="K60" s="31" t="n">
        <v>-271270756</v>
      </c>
      <c r="L60" s="31" t="n">
        <v>-236353873</v>
      </c>
      <c r="M60" s="31" t="n">
        <v>-242140869</v>
      </c>
      <c r="N60" s="31" t="n">
        <v>-690234451</v>
      </c>
    </row>
    <row r="61">
      <c r="A61" s="27" t="inlineStr">
        <is>
          <t>40310000</t>
        </is>
      </c>
      <c r="B61" s="28" t="inlineStr">
        <is>
          <t>Fournisseurs de fonctionnement</t>
        </is>
      </c>
      <c r="C61" s="28" t="inlineStr">
        <is>
          <t>40 Fournisseurs</t>
        </is>
      </c>
      <c r="D61" s="28" t="inlineStr">
        <is>
          <t>Tiers à court terme</t>
        </is>
      </c>
      <c r="E61" s="28" t="inlineStr">
        <is>
          <t>Court terme</t>
        </is>
      </c>
      <c r="F61" s="28" t="inlineStr">
        <is>
          <t>Court terme</t>
        </is>
      </c>
      <c r="G61" s="28" t="n"/>
      <c r="H61" s="29" t="n">
        <v>-853997864</v>
      </c>
      <c r="I61" s="29" t="n">
        <v>-760650280</v>
      </c>
      <c r="J61" s="29" t="n">
        <v>-608784011</v>
      </c>
      <c r="K61" s="29" t="n">
        <v>-625271870</v>
      </c>
      <c r="L61" s="29" t="n">
        <v>-557713300</v>
      </c>
      <c r="M61" s="29" t="n">
        <v>-605993162</v>
      </c>
      <c r="N61" s="29" t="n">
        <v>-503608000</v>
      </c>
    </row>
    <row r="62">
      <c r="A62" s="27" t="inlineStr">
        <is>
          <t>40800000</t>
        </is>
      </c>
      <c r="B62" s="30" t="inlineStr">
        <is>
          <t>Fournisseurs - fact. non parvenues</t>
        </is>
      </c>
      <c r="C62" s="30" t="inlineStr">
        <is>
          <t>40 Fournisseurs</t>
        </is>
      </c>
      <c r="D62" s="30" t="inlineStr">
        <is>
          <t>Tiers à court terme</t>
        </is>
      </c>
      <c r="E62" s="30" t="inlineStr">
        <is>
          <t>Court terme</t>
        </is>
      </c>
      <c r="F62" s="30" t="inlineStr">
        <is>
          <t>Court terme</t>
        </is>
      </c>
      <c r="G62" s="30" t="n"/>
      <c r="H62" s="31" t="n">
        <v>-26706404</v>
      </c>
      <c r="I62" s="31" t="n">
        <v>-25215276</v>
      </c>
      <c r="J62" s="31" t="n">
        <v>-24115433</v>
      </c>
      <c r="K62" s="31" t="n">
        <v>-23631171</v>
      </c>
      <c r="L62" s="31" t="n">
        <v>-23631171</v>
      </c>
      <c r="M62" s="31" t="n">
        <v>-23631171</v>
      </c>
      <c r="N62" s="31" t="n">
        <v>-23631171</v>
      </c>
    </row>
    <row r="63">
      <c r="A63" s="27" t="inlineStr">
        <is>
          <t>40810000</t>
        </is>
      </c>
      <c r="B63" s="28" t="inlineStr">
        <is>
          <t>F/SS FACT NON PARVENUES</t>
        </is>
      </c>
      <c r="C63" s="28" t="inlineStr">
        <is>
          <t>40 Fournisseurs</t>
        </is>
      </c>
      <c r="D63" s="28" t="inlineStr">
        <is>
          <t>Tiers à court terme</t>
        </is>
      </c>
      <c r="E63" s="28" t="inlineStr">
        <is>
          <t>Court terme</t>
        </is>
      </c>
      <c r="F63" s="28" t="inlineStr">
        <is>
          <t>Court terme</t>
        </is>
      </c>
      <c r="G63" s="28" t="n"/>
      <c r="H63" s="29" t="n">
        <v>-18080300</v>
      </c>
      <c r="I63" s="29" t="n">
        <v>-20827000</v>
      </c>
      <c r="J63" s="29" t="n">
        <v>-10843000</v>
      </c>
      <c r="K63" s="29" t="n">
        <v>-649000</v>
      </c>
      <c r="L63" s="29" t="n">
        <v>-649000</v>
      </c>
      <c r="M63" s="29" t="n">
        <v>0</v>
      </c>
      <c r="N63" s="29" t="n">
        <v>0</v>
      </c>
    </row>
    <row r="64">
      <c r="A64" s="27" t="inlineStr">
        <is>
          <t>40910000</t>
        </is>
      </c>
      <c r="B64" s="30" t="inlineStr">
        <is>
          <t>Fournis, avces et acptes versés(cli</t>
        </is>
      </c>
      <c r="C64" s="30" t="inlineStr">
        <is>
          <t>40 Fournisseurs</t>
        </is>
      </c>
      <c r="D64" s="30" t="inlineStr">
        <is>
          <t>Tiers à court terme</t>
        </is>
      </c>
      <c r="E64" s="30" t="inlineStr">
        <is>
          <t>Court terme</t>
        </is>
      </c>
      <c r="F64" s="30" t="inlineStr">
        <is>
          <t>Court terme</t>
        </is>
      </c>
      <c r="G64" s="30" t="n"/>
      <c r="H64" s="31" t="n">
        <v>35647179</v>
      </c>
      <c r="I64" s="31" t="n">
        <v>28894110</v>
      </c>
      <c r="J64" s="31" t="n">
        <v>27474728</v>
      </c>
      <c r="K64" s="31" t="n">
        <v>24206342</v>
      </c>
      <c r="L64" s="31" t="n">
        <v>25823537</v>
      </c>
      <c r="M64" s="31" t="n">
        <v>25823537</v>
      </c>
      <c r="N64" s="31" t="n">
        <v>25127486</v>
      </c>
    </row>
    <row r="65">
      <c r="A65" s="27" t="inlineStr">
        <is>
          <t>40930000</t>
        </is>
      </c>
      <c r="B65" s="28" t="inlineStr">
        <is>
          <t>Fourni, avces et acptes versés</t>
        </is>
      </c>
      <c r="C65" s="28" t="inlineStr">
        <is>
          <t>40 Fournisseurs</t>
        </is>
      </c>
      <c r="D65" s="28" t="inlineStr">
        <is>
          <t>Tiers à court terme</t>
        </is>
      </c>
      <c r="E65" s="28" t="inlineStr">
        <is>
          <t>Court terme</t>
        </is>
      </c>
      <c r="F65" s="28" t="inlineStr">
        <is>
          <t>Court terme</t>
        </is>
      </c>
      <c r="G65" s="28" t="n"/>
      <c r="H65" s="29" t="n">
        <v>0</v>
      </c>
      <c r="I65" s="29" t="n">
        <v>0</v>
      </c>
      <c r="J65" s="29" t="n">
        <v>96554190</v>
      </c>
      <c r="K65" s="29" t="n">
        <v>26227090</v>
      </c>
      <c r="L65" s="29" t="n">
        <v>116612050</v>
      </c>
      <c r="M65" s="29" t="n">
        <v>384960</v>
      </c>
      <c r="N65" s="29" t="n">
        <v>384960</v>
      </c>
    </row>
    <row r="66">
      <c r="A66" s="27" t="inlineStr">
        <is>
          <t>41110310</t>
        </is>
      </c>
      <c r="B66" s="30" t="inlineStr">
        <is>
          <t>PEP/Pret scolaire</t>
        </is>
      </c>
      <c r="C66" s="30" t="inlineStr">
        <is>
          <t>41</t>
        </is>
      </c>
      <c r="D66" s="30" t="inlineStr">
        <is>
          <t>Tiers à court terme</t>
        </is>
      </c>
      <c r="E66" s="30" t="inlineStr">
        <is>
          <t>Court terme</t>
        </is>
      </c>
      <c r="F66" s="30" t="inlineStr">
        <is>
          <t>Court terme</t>
        </is>
      </c>
      <c r="G66" s="30" t="n"/>
      <c r="H66" s="31" t="n">
        <v>2743489</v>
      </c>
      <c r="I66" s="31" t="n">
        <v>2633489</v>
      </c>
      <c r="J66" s="31" t="n">
        <v>2633489</v>
      </c>
      <c r="K66" s="31" t="n">
        <v>2633489</v>
      </c>
      <c r="L66" s="31" t="n">
        <v>2633489</v>
      </c>
      <c r="M66" s="31" t="n">
        <v>2633489</v>
      </c>
      <c r="N66" s="31" t="n">
        <v>2633489</v>
      </c>
    </row>
    <row r="67">
      <c r="A67" s="27" t="inlineStr">
        <is>
          <t>41111000</t>
        </is>
      </c>
      <c r="B67" s="28" t="inlineStr">
        <is>
          <t>Cotisations à recevoir/Trésor CI</t>
        </is>
      </c>
      <c r="C67" s="28" t="inlineStr">
        <is>
          <t>41</t>
        </is>
      </c>
      <c r="D67" s="28" t="inlineStr">
        <is>
          <t>Tiers à court terme</t>
        </is>
      </c>
      <c r="E67" s="28" t="inlineStr">
        <is>
          <t>Court terme</t>
        </is>
      </c>
      <c r="F67" s="28" t="inlineStr">
        <is>
          <t>Court terme</t>
        </is>
      </c>
      <c r="G67" s="28" t="n"/>
      <c r="H67" s="29" t="n">
        <v>254145</v>
      </c>
      <c r="I67" s="29" t="n">
        <v>-1025855</v>
      </c>
      <c r="J67" s="29" t="n">
        <v>-1025855</v>
      </c>
      <c r="K67" s="29" t="n">
        <v>-3037100</v>
      </c>
      <c r="L67" s="29" t="n">
        <v>602554450</v>
      </c>
      <c r="M67" s="29" t="n">
        <v>705388761</v>
      </c>
      <c r="N67" s="29" t="n">
        <v>-4430199</v>
      </c>
    </row>
    <row r="68">
      <c r="A68" s="27" t="inlineStr">
        <is>
          <t>41111002</t>
        </is>
      </c>
      <c r="B68" s="30" t="inlineStr">
        <is>
          <t>Cotisation à recevoir/CGRAE</t>
        </is>
      </c>
      <c r="C68" s="30" t="inlineStr">
        <is>
          <t>41</t>
        </is>
      </c>
      <c r="D68" s="30" t="inlineStr">
        <is>
          <t>Tiers à court terme</t>
        </is>
      </c>
      <c r="E68" s="30" t="inlineStr">
        <is>
          <t>Court terme</t>
        </is>
      </c>
      <c r="F68" s="30" t="inlineStr">
        <is>
          <t>Court terme</t>
        </is>
      </c>
      <c r="G68" s="30" t="n"/>
      <c r="H68" s="31" t="n">
        <v>0</v>
      </c>
      <c r="I68" s="31" t="n">
        <v>0</v>
      </c>
      <c r="J68" s="31" t="n">
        <v>0</v>
      </c>
      <c r="K68" s="31" t="n">
        <v>0</v>
      </c>
      <c r="L68" s="31" t="n">
        <v>3210672</v>
      </c>
      <c r="M68" s="31" t="n">
        <v>-1199604</v>
      </c>
      <c r="N68" s="31" t="n">
        <v>-1199604</v>
      </c>
    </row>
    <row r="69">
      <c r="A69" s="27" t="inlineStr">
        <is>
          <t>41191000</t>
        </is>
      </c>
      <c r="B69" s="28" t="inlineStr">
        <is>
          <t>Adhérents – comptes créditeurs /épa</t>
        </is>
      </c>
      <c r="C69" s="28" t="inlineStr">
        <is>
          <t>41</t>
        </is>
      </c>
      <c r="D69" s="28" t="inlineStr">
        <is>
          <t>Tiers à court terme</t>
        </is>
      </c>
      <c r="E69" s="28" t="inlineStr">
        <is>
          <t>Court terme</t>
        </is>
      </c>
      <c r="F69" s="28" t="inlineStr">
        <is>
          <t>Court terme</t>
        </is>
      </c>
      <c r="G69" s="28" t="n"/>
      <c r="H69" s="29" t="n">
        <v>0</v>
      </c>
      <c r="I69" s="29" t="n">
        <v>0</v>
      </c>
      <c r="J69" s="29" t="n">
        <v>0</v>
      </c>
      <c r="K69" s="29" t="n">
        <v>0</v>
      </c>
      <c r="L69" s="29" t="n">
        <v>0</v>
      </c>
      <c r="M69" s="29" t="n">
        <v>0</v>
      </c>
      <c r="N69" s="29" t="n">
        <v>816670</v>
      </c>
    </row>
    <row r="70">
      <c r="A70" s="27" t="inlineStr">
        <is>
          <t>41191010</t>
        </is>
      </c>
      <c r="B70" s="30" t="inlineStr">
        <is>
          <t>Adherents remboursement frais medic</t>
        </is>
      </c>
      <c r="C70" s="30" t="inlineStr">
        <is>
          <t>41</t>
        </is>
      </c>
      <c r="D70" s="30" t="inlineStr">
        <is>
          <t>Tiers à court terme</t>
        </is>
      </c>
      <c r="E70" s="30" t="inlineStr">
        <is>
          <t>Court terme</t>
        </is>
      </c>
      <c r="F70" s="30" t="inlineStr">
        <is>
          <t>Court terme</t>
        </is>
      </c>
      <c r="G70" s="30" t="n"/>
      <c r="H70" s="31" t="n">
        <v>-5603042</v>
      </c>
      <c r="I70" s="31" t="n">
        <v>-5603042</v>
      </c>
      <c r="J70" s="31" t="n">
        <v>-5603042</v>
      </c>
      <c r="K70" s="31" t="n">
        <v>-5603042</v>
      </c>
      <c r="L70" s="31" t="n">
        <v>-5303040</v>
      </c>
      <c r="M70" s="31" t="n">
        <v>-5203040</v>
      </c>
      <c r="N70" s="31" t="n">
        <v>-5203035</v>
      </c>
    </row>
    <row r="71">
      <c r="A71" s="27" t="inlineStr">
        <is>
          <t>41195100</t>
        </is>
      </c>
      <c r="B71" s="28" t="inlineStr">
        <is>
          <t>COTISATION PEP</t>
        </is>
      </c>
      <c r="C71" s="28" t="inlineStr">
        <is>
          <t>41195 Autres comptes créditeurs des adhérents</t>
        </is>
      </c>
      <c r="D71" s="28" t="inlineStr">
        <is>
          <t>Épargne des adhérents</t>
        </is>
      </c>
      <c r="E71" s="28" t="inlineStr">
        <is>
          <t>Dette à court terme (classe 4)</t>
        </is>
      </c>
      <c r="F71" s="28" t="inlineStr">
        <is>
          <t>Engagement long (risque long, échéance à établir)</t>
        </is>
      </c>
      <c r="G71" s="28" t="inlineStr">
        <is>
          <t>LIQ, RL1, RL2, RL3, RL4, RL5</t>
        </is>
      </c>
      <c r="H71" s="29" t="n">
        <v>-7366229747</v>
      </c>
      <c r="I71" s="29" t="n">
        <v>-6362356294</v>
      </c>
      <c r="J71" s="29" t="n">
        <v>-4910897006</v>
      </c>
      <c r="K71" s="29" t="n">
        <v>-3560105617</v>
      </c>
      <c r="L71" s="29" t="n">
        <v>-3830323779</v>
      </c>
      <c r="M71" s="29" t="n">
        <v>-4965221920</v>
      </c>
      <c r="N71" s="29" t="n">
        <v>-5229245425</v>
      </c>
    </row>
    <row r="72">
      <c r="A72" s="27" t="inlineStr">
        <is>
          <t>41195200</t>
        </is>
      </c>
      <c r="B72" s="30" t="inlineStr">
        <is>
          <t>COTISATION EFC</t>
        </is>
      </c>
      <c r="C72" s="30" t="inlineStr">
        <is>
          <t>41195 Autres comptes créditeurs des adhérents</t>
        </is>
      </c>
      <c r="D72" s="30" t="inlineStr">
        <is>
          <t>Épargne des adhérents</t>
        </is>
      </c>
      <c r="E72" s="30" t="inlineStr">
        <is>
          <t>Dette à court terme (classe 4)</t>
        </is>
      </c>
      <c r="F72" s="30" t="inlineStr">
        <is>
          <t>Engagement long (risque long, échéance à établir)</t>
        </is>
      </c>
      <c r="G72" s="30" t="inlineStr">
        <is>
          <t>LIQ, RL1, RL2, RL3, RL4, RL5</t>
        </is>
      </c>
      <c r="H72" s="31" t="n">
        <v>-3461975893</v>
      </c>
      <c r="I72" s="31" t="n">
        <v>-3785064982</v>
      </c>
      <c r="J72" s="31" t="n">
        <v>-4453948287</v>
      </c>
      <c r="K72" s="31" t="n">
        <v>-5561470959</v>
      </c>
      <c r="L72" s="31" t="n">
        <v>-6954740653</v>
      </c>
      <c r="M72" s="31" t="n">
        <v>-8848845044</v>
      </c>
      <c r="N72" s="31" t="n">
        <v>-10514270966</v>
      </c>
    </row>
    <row r="73">
      <c r="A73" s="27" t="inlineStr">
        <is>
          <t>41520000</t>
        </is>
      </c>
      <c r="B73" s="28" t="inlineStr">
        <is>
          <t>Clients Locataires</t>
        </is>
      </c>
      <c r="C73" s="28" t="inlineStr">
        <is>
          <t>41</t>
        </is>
      </c>
      <c r="D73" s="28" t="inlineStr">
        <is>
          <t>Tiers à court terme</t>
        </is>
      </c>
      <c r="E73" s="28" t="inlineStr">
        <is>
          <t>Court terme</t>
        </is>
      </c>
      <c r="F73" s="28" t="inlineStr">
        <is>
          <t>Court terme</t>
        </is>
      </c>
      <c r="G73" s="28" t="n"/>
      <c r="H73" s="29" t="n">
        <v>0</v>
      </c>
      <c r="I73" s="29" t="n">
        <v>0</v>
      </c>
      <c r="J73" s="29" t="n">
        <v>0</v>
      </c>
      <c r="K73" s="29" t="n">
        <v>0</v>
      </c>
      <c r="L73" s="29" t="n">
        <v>0</v>
      </c>
      <c r="M73" s="29" t="n">
        <v>2414916</v>
      </c>
      <c r="N73" s="29" t="n">
        <v>4829832</v>
      </c>
    </row>
    <row r="74">
      <c r="A74" s="27" t="inlineStr">
        <is>
          <t>41591000</t>
        </is>
      </c>
      <c r="B74" s="30" t="inlineStr">
        <is>
          <t>Clients crediteurs/ ALLOCATION DECE</t>
        </is>
      </c>
      <c r="C74" s="30" t="inlineStr">
        <is>
          <t>41</t>
        </is>
      </c>
      <c r="D74" s="30" t="inlineStr">
        <is>
          <t>Tiers à court terme</t>
        </is>
      </c>
      <c r="E74" s="30" t="inlineStr">
        <is>
          <t>Court terme</t>
        </is>
      </c>
      <c r="F74" s="30" t="inlineStr">
        <is>
          <t>Court terme</t>
        </is>
      </c>
      <c r="G74" s="30" t="n"/>
      <c r="H74" s="31" t="n">
        <v>0</v>
      </c>
      <c r="I74" s="31" t="n">
        <v>-370503332</v>
      </c>
      <c r="J74" s="31" t="n">
        <v>-380517917</v>
      </c>
      <c r="K74" s="31" t="n">
        <v>-437095189</v>
      </c>
      <c r="L74" s="31" t="n">
        <v>-391951887</v>
      </c>
      <c r="M74" s="31" t="n">
        <v>-415344667</v>
      </c>
      <c r="N74" s="31" t="n">
        <v>-457019669</v>
      </c>
    </row>
    <row r="75">
      <c r="A75" s="27" t="inlineStr">
        <is>
          <t>41592000</t>
        </is>
      </c>
      <c r="B75" s="28" t="inlineStr">
        <is>
          <t>Clients créditeurs/ FRAIS FUNERAIRE</t>
        </is>
      </c>
      <c r="C75" s="28" t="inlineStr">
        <is>
          <t>41</t>
        </is>
      </c>
      <c r="D75" s="28" t="inlineStr">
        <is>
          <t>Tiers à court terme</t>
        </is>
      </c>
      <c r="E75" s="28" t="inlineStr">
        <is>
          <t>Court terme</t>
        </is>
      </c>
      <c r="F75" s="28" t="inlineStr">
        <is>
          <t>Court terme</t>
        </is>
      </c>
      <c r="G75" s="28" t="n"/>
      <c r="H75" s="29" t="n">
        <v>0</v>
      </c>
      <c r="I75" s="29" t="n">
        <v>0</v>
      </c>
      <c r="J75" s="29" t="n">
        <v>0</v>
      </c>
      <c r="K75" s="29" t="n">
        <v>0</v>
      </c>
      <c r="L75" s="29" t="n">
        <v>0</v>
      </c>
      <c r="M75" s="29" t="n">
        <v>-17100000</v>
      </c>
      <c r="N75" s="29" t="n">
        <v>-32400000</v>
      </c>
    </row>
    <row r="76">
      <c r="A76" s="27" t="inlineStr">
        <is>
          <t>42100000</t>
        </is>
      </c>
      <c r="B76" s="30" t="inlineStr">
        <is>
          <t>Personnel avances et acomptes</t>
        </is>
      </c>
      <c r="C76" s="30" t="inlineStr">
        <is>
          <t>42</t>
        </is>
      </c>
      <c r="D76" s="30" t="inlineStr">
        <is>
          <t>Tiers à court terme</t>
        </is>
      </c>
      <c r="E76" s="30" t="inlineStr">
        <is>
          <t>Court terme</t>
        </is>
      </c>
      <c r="F76" s="30" t="inlineStr">
        <is>
          <t>Court terme</t>
        </is>
      </c>
      <c r="G76" s="30" t="n"/>
      <c r="H76" s="31" t="n">
        <v>3350000</v>
      </c>
      <c r="I76" s="31" t="n">
        <v>3973330</v>
      </c>
      <c r="J76" s="31" t="n">
        <v>1200000</v>
      </c>
      <c r="K76" s="31" t="n">
        <v>0</v>
      </c>
      <c r="L76" s="31" t="n">
        <v>0</v>
      </c>
      <c r="M76" s="31" t="n">
        <v>0</v>
      </c>
      <c r="N76" s="31" t="n">
        <v>0</v>
      </c>
    </row>
    <row r="77">
      <c r="A77" s="27" t="inlineStr">
        <is>
          <t>42200000</t>
        </is>
      </c>
      <c r="B77" s="28" t="inlineStr">
        <is>
          <t>Comité d'entreprise, d'établissemen</t>
        </is>
      </c>
      <c r="C77" s="28" t="inlineStr">
        <is>
          <t>42</t>
        </is>
      </c>
      <c r="D77" s="28" t="inlineStr">
        <is>
          <t>Tiers à court terme</t>
        </is>
      </c>
      <c r="E77" s="28" t="inlineStr">
        <is>
          <t>Court terme</t>
        </is>
      </c>
      <c r="F77" s="28" t="inlineStr">
        <is>
          <t>Court terme</t>
        </is>
      </c>
      <c r="G77" s="28" t="n"/>
      <c r="H77" s="29" t="n">
        <v>-5000</v>
      </c>
      <c r="I77" s="29" t="n">
        <v>-1</v>
      </c>
      <c r="J77" s="29" t="n">
        <v>-2927502</v>
      </c>
      <c r="K77" s="29" t="n">
        <v>0</v>
      </c>
      <c r="L77" s="29" t="n">
        <v>-1016263</v>
      </c>
      <c r="M77" s="29" t="n">
        <v>-574623</v>
      </c>
      <c r="N77" s="29" t="n">
        <v>3571</v>
      </c>
    </row>
    <row r="78">
      <c r="A78" s="27" t="inlineStr">
        <is>
          <t>42810000</t>
        </is>
      </c>
      <c r="B78" s="30" t="inlineStr">
        <is>
          <t>Dettes prov. de congés à payer</t>
        </is>
      </c>
      <c r="C78" s="30" t="inlineStr">
        <is>
          <t>42</t>
        </is>
      </c>
      <c r="D78" s="30" t="inlineStr">
        <is>
          <t>Tiers à court terme</t>
        </is>
      </c>
      <c r="E78" s="30" t="inlineStr">
        <is>
          <t>Court terme</t>
        </is>
      </c>
      <c r="F78" s="30" t="inlineStr">
        <is>
          <t>Court terme</t>
        </is>
      </c>
      <c r="G78" s="30" t="n"/>
      <c r="H78" s="31" t="n">
        <v>-5893955</v>
      </c>
      <c r="I78" s="31" t="n">
        <v>-4374450</v>
      </c>
      <c r="J78" s="31" t="n">
        <v>-11936557</v>
      </c>
      <c r="K78" s="31" t="n">
        <v>-9613292</v>
      </c>
      <c r="L78" s="31" t="n">
        <v>-12252247</v>
      </c>
      <c r="M78" s="31" t="n">
        <v>-17860369</v>
      </c>
      <c r="N78" s="31" t="n">
        <v>-17860369</v>
      </c>
    </row>
    <row r="79">
      <c r="A79" s="27" t="inlineStr">
        <is>
          <t>43110000</t>
        </is>
      </c>
      <c r="B79" s="28" t="inlineStr">
        <is>
          <t>CNPS</t>
        </is>
      </c>
      <c r="C79" s="28" t="inlineStr">
        <is>
          <t>43</t>
        </is>
      </c>
      <c r="D79" s="28" t="inlineStr">
        <is>
          <t>Tiers à court terme</t>
        </is>
      </c>
      <c r="E79" s="28" t="inlineStr">
        <is>
          <t>Court terme</t>
        </is>
      </c>
      <c r="F79" s="28" t="inlineStr">
        <is>
          <t>Court terme</t>
        </is>
      </c>
      <c r="G79" s="28" t="n"/>
      <c r="H79" s="29" t="n">
        <v>-24791995</v>
      </c>
      <c r="I79" s="29" t="n">
        <v>-34805269</v>
      </c>
      <c r="J79" s="29" t="n">
        <v>-9401171</v>
      </c>
      <c r="K79" s="29" t="n">
        <v>-8839006</v>
      </c>
      <c r="L79" s="29" t="n">
        <v>-7693437</v>
      </c>
      <c r="M79" s="29" t="n">
        <v>-9021772</v>
      </c>
      <c r="N79" s="29" t="n">
        <v>-1887346</v>
      </c>
    </row>
    <row r="80">
      <c r="A80" s="27" t="inlineStr">
        <is>
          <t>43140000</t>
        </is>
      </c>
      <c r="B80" s="30" t="inlineStr">
        <is>
          <t>COT CMU</t>
        </is>
      </c>
      <c r="C80" s="30" t="inlineStr">
        <is>
          <t>43</t>
        </is>
      </c>
      <c r="D80" s="30" t="inlineStr">
        <is>
          <t>Tiers à court terme</t>
        </is>
      </c>
      <c r="E80" s="30" t="inlineStr">
        <is>
          <t>Court terme</t>
        </is>
      </c>
      <c r="F80" s="30" t="inlineStr">
        <is>
          <t>Court terme</t>
        </is>
      </c>
      <c r="G80" s="30" t="n"/>
      <c r="H80" s="31" t="n">
        <v>-285000</v>
      </c>
      <c r="I80" s="31" t="n">
        <v>-96000</v>
      </c>
      <c r="J80" s="31" t="n">
        <v>-78000</v>
      </c>
      <c r="K80" s="31" t="n">
        <v>-100750</v>
      </c>
      <c r="L80" s="31" t="n">
        <v>-106750</v>
      </c>
      <c r="M80" s="31" t="n">
        <v>-130250</v>
      </c>
      <c r="N80" s="31" t="n">
        <v>-2357800</v>
      </c>
    </row>
    <row r="81">
      <c r="A81" s="27" t="inlineStr">
        <is>
          <t>43820000</t>
        </is>
      </c>
      <c r="B81" s="28" t="inlineStr">
        <is>
          <t>Charges sur congés à payer</t>
        </is>
      </c>
      <c r="C81" s="28" t="inlineStr">
        <is>
          <t>43</t>
        </is>
      </c>
      <c r="D81" s="28" t="inlineStr">
        <is>
          <t>Tiers à court terme</t>
        </is>
      </c>
      <c r="E81" s="28" t="inlineStr">
        <is>
          <t>Court terme</t>
        </is>
      </c>
      <c r="F81" s="28" t="inlineStr">
        <is>
          <t>Court terme</t>
        </is>
      </c>
      <c r="G81" s="28" t="n"/>
      <c r="H81" s="29" t="n">
        <v>-1231382</v>
      </c>
      <c r="I81" s="29" t="n">
        <v>-981343</v>
      </c>
      <c r="J81" s="29" t="n">
        <v>-2349896</v>
      </c>
      <c r="K81" s="29" t="n">
        <v>-2006971</v>
      </c>
      <c r="L81" s="29" t="n">
        <v>-2435876</v>
      </c>
      <c r="M81" s="29" t="n">
        <v>-3476871</v>
      </c>
      <c r="N81" s="29" t="n">
        <v>-3476871</v>
      </c>
    </row>
    <row r="82">
      <c r="A82" s="27" t="inlineStr">
        <is>
          <t>44280100</t>
        </is>
      </c>
      <c r="B82" s="30" t="inlineStr">
        <is>
          <t>impôts fonciers</t>
        </is>
      </c>
      <c r="C82" s="30" t="inlineStr">
        <is>
          <t>44</t>
        </is>
      </c>
      <c r="D82" s="30" t="inlineStr">
        <is>
          <t>Tiers à court terme</t>
        </is>
      </c>
      <c r="E82" s="30" t="inlineStr">
        <is>
          <t>Court terme</t>
        </is>
      </c>
      <c r="F82" s="30" t="inlineStr">
        <is>
          <t>Court terme</t>
        </is>
      </c>
      <c r="G82" s="30" t="n"/>
      <c r="H82" s="31" t="n">
        <v>-38568877</v>
      </c>
      <c r="I82" s="31" t="n">
        <v>0</v>
      </c>
      <c r="J82" s="31" t="n">
        <v>0</v>
      </c>
      <c r="K82" s="31" t="n">
        <v>0</v>
      </c>
      <c r="L82" s="31" t="n">
        <v>0</v>
      </c>
      <c r="M82" s="31" t="n">
        <v>0</v>
      </c>
      <c r="N82" s="31" t="n">
        <v>0</v>
      </c>
    </row>
    <row r="83">
      <c r="A83" s="27" t="inlineStr">
        <is>
          <t>44700000</t>
        </is>
      </c>
      <c r="B83" s="28" t="inlineStr">
        <is>
          <t>Autres impôts et vers.assim</t>
        </is>
      </c>
      <c r="C83" s="28" t="inlineStr">
        <is>
          <t>44</t>
        </is>
      </c>
      <c r="D83" s="28" t="inlineStr">
        <is>
          <t>Tiers à court terme</t>
        </is>
      </c>
      <c r="E83" s="28" t="inlineStr">
        <is>
          <t>Court terme</t>
        </is>
      </c>
      <c r="F83" s="28" t="inlineStr">
        <is>
          <t>Court terme</t>
        </is>
      </c>
      <c r="G83" s="28" t="n"/>
      <c r="H83" s="29" t="n">
        <v>-373979588</v>
      </c>
      <c r="I83" s="29" t="n">
        <v>-396490902</v>
      </c>
      <c r="J83" s="29" t="n">
        <v>-4644275</v>
      </c>
      <c r="K83" s="29" t="n">
        <v>-8156674</v>
      </c>
      <c r="L83" s="29" t="n">
        <v>-5673418</v>
      </c>
      <c r="M83" s="29" t="n">
        <v>-7430678</v>
      </c>
      <c r="N83" s="29" t="n">
        <v>-2219399</v>
      </c>
    </row>
    <row r="84">
      <c r="A84" s="27" t="inlineStr">
        <is>
          <t>44701400</t>
        </is>
      </c>
      <c r="B84" s="30" t="inlineStr">
        <is>
          <t>FDFP TA</t>
        </is>
      </c>
      <c r="C84" s="30" t="inlineStr">
        <is>
          <t>44</t>
        </is>
      </c>
      <c r="D84" s="30" t="inlineStr">
        <is>
          <t>Tiers à court terme</t>
        </is>
      </c>
      <c r="E84" s="30" t="inlineStr">
        <is>
          <t>Court terme</t>
        </is>
      </c>
      <c r="F84" s="30" t="inlineStr">
        <is>
          <t>Court terme</t>
        </is>
      </c>
      <c r="G84" s="30" t="n"/>
      <c r="H84" s="31" t="n">
        <v>-10343200</v>
      </c>
      <c r="I84" s="31" t="n">
        <v>-10980668</v>
      </c>
      <c r="J84" s="31" t="n">
        <v>-113441</v>
      </c>
      <c r="K84" s="31" t="n">
        <v>-170558</v>
      </c>
      <c r="L84" s="31" t="n">
        <v>-223376</v>
      </c>
      <c r="M84" s="31" t="n">
        <v>-405559</v>
      </c>
      <c r="N84" s="31" t="n">
        <v>-324438</v>
      </c>
    </row>
    <row r="85">
      <c r="A85" s="27" t="inlineStr">
        <is>
          <t>44701500</t>
        </is>
      </c>
      <c r="B85" s="28" t="inlineStr">
        <is>
          <t>FDFP FPC</t>
        </is>
      </c>
      <c r="C85" s="28" t="inlineStr">
        <is>
          <t>44</t>
        </is>
      </c>
      <c r="D85" s="28" t="inlineStr">
        <is>
          <t>Tiers à court terme</t>
        </is>
      </c>
      <c r="E85" s="28" t="inlineStr">
        <is>
          <t>Court terme</t>
        </is>
      </c>
      <c r="F85" s="28" t="inlineStr">
        <is>
          <t>Court terme</t>
        </is>
      </c>
      <c r="G85" s="28" t="n"/>
      <c r="H85" s="29" t="n">
        <v>-31080888</v>
      </c>
      <c r="I85" s="29" t="n">
        <v>-32993290</v>
      </c>
      <c r="J85" s="29" t="n">
        <v>-1246415</v>
      </c>
      <c r="K85" s="29" t="n">
        <v>-2696411</v>
      </c>
      <c r="L85" s="29" t="n">
        <v>-4407284</v>
      </c>
      <c r="M85" s="29" t="n">
        <v>-5462202</v>
      </c>
      <c r="N85" s="29" t="n">
        <v>-5218841</v>
      </c>
    </row>
    <row r="86">
      <c r="A86" s="27" t="inlineStr">
        <is>
          <t>44710000</t>
        </is>
      </c>
      <c r="B86" s="30" t="inlineStr">
        <is>
          <t>IRVM</t>
        </is>
      </c>
      <c r="C86" s="30" t="inlineStr">
        <is>
          <t>44</t>
        </is>
      </c>
      <c r="D86" s="30" t="inlineStr">
        <is>
          <t>Tiers à court terme</t>
        </is>
      </c>
      <c r="E86" s="30" t="inlineStr">
        <is>
          <t>Court terme</t>
        </is>
      </c>
      <c r="F86" s="30" t="inlineStr">
        <is>
          <t>Court terme</t>
        </is>
      </c>
      <c r="G86" s="30" t="n"/>
      <c r="H86" s="31" t="n">
        <v>-255781038</v>
      </c>
      <c r="I86" s="31" t="n">
        <v>-271744565</v>
      </c>
      <c r="J86" s="31" t="n">
        <v>0</v>
      </c>
      <c r="K86" s="31" t="n">
        <v>0</v>
      </c>
      <c r="L86" s="31" t="n">
        <v>0</v>
      </c>
      <c r="M86" s="31" t="n">
        <v>0</v>
      </c>
      <c r="N86" s="31" t="n">
        <v>0</v>
      </c>
    </row>
    <row r="87">
      <c r="A87" s="27" t="inlineStr">
        <is>
          <t>44800000</t>
        </is>
      </c>
      <c r="B87" s="28" t="inlineStr">
        <is>
          <t>Etat charge à payer &amp; pdts à recev</t>
        </is>
      </c>
      <c r="C87" s="28" t="inlineStr">
        <is>
          <t>44</t>
        </is>
      </c>
      <c r="D87" s="28" t="inlineStr">
        <is>
          <t>Tiers à court terme</t>
        </is>
      </c>
      <c r="E87" s="28" t="inlineStr">
        <is>
          <t>Court terme</t>
        </is>
      </c>
      <c r="F87" s="28" t="inlineStr">
        <is>
          <t>Court terme</t>
        </is>
      </c>
      <c r="G87" s="28" t="n"/>
      <c r="H87" s="29" t="n">
        <v>-91837</v>
      </c>
      <c r="I87" s="29" t="n">
        <v>-65050</v>
      </c>
      <c r="J87" s="29" t="n">
        <v>-173520</v>
      </c>
      <c r="K87" s="29" t="n">
        <v>-141137</v>
      </c>
      <c r="L87" s="29" t="n">
        <v>-178398</v>
      </c>
      <c r="M87" s="29" t="n">
        <v>-259157</v>
      </c>
      <c r="N87" s="29" t="n">
        <v>-259157</v>
      </c>
    </row>
    <row r="88">
      <c r="A88" s="27" t="inlineStr">
        <is>
          <t>47110015</t>
        </is>
      </c>
      <c r="B88" s="30" t="inlineStr">
        <is>
          <t>Assurance maladie personnel civil f</t>
        </is>
      </c>
      <c r="C88" s="30" t="inlineStr">
        <is>
          <t>471 Comptes d'attente débiteurs</t>
        </is>
      </c>
      <c r="D88" s="30" t="inlineStr">
        <is>
          <t>Tiers à court terme</t>
        </is>
      </c>
      <c r="E88" s="30" t="inlineStr">
        <is>
          <t>Court terme</t>
        </is>
      </c>
      <c r="F88" s="30" t="inlineStr">
        <is>
          <t>Court terme</t>
        </is>
      </c>
      <c r="G88" s="30" t="n"/>
      <c r="H88" s="31" t="n">
        <v>-4</v>
      </c>
      <c r="I88" s="31" t="n">
        <v>-4</v>
      </c>
      <c r="J88" s="31" t="n">
        <v>-4944</v>
      </c>
      <c r="K88" s="31" t="n">
        <v>-23193</v>
      </c>
      <c r="L88" s="31" t="n">
        <v>0</v>
      </c>
      <c r="M88" s="31" t="n">
        <v>0</v>
      </c>
      <c r="N88" s="31" t="n">
        <v>0</v>
      </c>
    </row>
    <row r="89">
      <c r="A89" s="27" t="inlineStr">
        <is>
          <t>47110017</t>
        </is>
      </c>
      <c r="B89" s="28" t="inlineStr">
        <is>
          <t>Débiteur Somavie/ dossier EFC</t>
        </is>
      </c>
      <c r="C89" s="28" t="inlineStr">
        <is>
          <t>471 Comptes d'attente débiteurs</t>
        </is>
      </c>
      <c r="D89" s="28" t="inlineStr">
        <is>
          <t>Tiers à court terme</t>
        </is>
      </c>
      <c r="E89" s="28" t="inlineStr">
        <is>
          <t>Court terme</t>
        </is>
      </c>
      <c r="F89" s="28" t="inlineStr">
        <is>
          <t>Court terme</t>
        </is>
      </c>
      <c r="G89" s="28" t="n"/>
      <c r="H89" s="29" t="n">
        <v>55711080</v>
      </c>
      <c r="I89" s="29" t="n">
        <v>55711080</v>
      </c>
      <c r="J89" s="29" t="n">
        <v>0</v>
      </c>
      <c r="K89" s="29" t="n">
        <v>0</v>
      </c>
      <c r="L89" s="29" t="n">
        <v>0</v>
      </c>
      <c r="M89" s="29" t="n">
        <v>0</v>
      </c>
      <c r="N89" s="29" t="n">
        <v>0</v>
      </c>
    </row>
    <row r="90">
      <c r="A90" s="27" t="inlineStr">
        <is>
          <t>47111100</t>
        </is>
      </c>
      <c r="B90" s="30" t="inlineStr">
        <is>
          <t>Débiteurs Hopital Police Nationale</t>
        </is>
      </c>
      <c r="C90" s="30" t="inlineStr">
        <is>
          <t>471 Comptes d'attente débiteurs</t>
        </is>
      </c>
      <c r="D90" s="30" t="inlineStr">
        <is>
          <t>Avances et créances de long terme</t>
        </is>
      </c>
      <c r="E90" s="30" t="inlineStr">
        <is>
          <t>Créance à court terme (classe 4)</t>
        </is>
      </c>
      <c r="F90" s="30" t="inlineStr">
        <is>
          <t>Emploi long ou incertain</t>
        </is>
      </c>
      <c r="G90" s="30" t="inlineStr">
        <is>
          <t>EQS (retraité)</t>
        </is>
      </c>
      <c r="H90" s="31" t="n">
        <v>3407519850</v>
      </c>
      <c r="I90" s="31" t="n">
        <v>3407519850</v>
      </c>
      <c r="J90" s="31" t="n">
        <v>3407519850</v>
      </c>
      <c r="K90" s="31" t="n">
        <v>3407519850</v>
      </c>
      <c r="L90" s="31" t="n">
        <v>3407519850</v>
      </c>
      <c r="M90" s="31" t="n">
        <v>3407519850</v>
      </c>
      <c r="N90" s="31" t="n">
        <v>3407519850</v>
      </c>
    </row>
    <row r="91">
      <c r="A91" s="27" t="inlineStr">
        <is>
          <t>47111101</t>
        </is>
      </c>
      <c r="B91" s="28" t="inlineStr">
        <is>
          <t>POLYCLINIQUE DU FPPN</t>
        </is>
      </c>
      <c r="C91" s="28" t="inlineStr">
        <is>
          <t>471 Comptes d'attente débiteurs</t>
        </is>
      </c>
      <c r="D91" s="28" t="inlineStr">
        <is>
          <t>Avances et créances de long terme</t>
        </is>
      </c>
      <c r="E91" s="28" t="inlineStr">
        <is>
          <t>Créance à court terme (classe 4)</t>
        </is>
      </c>
      <c r="F91" s="28" t="inlineStr">
        <is>
          <t>Emploi long ou incertain</t>
        </is>
      </c>
      <c r="G91" s="28" t="inlineStr">
        <is>
          <t>EQS (retraité)</t>
        </is>
      </c>
      <c r="H91" s="29" t="n">
        <v>2984680712</v>
      </c>
      <c r="I91" s="29" t="n">
        <v>3521598249</v>
      </c>
      <c r="J91" s="29" t="n">
        <v>0</v>
      </c>
      <c r="K91" s="29" t="n">
        <v>0</v>
      </c>
      <c r="L91" s="29" t="n">
        <v>0</v>
      </c>
      <c r="M91" s="29" t="n">
        <v>0</v>
      </c>
      <c r="N91" s="29" t="n">
        <v>208250</v>
      </c>
    </row>
    <row r="92">
      <c r="A92" s="27" t="inlineStr">
        <is>
          <t>47111102</t>
        </is>
      </c>
      <c r="B92" s="30" t="inlineStr">
        <is>
          <t>LE GRENIER DU POLICIER</t>
        </is>
      </c>
      <c r="C92" s="30" t="inlineStr">
        <is>
          <t>471 Comptes d'attente débiteurs</t>
        </is>
      </c>
      <c r="D92" s="30" t="inlineStr">
        <is>
          <t>Avances et créances de long terme</t>
        </is>
      </c>
      <c r="E92" s="30" t="inlineStr">
        <is>
          <t>Créance à court terme (classe 4)</t>
        </is>
      </c>
      <c r="F92" s="30" t="inlineStr">
        <is>
          <t>Emploi long ou incertain</t>
        </is>
      </c>
      <c r="G92" s="30" t="inlineStr">
        <is>
          <t>EQS (retraité)</t>
        </is>
      </c>
      <c r="H92" s="31" t="n">
        <v>0</v>
      </c>
      <c r="I92" s="31" t="n">
        <v>27030000</v>
      </c>
      <c r="J92" s="31" t="n">
        <v>458483900</v>
      </c>
      <c r="K92" s="31" t="n">
        <v>504192100</v>
      </c>
      <c r="L92" s="31" t="n">
        <v>650882600</v>
      </c>
      <c r="M92" s="31" t="n">
        <v>817121335</v>
      </c>
      <c r="N92" s="31" t="n">
        <v>915477260</v>
      </c>
    </row>
    <row r="93">
      <c r="A93" s="27" t="inlineStr">
        <is>
          <t>47111103</t>
        </is>
      </c>
      <c r="B93" s="28" t="inlineStr">
        <is>
          <t>TICKET MODERATEUR</t>
        </is>
      </c>
      <c r="C93" s="28" t="inlineStr">
        <is>
          <t>471 Comptes d'attente débiteurs</t>
        </is>
      </c>
      <c r="D93" s="28" t="inlineStr">
        <is>
          <t>Tiers à court terme</t>
        </is>
      </c>
      <c r="E93" s="28" t="inlineStr">
        <is>
          <t>Court terme</t>
        </is>
      </c>
      <c r="F93" s="28" t="inlineStr">
        <is>
          <t>Court terme</t>
        </is>
      </c>
      <c r="G93" s="28" t="inlineStr">
        <is>
          <t>EQS (retraité)</t>
        </is>
      </c>
      <c r="H93" s="29" t="n">
        <v>0</v>
      </c>
      <c r="I93" s="29" t="n">
        <v>0</v>
      </c>
      <c r="J93" s="29" t="n">
        <v>8357475</v>
      </c>
      <c r="K93" s="29" t="n">
        <v>8357475</v>
      </c>
      <c r="L93" s="29" t="n">
        <v>8357475</v>
      </c>
      <c r="M93" s="29" t="n">
        <v>8357475</v>
      </c>
      <c r="N93" s="29" t="n">
        <v>8357475</v>
      </c>
    </row>
    <row r="94">
      <c r="A94" s="27" t="inlineStr">
        <is>
          <t>47111104</t>
        </is>
      </c>
      <c r="B94" s="30" t="inlineStr">
        <is>
          <t>INVESTISSEMENTS AU CMP</t>
        </is>
      </c>
      <c r="C94" s="30" t="inlineStr">
        <is>
          <t>471 Comptes d'attente débiteurs</t>
        </is>
      </c>
      <c r="D94" s="30" t="inlineStr">
        <is>
          <t>Avances et créances de long terme</t>
        </is>
      </c>
      <c r="E94" s="30" t="inlineStr">
        <is>
          <t>Créance à court terme (classe 4)</t>
        </is>
      </c>
      <c r="F94" s="30" t="inlineStr">
        <is>
          <t>Emploi long ou incertain</t>
        </is>
      </c>
      <c r="G94" s="30" t="inlineStr">
        <is>
          <t>EQS (retraité)</t>
        </is>
      </c>
      <c r="H94" s="31" t="n">
        <v>0</v>
      </c>
      <c r="I94" s="31" t="n">
        <v>0</v>
      </c>
      <c r="J94" s="31" t="n">
        <v>3315617765</v>
      </c>
      <c r="K94" s="31" t="n">
        <v>3493417491</v>
      </c>
      <c r="L94" s="31" t="n">
        <v>4326332372</v>
      </c>
      <c r="M94" s="31" t="n">
        <v>5188367872</v>
      </c>
      <c r="N94" s="31" t="n">
        <v>5803025455</v>
      </c>
    </row>
    <row r="95">
      <c r="A95" s="27" t="inlineStr">
        <is>
          <t>47111105</t>
        </is>
      </c>
      <c r="B95" s="28" t="inlineStr">
        <is>
          <t>CHARGES DE FONCTIONNEMENT AU CMP</t>
        </is>
      </c>
      <c r="C95" s="28" t="inlineStr">
        <is>
          <t>471 Comptes d'attente débiteurs</t>
        </is>
      </c>
      <c r="D95" s="28" t="inlineStr">
        <is>
          <t>Avances et créances de long terme</t>
        </is>
      </c>
      <c r="E95" s="28" t="inlineStr">
        <is>
          <t>Créance à court terme (classe 4)</t>
        </is>
      </c>
      <c r="F95" s="28" t="inlineStr">
        <is>
          <t>Emploi long ou incertain</t>
        </is>
      </c>
      <c r="G95" s="28" t="inlineStr">
        <is>
          <t>EQS (retraité)</t>
        </is>
      </c>
      <c r="H95" s="29" t="n">
        <v>0</v>
      </c>
      <c r="I95" s="29" t="n">
        <v>0</v>
      </c>
      <c r="J95" s="29" t="n">
        <v>469980456</v>
      </c>
      <c r="K95" s="29" t="n">
        <v>575978838</v>
      </c>
      <c r="L95" s="29" t="n">
        <v>618324057</v>
      </c>
      <c r="M95" s="29" t="n">
        <v>814609075</v>
      </c>
      <c r="N95" s="29" t="n">
        <v>1280300860</v>
      </c>
    </row>
    <row r="96">
      <c r="A96" s="27" t="inlineStr">
        <is>
          <t>47111106</t>
        </is>
      </c>
      <c r="B96" s="30" t="inlineStr">
        <is>
          <t>GNA ASSURANCE</t>
        </is>
      </c>
      <c r="C96" s="30" t="inlineStr">
        <is>
          <t>471 Comptes d'attente débiteurs</t>
        </is>
      </c>
      <c r="D96" s="30" t="inlineStr">
        <is>
          <t>Tiers à court terme</t>
        </is>
      </c>
      <c r="E96" s="30" t="inlineStr">
        <is>
          <t>Court terme</t>
        </is>
      </c>
      <c r="F96" s="30" t="inlineStr">
        <is>
          <t>Court terme</t>
        </is>
      </c>
      <c r="G96" s="30" t="inlineStr">
        <is>
          <t>EQS (retraité)</t>
        </is>
      </c>
      <c r="H96" s="31" t="n">
        <v>0</v>
      </c>
      <c r="I96" s="31" t="n">
        <v>0</v>
      </c>
      <c r="J96" s="31" t="n">
        <v>0</v>
      </c>
      <c r="K96" s="31" t="n">
        <v>1024011</v>
      </c>
      <c r="L96" s="31" t="n">
        <v>4700492</v>
      </c>
      <c r="M96" s="31" t="n">
        <v>2457312</v>
      </c>
      <c r="N96" s="31" t="n">
        <v>3057898</v>
      </c>
    </row>
    <row r="97">
      <c r="A97" s="27" t="inlineStr">
        <is>
          <t>47111200</t>
        </is>
      </c>
      <c r="B97" s="28" t="inlineStr">
        <is>
          <t>Projet Immobilier</t>
        </is>
      </c>
      <c r="C97" s="28" t="inlineStr">
        <is>
          <t>471 Comptes d'attente débiteurs</t>
        </is>
      </c>
      <c r="D97" s="28" t="inlineStr">
        <is>
          <t>Tiers à court terme</t>
        </is>
      </c>
      <c r="E97" s="28" t="inlineStr">
        <is>
          <t>Court terme</t>
        </is>
      </c>
      <c r="F97" s="28" t="inlineStr">
        <is>
          <t>Court terme</t>
        </is>
      </c>
      <c r="G97" s="28" t="n"/>
      <c r="H97" s="29" t="n">
        <v>-7474647</v>
      </c>
      <c r="I97" s="29" t="n">
        <v>-7474647</v>
      </c>
      <c r="J97" s="29" t="n">
        <v>-7474647</v>
      </c>
      <c r="K97" s="29" t="n">
        <v>-7474647</v>
      </c>
      <c r="L97" s="29" t="n">
        <v>-7474647</v>
      </c>
      <c r="M97" s="29" t="n">
        <v>-7474647</v>
      </c>
      <c r="N97" s="29" t="n">
        <v>-7474647</v>
      </c>
    </row>
    <row r="98">
      <c r="A98" s="27" t="inlineStr">
        <is>
          <t>47111201</t>
        </is>
      </c>
      <c r="B98" s="30" t="inlineStr">
        <is>
          <t>PROJET IMMOBILIER LEM</t>
        </is>
      </c>
      <c r="C98" s="30" t="inlineStr">
        <is>
          <t>471 Comptes d'attente débiteurs</t>
        </is>
      </c>
      <c r="D98" s="30" t="inlineStr">
        <is>
          <t>Avances et créances de long terme</t>
        </is>
      </c>
      <c r="E98" s="30" t="inlineStr">
        <is>
          <t>Créance à court terme (classe 4)</t>
        </is>
      </c>
      <c r="F98" s="30" t="inlineStr">
        <is>
          <t>Emploi long ou incertain</t>
        </is>
      </c>
      <c r="G98" s="30" t="n"/>
      <c r="H98" s="31" t="n">
        <v>0</v>
      </c>
      <c r="I98" s="31" t="n">
        <v>0</v>
      </c>
      <c r="J98" s="31" t="n">
        <v>35930000</v>
      </c>
      <c r="K98" s="31" t="n">
        <v>26030000</v>
      </c>
      <c r="L98" s="31" t="n">
        <v>56700000</v>
      </c>
      <c r="M98" s="31" t="n">
        <v>42700000</v>
      </c>
      <c r="N98" s="31" t="n">
        <v>42700000</v>
      </c>
    </row>
    <row r="99">
      <c r="A99" s="27" t="inlineStr">
        <is>
          <t>47120000</t>
        </is>
      </c>
      <c r="B99" s="28" t="inlineStr">
        <is>
          <t>COTISATION PEP (EPARGNE)</t>
        </is>
      </c>
      <c r="C99" s="28" t="inlineStr">
        <is>
          <t>471 Comptes d'attente débiteurs</t>
        </is>
      </c>
      <c r="D99" s="28" t="inlineStr">
        <is>
          <t>Tiers à court terme</t>
        </is>
      </c>
      <c r="E99" s="28" t="inlineStr">
        <is>
          <t>Court terme</t>
        </is>
      </c>
      <c r="F99" s="28" t="inlineStr">
        <is>
          <t>Court terme</t>
        </is>
      </c>
      <c r="G99" s="28" t="n"/>
      <c r="H99" s="29" t="n">
        <v>0</v>
      </c>
      <c r="I99" s="29" t="n">
        <v>0</v>
      </c>
      <c r="J99" s="29" t="n">
        <v>0</v>
      </c>
      <c r="K99" s="29" t="n">
        <v>0</v>
      </c>
      <c r="L99" s="29" t="n">
        <v>0</v>
      </c>
      <c r="M99" s="29" t="n">
        <v>-1050000</v>
      </c>
      <c r="N99" s="29" t="n">
        <v>-1050000</v>
      </c>
    </row>
    <row r="100">
      <c r="A100" s="27" t="inlineStr">
        <is>
          <t>47210002</t>
        </is>
      </c>
      <c r="B100" s="30" t="inlineStr">
        <is>
          <t>BOA AZUREENNE</t>
        </is>
      </c>
      <c r="C100" s="30" t="inlineStr">
        <is>
          <t>47</t>
        </is>
      </c>
      <c r="D100" s="30" t="inlineStr">
        <is>
          <t>Tiers à court terme</t>
        </is>
      </c>
      <c r="E100" s="30" t="inlineStr">
        <is>
          <t>Court terme</t>
        </is>
      </c>
      <c r="F100" s="30" t="inlineStr">
        <is>
          <t>Court terme</t>
        </is>
      </c>
      <c r="G100" s="30" t="n"/>
      <c r="H100" s="31" t="n">
        <v>-104000000</v>
      </c>
      <c r="I100" s="31" t="n">
        <v>-102050000</v>
      </c>
      <c r="J100" s="31" t="n">
        <v>-102050000</v>
      </c>
      <c r="K100" s="31" t="n">
        <v>-102050000</v>
      </c>
      <c r="L100" s="31" t="n">
        <v>-102050000</v>
      </c>
      <c r="M100" s="31" t="n">
        <v>-102050000</v>
      </c>
      <c r="N100" s="31" t="n">
        <v>-102050000</v>
      </c>
    </row>
    <row r="101">
      <c r="A101" s="27" t="inlineStr">
        <is>
          <t>47210018</t>
        </is>
      </c>
      <c r="B101" s="28" t="inlineStr">
        <is>
          <t>AKA TANOH EVARISTE/ TERRAIN</t>
        </is>
      </c>
      <c r="C101" s="28" t="inlineStr">
        <is>
          <t>47</t>
        </is>
      </c>
      <c r="D101" s="28" t="inlineStr">
        <is>
          <t>Tiers à court terme</t>
        </is>
      </c>
      <c r="E101" s="28" t="inlineStr">
        <is>
          <t>Court terme</t>
        </is>
      </c>
      <c r="F101" s="28" t="inlineStr">
        <is>
          <t>Court terme</t>
        </is>
      </c>
      <c r="G101" s="28" t="n"/>
      <c r="H101" s="29" t="n">
        <v>-12500000</v>
      </c>
      <c r="I101" s="29" t="n">
        <v>-12500000</v>
      </c>
      <c r="J101" s="29" t="n">
        <v>0</v>
      </c>
      <c r="K101" s="29" t="n">
        <v>0</v>
      </c>
      <c r="L101" s="29" t="n">
        <v>0</v>
      </c>
      <c r="M101" s="29" t="n">
        <v>0</v>
      </c>
      <c r="N101" s="29" t="n">
        <v>0</v>
      </c>
    </row>
    <row r="102">
      <c r="A102" s="27" t="inlineStr">
        <is>
          <t>47210019</t>
        </is>
      </c>
      <c r="B102" s="30" t="inlineStr">
        <is>
          <t>AKA BOSSOH/ BATIMENTS ABOISSO</t>
        </is>
      </c>
      <c r="C102" s="30" t="inlineStr">
        <is>
          <t>47</t>
        </is>
      </c>
      <c r="D102" s="30" t="inlineStr">
        <is>
          <t>Tiers à court terme</t>
        </is>
      </c>
      <c r="E102" s="30" t="inlineStr">
        <is>
          <t>Court terme</t>
        </is>
      </c>
      <c r="F102" s="30" t="inlineStr">
        <is>
          <t>Court terme</t>
        </is>
      </c>
      <c r="G102" s="30" t="n"/>
      <c r="H102" s="31" t="n">
        <v>-45000000</v>
      </c>
      <c r="I102" s="31" t="n">
        <v>-45000000</v>
      </c>
      <c r="J102" s="31" t="n">
        <v>0</v>
      </c>
      <c r="K102" s="31" t="n">
        <v>0</v>
      </c>
      <c r="L102" s="31" t="n">
        <v>0</v>
      </c>
      <c r="M102" s="31" t="n">
        <v>0</v>
      </c>
      <c r="N102" s="31" t="n">
        <v>0</v>
      </c>
    </row>
    <row r="103">
      <c r="A103" s="27" t="inlineStr">
        <is>
          <t>47210020</t>
        </is>
      </c>
      <c r="B103" s="28" t="inlineStr">
        <is>
          <t>PROVISION DE CARBURANT</t>
        </is>
      </c>
      <c r="C103" s="28" t="inlineStr">
        <is>
          <t>47</t>
        </is>
      </c>
      <c r="D103" s="28" t="inlineStr">
        <is>
          <t>Tiers à court terme</t>
        </is>
      </c>
      <c r="E103" s="28" t="inlineStr">
        <is>
          <t>Court terme</t>
        </is>
      </c>
      <c r="F103" s="28" t="inlineStr">
        <is>
          <t>Court terme</t>
        </is>
      </c>
      <c r="G103" s="28" t="n"/>
      <c r="H103" s="29" t="n">
        <v>-5100000</v>
      </c>
      <c r="I103" s="29" t="n">
        <v>0</v>
      </c>
      <c r="J103" s="29" t="n">
        <v>0</v>
      </c>
      <c r="K103" s="29" t="n">
        <v>0</v>
      </c>
      <c r="L103" s="29" t="n">
        <v>0</v>
      </c>
      <c r="M103" s="29" t="n">
        <v>0</v>
      </c>
      <c r="N103" s="29" t="n">
        <v>0</v>
      </c>
    </row>
    <row r="104">
      <c r="A104" s="27" t="inlineStr">
        <is>
          <t>47210021</t>
        </is>
      </c>
      <c r="B104" s="30" t="inlineStr">
        <is>
          <t>ECOLE DE POLICE D'ABIDJAN</t>
        </is>
      </c>
      <c r="C104" s="30" t="inlineStr">
        <is>
          <t>47</t>
        </is>
      </c>
      <c r="D104" s="30" t="inlineStr">
        <is>
          <t>Tiers à court terme</t>
        </is>
      </c>
      <c r="E104" s="30" t="inlineStr">
        <is>
          <t>Court terme</t>
        </is>
      </c>
      <c r="F104" s="30" t="inlineStr">
        <is>
          <t>Court terme</t>
        </is>
      </c>
      <c r="G104" s="30" t="n"/>
      <c r="H104" s="31" t="n">
        <v>0</v>
      </c>
      <c r="I104" s="31" t="n">
        <v>0</v>
      </c>
      <c r="J104" s="31" t="n">
        <v>0</v>
      </c>
      <c r="K104" s="31" t="n">
        <v>0</v>
      </c>
      <c r="L104" s="31" t="n">
        <v>0</v>
      </c>
      <c r="M104" s="31" t="n">
        <v>0</v>
      </c>
      <c r="N104" s="31" t="n">
        <v>-66586934</v>
      </c>
    </row>
    <row r="105">
      <c r="A105" s="27" t="inlineStr">
        <is>
          <t>47210022</t>
        </is>
      </c>
      <c r="B105" s="28" t="inlineStr">
        <is>
          <t>ECOLDE DE POLICE DE KORHOGO</t>
        </is>
      </c>
      <c r="C105" s="28" t="inlineStr">
        <is>
          <t>47</t>
        </is>
      </c>
      <c r="D105" s="28" t="inlineStr">
        <is>
          <t>Tiers à court terme</t>
        </is>
      </c>
      <c r="E105" s="28" t="inlineStr">
        <is>
          <t>Court terme</t>
        </is>
      </c>
      <c r="F105" s="28" t="inlineStr">
        <is>
          <t>Court terme</t>
        </is>
      </c>
      <c r="G105" s="28" t="n"/>
      <c r="H105" s="29" t="n">
        <v>0</v>
      </c>
      <c r="I105" s="29" t="n">
        <v>0</v>
      </c>
      <c r="J105" s="29" t="n">
        <v>0</v>
      </c>
      <c r="K105" s="29" t="n">
        <v>0</v>
      </c>
      <c r="L105" s="29" t="n">
        <v>0</v>
      </c>
      <c r="M105" s="29" t="n">
        <v>0</v>
      </c>
      <c r="N105" s="29" t="n">
        <v>13857454</v>
      </c>
    </row>
    <row r="106">
      <c r="A106" s="27" t="inlineStr">
        <is>
          <t>47211000</t>
        </is>
      </c>
      <c r="B106" s="30" t="inlineStr">
        <is>
          <t>PART BON TRESOR/AZUR</t>
        </is>
      </c>
      <c r="C106" s="30" t="inlineStr">
        <is>
          <t>47</t>
        </is>
      </c>
      <c r="D106" s="30" t="inlineStr">
        <is>
          <t>Tiers à court terme</t>
        </is>
      </c>
      <c r="E106" s="30" t="inlineStr">
        <is>
          <t>Court terme</t>
        </is>
      </c>
      <c r="F106" s="30" t="inlineStr">
        <is>
          <t>Court terme</t>
        </is>
      </c>
      <c r="G106" s="30" t="n"/>
      <c r="H106" s="31" t="n">
        <v>0</v>
      </c>
      <c r="I106" s="31" t="n">
        <v>0</v>
      </c>
      <c r="J106" s="31" t="n">
        <v>0</v>
      </c>
      <c r="K106" s="31" t="n">
        <v>0</v>
      </c>
      <c r="L106" s="31" t="n">
        <v>0</v>
      </c>
      <c r="M106" s="31" t="n">
        <v>-5180000</v>
      </c>
      <c r="N106" s="31" t="n">
        <v>-5680000</v>
      </c>
    </row>
    <row r="107">
      <c r="A107" s="27" t="inlineStr">
        <is>
          <t>47211700</t>
        </is>
      </c>
      <c r="B107" s="28" t="inlineStr">
        <is>
          <t>RESTE/ OPERATION DEDOM GENIE 2000</t>
        </is>
      </c>
      <c r="C107" s="28" t="inlineStr">
        <is>
          <t>47</t>
        </is>
      </c>
      <c r="D107" s="28" t="inlineStr">
        <is>
          <t>Tiers à court terme</t>
        </is>
      </c>
      <c r="E107" s="28" t="inlineStr">
        <is>
          <t>Court terme</t>
        </is>
      </c>
      <c r="F107" s="28" t="inlineStr">
        <is>
          <t>Court terme</t>
        </is>
      </c>
      <c r="G107" s="28" t="n"/>
      <c r="H107" s="29" t="n">
        <v>-9630000</v>
      </c>
      <c r="I107" s="29" t="n">
        <v>-4630000</v>
      </c>
      <c r="J107" s="29" t="n">
        <v>-4630000</v>
      </c>
      <c r="K107" s="29" t="n">
        <v>-4630000</v>
      </c>
      <c r="L107" s="29" t="n">
        <v>-4630000</v>
      </c>
      <c r="M107" s="29" t="n">
        <v>-4630000</v>
      </c>
      <c r="N107" s="29" t="n">
        <v>-4630000</v>
      </c>
    </row>
    <row r="108">
      <c r="A108" s="27" t="inlineStr">
        <is>
          <t>47211900</t>
        </is>
      </c>
      <c r="B108" s="30" t="inlineStr">
        <is>
          <t>PROJET IMMO BROFODOUME(AFRIQUE FONC</t>
        </is>
      </c>
      <c r="C108" s="30" t="inlineStr">
        <is>
          <t>47</t>
        </is>
      </c>
      <c r="D108" s="30" t="inlineStr">
        <is>
          <t>Tiers à court terme</t>
        </is>
      </c>
      <c r="E108" s="30" t="inlineStr">
        <is>
          <t>Court terme</t>
        </is>
      </c>
      <c r="F108" s="30" t="inlineStr">
        <is>
          <t>Court terme</t>
        </is>
      </c>
      <c r="G108" s="30" t="n"/>
      <c r="H108" s="31" t="n">
        <v>0</v>
      </c>
      <c r="I108" s="31" t="n">
        <v>0</v>
      </c>
      <c r="J108" s="31" t="n">
        <v>0</v>
      </c>
      <c r="K108" s="31" t="n">
        <v>0</v>
      </c>
      <c r="L108" s="31" t="n">
        <v>0</v>
      </c>
      <c r="M108" s="31" t="n">
        <v>-36185000</v>
      </c>
      <c r="N108" s="31" t="n">
        <v>-9589950</v>
      </c>
    </row>
    <row r="109">
      <c r="A109" s="27" t="inlineStr">
        <is>
          <t>47221201</t>
        </is>
      </c>
      <c r="B109" s="28" t="inlineStr">
        <is>
          <t>PROJET IMMO LEM</t>
        </is>
      </c>
      <c r="C109" s="28" t="inlineStr">
        <is>
          <t>47</t>
        </is>
      </c>
      <c r="D109" s="28" t="inlineStr">
        <is>
          <t>Tiers à court terme</t>
        </is>
      </c>
      <c r="E109" s="28" t="inlineStr">
        <is>
          <t>Court terme</t>
        </is>
      </c>
      <c r="F109" s="28" t="inlineStr">
        <is>
          <t>Court terme</t>
        </is>
      </c>
      <c r="G109" s="28" t="n"/>
      <c r="H109" s="29" t="n">
        <v>0</v>
      </c>
      <c r="I109" s="29" t="n">
        <v>0</v>
      </c>
      <c r="J109" s="29" t="n">
        <v>0</v>
      </c>
      <c r="K109" s="29" t="n">
        <v>0</v>
      </c>
      <c r="L109" s="29" t="n">
        <v>0</v>
      </c>
      <c r="M109" s="29" t="n">
        <v>0</v>
      </c>
      <c r="N109" s="29" t="n">
        <v>-5000000</v>
      </c>
    </row>
    <row r="110">
      <c r="A110" s="27" t="inlineStr">
        <is>
          <t>47600000</t>
        </is>
      </c>
      <c r="B110" s="30" t="inlineStr">
        <is>
          <t>Différences conversion - Actif</t>
        </is>
      </c>
      <c r="C110" s="30" t="inlineStr">
        <is>
          <t>47</t>
        </is>
      </c>
      <c r="D110" s="30" t="inlineStr">
        <is>
          <t>Tiers à court terme</t>
        </is>
      </c>
      <c r="E110" s="30" t="inlineStr">
        <is>
          <t>Court terme</t>
        </is>
      </c>
      <c r="F110" s="30" t="inlineStr">
        <is>
          <t>Court terme</t>
        </is>
      </c>
      <c r="G110" s="30" t="n"/>
      <c r="H110" s="31" t="n">
        <v>3665761</v>
      </c>
      <c r="I110" s="31" t="n">
        <v>0</v>
      </c>
      <c r="J110" s="31" t="n">
        <v>961233</v>
      </c>
      <c r="K110" s="31" t="n">
        <v>969096</v>
      </c>
      <c r="L110" s="31" t="n">
        <v>225094</v>
      </c>
      <c r="M110" s="31" t="n">
        <v>121439</v>
      </c>
      <c r="N110" s="31" t="n">
        <v>121439</v>
      </c>
    </row>
    <row r="111">
      <c r="A111" s="27" t="inlineStr">
        <is>
          <t>48100000</t>
        </is>
      </c>
      <c r="B111" s="28" t="inlineStr">
        <is>
          <t>Fournisseurs d'investissement</t>
        </is>
      </c>
      <c r="C111" s="28" t="inlineStr">
        <is>
          <t>48</t>
        </is>
      </c>
      <c r="D111" s="28" t="inlineStr">
        <is>
          <t>Tiers à court terme</t>
        </is>
      </c>
      <c r="E111" s="28" t="inlineStr">
        <is>
          <t>Court terme</t>
        </is>
      </c>
      <c r="F111" s="28" t="inlineStr">
        <is>
          <t>Court terme</t>
        </is>
      </c>
      <c r="G111" s="28" t="n"/>
      <c r="H111" s="29" t="n">
        <v>-807742163</v>
      </c>
      <c r="I111" s="29" t="n">
        <v>-875837781</v>
      </c>
      <c r="J111" s="29" t="n">
        <v>-730347197</v>
      </c>
      <c r="K111" s="29" t="n">
        <v>-678306915</v>
      </c>
      <c r="L111" s="29" t="n">
        <v>-1614294436</v>
      </c>
      <c r="M111" s="29" t="n">
        <v>-194275662</v>
      </c>
      <c r="N111" s="29" t="n">
        <v>-235046326</v>
      </c>
    </row>
    <row r="112">
      <c r="A112" s="27" t="inlineStr">
        <is>
          <t>48500000</t>
        </is>
      </c>
      <c r="B112" s="30" t="inlineStr">
        <is>
          <t>Créances sur cession d'immobilisat</t>
        </is>
      </c>
      <c r="C112" s="30" t="inlineStr">
        <is>
          <t>485 Créances sur cessions</t>
        </is>
      </c>
      <c r="D112" s="30" t="inlineStr">
        <is>
          <t>Avances et créances de long terme</t>
        </is>
      </c>
      <c r="E112" s="30" t="inlineStr">
        <is>
          <t>Créance à court terme (classe 4)</t>
        </is>
      </c>
      <c r="F112" s="30" t="inlineStr">
        <is>
          <t>Emploi long ou incertain</t>
        </is>
      </c>
      <c r="G112" s="30" t="n"/>
      <c r="H112" s="31" t="n">
        <v>430049577</v>
      </c>
      <c r="I112" s="31" t="n">
        <v>155758000</v>
      </c>
      <c r="J112" s="31" t="n">
        <v>154758000</v>
      </c>
      <c r="K112" s="31" t="n">
        <v>164758000</v>
      </c>
      <c r="L112" s="31" t="n">
        <v>154758000</v>
      </c>
      <c r="M112" s="31" t="n">
        <v>154758000</v>
      </c>
      <c r="N112" s="31" t="n">
        <v>154758000</v>
      </c>
    </row>
    <row r="113">
      <c r="A113" s="27" t="inlineStr">
        <is>
          <t>49711017</t>
        </is>
      </c>
      <c r="B113" s="28" t="inlineStr">
        <is>
          <t>PROV POUR DEPRECIATION DEBIT. SOMAV</t>
        </is>
      </c>
      <c r="C113" s="28" t="inlineStr">
        <is>
          <t>49</t>
        </is>
      </c>
      <c r="D113" s="28" t="inlineStr">
        <is>
          <t>Tiers à court terme</t>
        </is>
      </c>
      <c r="E113" s="28" t="inlineStr">
        <is>
          <t>Court terme</t>
        </is>
      </c>
      <c r="F113" s="28" t="inlineStr">
        <is>
          <t>Court terme</t>
        </is>
      </c>
      <c r="G113" s="28" t="n"/>
      <c r="H113" s="29" t="n">
        <v>0</v>
      </c>
      <c r="I113" s="29" t="n">
        <v>-55711080</v>
      </c>
      <c r="J113" s="29" t="n">
        <v>0</v>
      </c>
      <c r="K113" s="29" t="n">
        <v>0</v>
      </c>
      <c r="L113" s="29" t="n">
        <v>0</v>
      </c>
      <c r="M113" s="29" t="n">
        <v>0</v>
      </c>
      <c r="N113" s="29" t="n">
        <v>0</v>
      </c>
    </row>
    <row r="114">
      <c r="A114" s="27" t="inlineStr">
        <is>
          <t>52110000</t>
        </is>
      </c>
      <c r="B114" s="30" t="inlineStr">
        <is>
          <t>Banque BOA</t>
        </is>
      </c>
      <c r="C114" s="30" t="inlineStr">
        <is>
          <t>52 Banques</t>
        </is>
      </c>
      <c r="D114" s="30" t="inlineStr">
        <is>
          <t>Trésorerie</t>
        </is>
      </c>
      <c r="E114" s="30" t="inlineStr">
        <is>
          <t>Trésorerie</t>
        </is>
      </c>
      <c r="F114" s="30" t="inlineStr">
        <is>
          <t>Trésorerie</t>
        </is>
      </c>
      <c r="G114" s="30" t="inlineStr">
        <is>
          <t>LIQ, RL1, RL2, RL3</t>
        </is>
      </c>
      <c r="H114" s="31" t="n">
        <v>152952897</v>
      </c>
      <c r="I114" s="31" t="n">
        <v>675286588</v>
      </c>
      <c r="J114" s="31" t="n">
        <v>189354944</v>
      </c>
      <c r="K114" s="31" t="n">
        <v>256608030</v>
      </c>
      <c r="L114" s="31" t="n">
        <v>29689196</v>
      </c>
      <c r="M114" s="31" t="n">
        <v>10728253</v>
      </c>
      <c r="N114" s="31" t="n">
        <v>225836167</v>
      </c>
    </row>
    <row r="115">
      <c r="A115" s="27" t="inlineStr">
        <is>
          <t>52110100</t>
        </is>
      </c>
      <c r="B115" s="28" t="inlineStr">
        <is>
          <t>Banque BOA-Budget de fctionnement</t>
        </is>
      </c>
      <c r="C115" s="28" t="inlineStr">
        <is>
          <t>52 Banques</t>
        </is>
      </c>
      <c r="D115" s="28" t="inlineStr">
        <is>
          <t>Trésorerie</t>
        </is>
      </c>
      <c r="E115" s="28" t="inlineStr">
        <is>
          <t>Trésorerie</t>
        </is>
      </c>
      <c r="F115" s="28" t="inlineStr">
        <is>
          <t>Trésorerie</t>
        </is>
      </c>
      <c r="G115" s="28" t="inlineStr">
        <is>
          <t>LIQ, RL1, RL2, RL3</t>
        </is>
      </c>
      <c r="H115" s="29" t="n">
        <v>-320389</v>
      </c>
      <c r="I115" s="29" t="n">
        <v>9647073</v>
      </c>
      <c r="J115" s="29" t="n">
        <v>18810061</v>
      </c>
      <c r="K115" s="29" t="n">
        <v>7931315</v>
      </c>
      <c r="L115" s="29" t="n">
        <v>12721616</v>
      </c>
      <c r="M115" s="29" t="n">
        <v>86329640</v>
      </c>
      <c r="N115" s="29" t="n">
        <v>87050305</v>
      </c>
    </row>
    <row r="116">
      <c r="A116" s="27" t="inlineStr">
        <is>
          <t>52110200</t>
        </is>
      </c>
      <c r="B116" s="30" t="inlineStr">
        <is>
          <t>Banque BOA-Entraide fin de carrière</t>
        </is>
      </c>
      <c r="C116" s="30" t="inlineStr">
        <is>
          <t>52 Banques</t>
        </is>
      </c>
      <c r="D116" s="30" t="inlineStr">
        <is>
          <t>Trésorerie</t>
        </is>
      </c>
      <c r="E116" s="30" t="inlineStr">
        <is>
          <t>Trésorerie</t>
        </is>
      </c>
      <c r="F116" s="30" t="inlineStr">
        <is>
          <t>Trésorerie</t>
        </is>
      </c>
      <c r="G116" s="30" t="inlineStr">
        <is>
          <t>LIQ, RL1, RL2, RL3</t>
        </is>
      </c>
      <c r="H116" s="31" t="n">
        <v>107161972</v>
      </c>
      <c r="I116" s="31" t="n">
        <v>262657422</v>
      </c>
      <c r="J116" s="31" t="n">
        <v>234655079</v>
      </c>
      <c r="K116" s="31" t="n">
        <v>315891725</v>
      </c>
      <c r="L116" s="31" t="n">
        <v>154446091</v>
      </c>
      <c r="M116" s="31" t="n">
        <v>912316390</v>
      </c>
      <c r="N116" s="31" t="n">
        <v>1540006941</v>
      </c>
    </row>
    <row r="117">
      <c r="A117" s="27" t="inlineStr">
        <is>
          <t>52110300</t>
        </is>
      </c>
      <c r="B117" s="28" t="inlineStr">
        <is>
          <t>Banque BOA PEP</t>
        </is>
      </c>
      <c r="C117" s="28" t="inlineStr">
        <is>
          <t>52 Banques</t>
        </is>
      </c>
      <c r="D117" s="28" t="inlineStr">
        <is>
          <t>Trésorerie</t>
        </is>
      </c>
      <c r="E117" s="28" t="inlineStr">
        <is>
          <t>Trésorerie</t>
        </is>
      </c>
      <c r="F117" s="28" t="inlineStr">
        <is>
          <t>Trésorerie</t>
        </is>
      </c>
      <c r="G117" s="28" t="inlineStr">
        <is>
          <t>LIQ, RL1, RL2, RL3</t>
        </is>
      </c>
      <c r="H117" s="29" t="n">
        <v>88638981</v>
      </c>
      <c r="I117" s="29" t="n">
        <v>1167014993</v>
      </c>
      <c r="J117" s="29" t="n">
        <v>125538795</v>
      </c>
      <c r="K117" s="29" t="n">
        <v>-6203273</v>
      </c>
      <c r="L117" s="29" t="n">
        <v>14897852</v>
      </c>
      <c r="M117" s="29" t="n">
        <v>195839135</v>
      </c>
      <c r="N117" s="29" t="n">
        <v>37336916</v>
      </c>
    </row>
    <row r="118">
      <c r="A118" s="27" t="inlineStr">
        <is>
          <t>52130000</t>
        </is>
      </c>
      <c r="B118" s="30" t="inlineStr">
        <is>
          <t>Banque ECOBANK</t>
        </is>
      </c>
      <c r="C118" s="30" t="inlineStr">
        <is>
          <t>52 Banques</t>
        </is>
      </c>
      <c r="D118" s="30" t="inlineStr">
        <is>
          <t>Trésorerie</t>
        </is>
      </c>
      <c r="E118" s="30" t="inlineStr">
        <is>
          <t>Trésorerie</t>
        </is>
      </c>
      <c r="F118" s="30" t="inlineStr">
        <is>
          <t>Trésorerie</t>
        </is>
      </c>
      <c r="G118" s="30" t="inlineStr">
        <is>
          <t>LIQ, RL1, RL2, RL3</t>
        </is>
      </c>
      <c r="H118" s="31" t="n">
        <v>633453</v>
      </c>
      <c r="I118" s="31" t="n">
        <v>0</v>
      </c>
      <c r="J118" s="31" t="n">
        <v>0</v>
      </c>
      <c r="K118" s="31" t="n">
        <v>0</v>
      </c>
      <c r="L118" s="31" t="n">
        <v>0</v>
      </c>
      <c r="M118" s="31" t="n">
        <v>0</v>
      </c>
      <c r="N118" s="31" t="n">
        <v>0</v>
      </c>
    </row>
    <row r="119">
      <c r="A119" s="27" t="inlineStr">
        <is>
          <t>52160000</t>
        </is>
      </c>
      <c r="B119" s="28" t="inlineStr">
        <is>
          <t>VERSUS BANK</t>
        </is>
      </c>
      <c r="C119" s="28" t="inlineStr">
        <is>
          <t>52 Banques</t>
        </is>
      </c>
      <c r="D119" s="28" t="inlineStr">
        <is>
          <t>Trésorerie</t>
        </is>
      </c>
      <c r="E119" s="28" t="inlineStr">
        <is>
          <t>Trésorerie</t>
        </is>
      </c>
      <c r="F119" s="28" t="inlineStr">
        <is>
          <t>Trésorerie</t>
        </is>
      </c>
      <c r="G119" s="28" t="inlineStr">
        <is>
          <t>LIQ, RL1, RL2, RL3</t>
        </is>
      </c>
      <c r="H119" s="29" t="n">
        <v>-515863</v>
      </c>
      <c r="I119" s="29" t="n">
        <v>-515863</v>
      </c>
      <c r="J119" s="29" t="n">
        <v>0</v>
      </c>
      <c r="K119" s="29" t="n">
        <v>0</v>
      </c>
      <c r="L119" s="29" t="n">
        <v>0</v>
      </c>
      <c r="M119" s="29" t="n">
        <v>0</v>
      </c>
      <c r="N119" s="29" t="n">
        <v>0</v>
      </c>
    </row>
    <row r="120">
      <c r="A120" s="27" t="inlineStr">
        <is>
          <t>52180000</t>
        </is>
      </c>
      <c r="B120" s="30" t="inlineStr">
        <is>
          <t>Compte à créer</t>
        </is>
      </c>
      <c r="C120" s="30" t="inlineStr">
        <is>
          <t>52 Banques</t>
        </is>
      </c>
      <c r="D120" s="30" t="inlineStr">
        <is>
          <t>Trésorerie</t>
        </is>
      </c>
      <c r="E120" s="30" t="inlineStr">
        <is>
          <t>Trésorerie</t>
        </is>
      </c>
      <c r="F120" s="30" t="inlineStr">
        <is>
          <t>Trésorerie</t>
        </is>
      </c>
      <c r="G120" s="30" t="inlineStr">
        <is>
          <t>LIQ, RL1, RL2, RL3</t>
        </is>
      </c>
      <c r="H120" s="31" t="n">
        <v>100000</v>
      </c>
      <c r="I120" s="31" t="n">
        <v>100000</v>
      </c>
      <c r="J120" s="31" t="n">
        <v>0</v>
      </c>
      <c r="K120" s="31" t="n">
        <v>0</v>
      </c>
      <c r="L120" s="31" t="n">
        <v>0</v>
      </c>
      <c r="M120" s="31" t="n">
        <v>0</v>
      </c>
      <c r="N120" s="31" t="n">
        <v>0</v>
      </c>
    </row>
    <row r="121">
      <c r="A121" s="27" t="inlineStr">
        <is>
          <t>52190000</t>
        </is>
      </c>
      <c r="B121" s="28" t="inlineStr">
        <is>
          <t>ORABANK</t>
        </is>
      </c>
      <c r="C121" s="28" t="inlineStr">
        <is>
          <t>52 Banques</t>
        </is>
      </c>
      <c r="D121" s="28" t="inlineStr">
        <is>
          <t>Trésorerie</t>
        </is>
      </c>
      <c r="E121" s="28" t="inlineStr">
        <is>
          <t>Trésorerie</t>
        </is>
      </c>
      <c r="F121" s="28" t="inlineStr">
        <is>
          <t>Trésorerie</t>
        </is>
      </c>
      <c r="G121" s="28" t="inlineStr">
        <is>
          <t>LIQ, RL1, RL2, RL3</t>
        </is>
      </c>
      <c r="H121" s="29" t="n">
        <v>-11004</v>
      </c>
      <c r="I121" s="29" t="n">
        <v>160425323</v>
      </c>
      <c r="J121" s="29" t="n">
        <v>69796963</v>
      </c>
      <c r="K121" s="29" t="n">
        <v>121160342</v>
      </c>
      <c r="L121" s="29" t="n">
        <v>36195016</v>
      </c>
      <c r="M121" s="29" t="n">
        <v>36062980</v>
      </c>
      <c r="N121" s="29" t="n">
        <v>34935612</v>
      </c>
    </row>
    <row r="122">
      <c r="A122" s="27" t="inlineStr">
        <is>
          <t>52190001</t>
        </is>
      </c>
      <c r="B122" s="30" t="inlineStr">
        <is>
          <t>BANQUE ATLANTIQUE</t>
        </is>
      </c>
      <c r="C122" s="30" t="inlineStr">
        <is>
          <t>52 Banques</t>
        </is>
      </c>
      <c r="D122" s="30" t="inlineStr">
        <is>
          <t>Trésorerie</t>
        </is>
      </c>
      <c r="E122" s="30" t="inlineStr">
        <is>
          <t>Trésorerie</t>
        </is>
      </c>
      <c r="F122" s="30" t="inlineStr">
        <is>
          <t>Trésorerie</t>
        </is>
      </c>
      <c r="G122" s="30" t="inlineStr">
        <is>
          <t>LIQ, RL1, RL2, RL3</t>
        </is>
      </c>
      <c r="H122" s="31" t="n">
        <v>0</v>
      </c>
      <c r="I122" s="31" t="n">
        <v>0</v>
      </c>
      <c r="J122" s="31" t="n">
        <v>0</v>
      </c>
      <c r="K122" s="31" t="n">
        <v>0</v>
      </c>
      <c r="L122" s="31" t="n">
        <v>190410504</v>
      </c>
      <c r="M122" s="31" t="n">
        <v>208310414</v>
      </c>
      <c r="N122" s="31" t="n">
        <v>431233182</v>
      </c>
    </row>
    <row r="123">
      <c r="A123" s="27" t="inlineStr">
        <is>
          <t>52210200</t>
        </is>
      </c>
      <c r="B123" s="28" t="inlineStr">
        <is>
          <t>DAT BOA ENTRAIDE  FIN DE CARRIERE</t>
        </is>
      </c>
      <c r="C123" s="28" t="inlineStr">
        <is>
          <t>52 Banques</t>
        </is>
      </c>
      <c r="D123" s="28" t="inlineStr">
        <is>
          <t>Trésorerie</t>
        </is>
      </c>
      <c r="E123" s="28" t="inlineStr">
        <is>
          <t>Trésorerie</t>
        </is>
      </c>
      <c r="F123" s="28" t="inlineStr">
        <is>
          <t>Trésorerie</t>
        </is>
      </c>
      <c r="G123" s="28" t="inlineStr">
        <is>
          <t>LIQ, RL1, RL2, RL3</t>
        </is>
      </c>
      <c r="H123" s="29" t="n">
        <v>0</v>
      </c>
      <c r="I123" s="29" t="n">
        <v>0</v>
      </c>
      <c r="J123" s="29" t="n">
        <v>140527</v>
      </c>
      <c r="K123" s="29" t="n">
        <v>0</v>
      </c>
      <c r="L123" s="29" t="n">
        <v>0</v>
      </c>
      <c r="M123" s="29" t="n">
        <v>0</v>
      </c>
      <c r="N123" s="29" t="n">
        <v>485541804</v>
      </c>
    </row>
    <row r="124">
      <c r="A124" s="27" t="inlineStr">
        <is>
          <t>52210300</t>
        </is>
      </c>
      <c r="B124" s="30" t="inlineStr">
        <is>
          <t>DAT BOA PEP</t>
        </is>
      </c>
      <c r="C124" s="30" t="inlineStr">
        <is>
          <t>52 Banques</t>
        </is>
      </c>
      <c r="D124" s="30" t="inlineStr">
        <is>
          <t>Trésorerie</t>
        </is>
      </c>
      <c r="E124" s="30" t="inlineStr">
        <is>
          <t>Trésorerie</t>
        </is>
      </c>
      <c r="F124" s="30" t="inlineStr">
        <is>
          <t>Trésorerie</t>
        </is>
      </c>
      <c r="G124" s="30" t="inlineStr">
        <is>
          <t>LIQ, RL1, RL2, RL3</t>
        </is>
      </c>
      <c r="H124" s="31" t="n">
        <v>505383858</v>
      </c>
      <c r="I124" s="31" t="n">
        <v>505383858</v>
      </c>
      <c r="J124" s="31" t="n">
        <v>505383858</v>
      </c>
      <c r="K124" s="31" t="n">
        <v>505383858</v>
      </c>
      <c r="L124" s="31" t="n">
        <v>505383858</v>
      </c>
      <c r="M124" s="31" t="n">
        <v>0</v>
      </c>
      <c r="N124" s="31" t="n">
        <v>0</v>
      </c>
    </row>
    <row r="125">
      <c r="A125" s="27" t="inlineStr">
        <is>
          <t>52210400</t>
        </is>
      </c>
      <c r="B125" s="28" t="inlineStr">
        <is>
          <t>DAT ORABANK</t>
        </is>
      </c>
      <c r="C125" s="28" t="inlineStr">
        <is>
          <t>52 Banques</t>
        </is>
      </c>
      <c r="D125" s="28" t="inlineStr">
        <is>
          <t>Trésorerie</t>
        </is>
      </c>
      <c r="E125" s="28" t="inlineStr">
        <is>
          <t>Trésorerie</t>
        </is>
      </c>
      <c r="F125" s="28" t="inlineStr">
        <is>
          <t>Trésorerie</t>
        </is>
      </c>
      <c r="G125" s="28" t="inlineStr">
        <is>
          <t>LIQ, RL1, RL2, RL3</t>
        </is>
      </c>
      <c r="H125" s="29" t="n">
        <v>0</v>
      </c>
      <c r="I125" s="29" t="n">
        <v>0</v>
      </c>
      <c r="J125" s="29" t="n">
        <v>58400000</v>
      </c>
      <c r="K125" s="29" t="n">
        <v>0</v>
      </c>
      <c r="L125" s="29" t="n">
        <v>0</v>
      </c>
      <c r="M125" s="29" t="n">
        <v>0</v>
      </c>
      <c r="N125" s="29" t="n">
        <v>0</v>
      </c>
    </row>
    <row r="126">
      <c r="A126" s="27" t="inlineStr">
        <is>
          <t>52612000</t>
        </is>
      </c>
      <c r="B126" s="30" t="inlineStr">
        <is>
          <t>Intérêts courus sur DAT PEP</t>
        </is>
      </c>
      <c r="C126" s="30" t="inlineStr">
        <is>
          <t>52 Banques</t>
        </is>
      </c>
      <c r="D126" s="30" t="inlineStr">
        <is>
          <t>Trésorerie</t>
        </is>
      </c>
      <c r="E126" s="30" t="inlineStr">
        <is>
          <t>Trésorerie</t>
        </is>
      </c>
      <c r="F126" s="30" t="inlineStr">
        <is>
          <t>Trésorerie</t>
        </is>
      </c>
      <c r="G126" s="30" t="inlineStr">
        <is>
          <t>LIQ, RL1, RL2, RL3</t>
        </is>
      </c>
      <c r="H126" s="31" t="n">
        <v>12857973</v>
      </c>
      <c r="I126" s="31" t="n">
        <v>22154765</v>
      </c>
      <c r="J126" s="31" t="n">
        <v>23125974</v>
      </c>
      <c r="K126" s="31" t="n">
        <v>24139759</v>
      </c>
      <c r="L126" s="31" t="n">
        <v>25197986</v>
      </c>
      <c r="M126" s="31" t="n">
        <v>0</v>
      </c>
      <c r="N126" s="31" t="n">
        <v>0</v>
      </c>
    </row>
    <row r="127">
      <c r="A127" s="27" t="inlineStr">
        <is>
          <t>53210000</t>
        </is>
      </c>
      <c r="B127" s="28" t="inlineStr">
        <is>
          <t>Trésor Public</t>
        </is>
      </c>
      <c r="C127" s="28" t="inlineStr">
        <is>
          <t>53 Établissements financiers</t>
        </is>
      </c>
      <c r="D127" s="28" t="inlineStr">
        <is>
          <t>Trésorerie</t>
        </is>
      </c>
      <c r="E127" s="28" t="inlineStr">
        <is>
          <t>Trésorerie</t>
        </is>
      </c>
      <c r="F127" s="28" t="inlineStr">
        <is>
          <t>Trésorerie</t>
        </is>
      </c>
      <c r="G127" s="28" t="inlineStr">
        <is>
          <t>LIQ, RL1, RL2, RL3</t>
        </is>
      </c>
      <c r="H127" s="29" t="n">
        <v>5895481</v>
      </c>
      <c r="I127" s="29" t="n">
        <v>5895481</v>
      </c>
      <c r="J127" s="29" t="n">
        <v>5895481</v>
      </c>
      <c r="K127" s="29" t="n">
        <v>5895481</v>
      </c>
      <c r="L127" s="29" t="n">
        <v>5895481</v>
      </c>
      <c r="M127" s="29" t="n">
        <v>5895481</v>
      </c>
      <c r="N127" s="29" t="n">
        <v>5895481</v>
      </c>
    </row>
    <row r="128">
      <c r="A128" s="27" t="inlineStr">
        <is>
          <t>53300001</t>
        </is>
      </c>
      <c r="B128" s="30" t="inlineStr">
        <is>
          <t>FONDS COMMUN DE PLACEMENT</t>
        </is>
      </c>
      <c r="C128" s="30" t="inlineStr">
        <is>
          <t>53 Établissements financiers</t>
        </is>
      </c>
      <c r="D128" s="30" t="inlineStr">
        <is>
          <t>Trésorerie</t>
        </is>
      </c>
      <c r="E128" s="30" t="inlineStr">
        <is>
          <t>Trésorerie</t>
        </is>
      </c>
      <c r="F128" s="30" t="inlineStr">
        <is>
          <t>Trésorerie</t>
        </is>
      </c>
      <c r="G128" s="30" t="inlineStr">
        <is>
          <t>LIQ, RL1, RL2, RL3</t>
        </is>
      </c>
      <c r="H128" s="31" t="n">
        <v>0</v>
      </c>
      <c r="I128" s="31" t="n">
        <v>0</v>
      </c>
      <c r="J128" s="31" t="n">
        <v>0</v>
      </c>
      <c r="K128" s="31" t="n">
        <v>0</v>
      </c>
      <c r="L128" s="31" t="n">
        <v>0</v>
      </c>
      <c r="M128" s="31" t="n">
        <v>500000000</v>
      </c>
      <c r="N128" s="31" t="n">
        <v>500000000</v>
      </c>
    </row>
    <row r="129">
      <c r="A129" s="27" t="inlineStr">
        <is>
          <t>56100000</t>
        </is>
      </c>
      <c r="B129" s="28" t="inlineStr">
        <is>
          <t>Crédits de trésorerie</t>
        </is>
      </c>
      <c r="C129" s="28" t="inlineStr">
        <is>
          <t>56</t>
        </is>
      </c>
      <c r="D129" s="28" t="inlineStr">
        <is>
          <t>Trésorerie</t>
        </is>
      </c>
      <c r="E129" s="28" t="inlineStr">
        <is>
          <t>Trésorerie</t>
        </is>
      </c>
      <c r="F129" s="28" t="inlineStr">
        <is>
          <t>Trésorerie</t>
        </is>
      </c>
      <c r="G129" s="28" t="inlineStr">
        <is>
          <t>LIQ, RL1, RL2, RL3</t>
        </is>
      </c>
      <c r="H129" s="29" t="n">
        <v>-250000000</v>
      </c>
      <c r="I129" s="29" t="n">
        <v>-500000000</v>
      </c>
      <c r="J129" s="29" t="n">
        <v>0</v>
      </c>
      <c r="K129" s="29" t="n">
        <v>-120475109</v>
      </c>
      <c r="L129" s="29" t="n">
        <v>0</v>
      </c>
      <c r="M129" s="29" t="n">
        <v>0</v>
      </c>
      <c r="N129" s="29" t="n">
        <v>0</v>
      </c>
    </row>
    <row r="130">
      <c r="A130" s="27" t="inlineStr">
        <is>
          <t>56600000</t>
        </is>
      </c>
      <c r="B130" s="30" t="inlineStr">
        <is>
          <t>INTERET COURUS SUR CONCOURS BANCAIR</t>
        </is>
      </c>
      <c r="C130" s="30" t="inlineStr">
        <is>
          <t>56</t>
        </is>
      </c>
      <c r="D130" s="30" t="inlineStr">
        <is>
          <t>Trésorerie</t>
        </is>
      </c>
      <c r="E130" s="30" t="inlineStr">
        <is>
          <t>Trésorerie</t>
        </is>
      </c>
      <c r="F130" s="30" t="inlineStr">
        <is>
          <t>Trésorerie</t>
        </is>
      </c>
      <c r="G130" s="30" t="inlineStr">
        <is>
          <t>LIQ, RL1, RL2, RL3</t>
        </is>
      </c>
      <c r="H130" s="31" t="n">
        <v>0</v>
      </c>
      <c r="I130" s="31" t="n">
        <v>-8726667</v>
      </c>
      <c r="J130" s="31" t="n">
        <v>0</v>
      </c>
      <c r="K130" s="31" t="n">
        <v>0</v>
      </c>
      <c r="L130" s="31" t="n">
        <v>0</v>
      </c>
      <c r="M130" s="31" t="n">
        <v>0</v>
      </c>
      <c r="N130" s="31" t="n">
        <v>0</v>
      </c>
    </row>
    <row r="131">
      <c r="A131" s="27" t="inlineStr">
        <is>
          <t>57110000</t>
        </is>
      </c>
      <c r="B131" s="28" t="inlineStr">
        <is>
          <t>Caisse</t>
        </is>
      </c>
      <c r="C131" s="28" t="inlineStr">
        <is>
          <t>57 Caisse</t>
        </is>
      </c>
      <c r="D131" s="28" t="inlineStr">
        <is>
          <t>Trésorerie</t>
        </is>
      </c>
      <c r="E131" s="28" t="inlineStr">
        <is>
          <t>Trésorerie</t>
        </is>
      </c>
      <c r="F131" s="28" t="inlineStr">
        <is>
          <t>Trésorerie</t>
        </is>
      </c>
      <c r="G131" s="28" t="inlineStr">
        <is>
          <t>LIQ, RL1, RL2, RL3</t>
        </is>
      </c>
      <c r="H131" s="29" t="n">
        <v>7685540</v>
      </c>
      <c r="I131" s="29" t="n">
        <v>1008970</v>
      </c>
      <c r="J131" s="29" t="n">
        <v>1950295</v>
      </c>
      <c r="K131" s="29" t="n">
        <v>5934975</v>
      </c>
      <c r="L131" s="29" t="n">
        <v>5000845</v>
      </c>
      <c r="M131" s="29" t="n">
        <v>8689250</v>
      </c>
      <c r="N131" s="29" t="n">
        <v>11264210</v>
      </c>
    </row>
    <row r="132">
      <c r="A132" s="27" t="inlineStr">
        <is>
          <t>60111000</t>
        </is>
      </c>
      <c r="B132" s="30" t="inlineStr">
        <is>
          <t>Pharmacie</t>
        </is>
      </c>
      <c r="C132" s="30" t="inlineStr">
        <is>
          <t>601 Prestations maladie</t>
        </is>
      </c>
      <c r="D132" s="30" t="inlineStr">
        <is>
          <t>Charges</t>
        </is>
      </c>
      <c r="E132" s="30" t="inlineStr">
        <is>
          <t>Charges</t>
        </is>
      </c>
      <c r="F132" s="30" t="inlineStr">
        <is>
          <t>Charges</t>
        </is>
      </c>
      <c r="G132" s="30" t="inlineStr">
        <is>
          <t>SIN, ROB, CUP, DPP</t>
        </is>
      </c>
      <c r="H132" s="31" t="n">
        <v>26107586</v>
      </c>
      <c r="I132" s="31" t="n">
        <v>25313112</v>
      </c>
      <c r="J132" s="31" t="n">
        <v>13055215</v>
      </c>
      <c r="K132" s="31" t="n">
        <v>22869440</v>
      </c>
      <c r="L132" s="31" t="n">
        <v>32549138</v>
      </c>
      <c r="M132" s="31" t="n">
        <v>38076031</v>
      </c>
      <c r="N132" s="31" t="n">
        <v>85750869</v>
      </c>
    </row>
    <row r="133">
      <c r="A133" s="27" t="inlineStr">
        <is>
          <t>60112000</t>
        </is>
      </c>
      <c r="B133" s="28" t="inlineStr">
        <is>
          <t>Consultations</t>
        </is>
      </c>
      <c r="C133" s="28" t="inlineStr">
        <is>
          <t>601 Prestations maladie</t>
        </is>
      </c>
      <c r="D133" s="28" t="inlineStr">
        <is>
          <t>Charges</t>
        </is>
      </c>
      <c r="E133" s="28" t="inlineStr">
        <is>
          <t>Charges</t>
        </is>
      </c>
      <c r="F133" s="28" t="inlineStr">
        <is>
          <t>Charges</t>
        </is>
      </c>
      <c r="G133" s="28" t="inlineStr">
        <is>
          <t>SIN, ROB, CUP, DPP</t>
        </is>
      </c>
      <c r="H133" s="29" t="n">
        <v>9838300</v>
      </c>
      <c r="I133" s="29" t="n">
        <v>9569200</v>
      </c>
      <c r="J133" s="29" t="n">
        <v>4288328</v>
      </c>
      <c r="K133" s="29" t="n">
        <v>53402204</v>
      </c>
      <c r="L133" s="29" t="n">
        <v>154053302</v>
      </c>
      <c r="M133" s="29" t="n">
        <v>173759919</v>
      </c>
      <c r="N133" s="29" t="n">
        <v>223956736</v>
      </c>
    </row>
    <row r="134">
      <c r="A134" s="27" t="inlineStr">
        <is>
          <t>60113000</t>
        </is>
      </c>
      <c r="B134" s="30" t="inlineStr">
        <is>
          <t>Hospitalisations</t>
        </is>
      </c>
      <c r="C134" s="30" t="inlineStr">
        <is>
          <t>601 Prestations maladie</t>
        </is>
      </c>
      <c r="D134" s="30" t="inlineStr">
        <is>
          <t>Charges</t>
        </is>
      </c>
      <c r="E134" s="30" t="inlineStr">
        <is>
          <t>Charges</t>
        </is>
      </c>
      <c r="F134" s="30" t="inlineStr">
        <is>
          <t>Charges</t>
        </is>
      </c>
      <c r="G134" s="30" t="inlineStr">
        <is>
          <t>SIN, ROB, CUP, DPP</t>
        </is>
      </c>
      <c r="H134" s="31" t="n">
        <v>11748500</v>
      </c>
      <c r="I134" s="31" t="n">
        <v>12702282</v>
      </c>
      <c r="J134" s="31" t="n">
        <v>6383100</v>
      </c>
      <c r="K134" s="31" t="n">
        <v>32598428</v>
      </c>
      <c r="L134" s="31" t="n">
        <v>10815234</v>
      </c>
      <c r="M134" s="31" t="n">
        <v>23247618</v>
      </c>
      <c r="N134" s="31" t="n">
        <v>36938840</v>
      </c>
    </row>
    <row r="135">
      <c r="A135" s="27" t="inlineStr">
        <is>
          <t>60114000</t>
        </is>
      </c>
      <c r="B135" s="28" t="inlineStr">
        <is>
          <t>Analyses Médicales</t>
        </is>
      </c>
      <c r="C135" s="28" t="inlineStr">
        <is>
          <t>601 Prestations maladie</t>
        </is>
      </c>
      <c r="D135" s="28" t="inlineStr">
        <is>
          <t>Charges</t>
        </is>
      </c>
      <c r="E135" s="28" t="inlineStr">
        <is>
          <t>Charges</t>
        </is>
      </c>
      <c r="F135" s="28" t="inlineStr">
        <is>
          <t>Charges</t>
        </is>
      </c>
      <c r="G135" s="28" t="inlineStr">
        <is>
          <t>SIN, ROB, CUP, DPP</t>
        </is>
      </c>
      <c r="H135" s="29" t="n">
        <v>23155760</v>
      </c>
      <c r="I135" s="29" t="n">
        <v>15394010</v>
      </c>
      <c r="J135" s="29" t="n">
        <v>10313251</v>
      </c>
      <c r="K135" s="29" t="n">
        <v>73194458</v>
      </c>
      <c r="L135" s="29" t="n">
        <v>142781059</v>
      </c>
      <c r="M135" s="29" t="n">
        <v>234266144</v>
      </c>
      <c r="N135" s="29" t="n">
        <v>214752158</v>
      </c>
    </row>
    <row r="136">
      <c r="A136" s="27" t="inlineStr">
        <is>
          <t>60115000</t>
        </is>
      </c>
      <c r="B136" s="30" t="inlineStr">
        <is>
          <t>Radio Imagérie &amp; Echographie</t>
        </is>
      </c>
      <c r="C136" s="30" t="inlineStr">
        <is>
          <t>601 Prestations maladie</t>
        </is>
      </c>
      <c r="D136" s="30" t="inlineStr">
        <is>
          <t>Charges</t>
        </is>
      </c>
      <c r="E136" s="30" t="inlineStr">
        <is>
          <t>Charges</t>
        </is>
      </c>
      <c r="F136" s="30" t="inlineStr">
        <is>
          <t>Charges</t>
        </is>
      </c>
      <c r="G136" s="30" t="inlineStr">
        <is>
          <t>SIN, ROB, CUP, DPP</t>
        </is>
      </c>
      <c r="H136" s="31" t="n">
        <v>11304893</v>
      </c>
      <c r="I136" s="31" t="n">
        <v>6463050</v>
      </c>
      <c r="J136" s="31" t="n">
        <v>15365475</v>
      </c>
      <c r="K136" s="31" t="n">
        <v>65166228</v>
      </c>
      <c r="L136" s="31" t="n">
        <v>147686479</v>
      </c>
      <c r="M136" s="31" t="n">
        <v>249812169</v>
      </c>
      <c r="N136" s="31" t="n">
        <v>391563218</v>
      </c>
    </row>
    <row r="137">
      <c r="A137" s="27" t="inlineStr">
        <is>
          <t>60116000</t>
        </is>
      </c>
      <c r="B137" s="28" t="inlineStr">
        <is>
          <t>Optique</t>
        </is>
      </c>
      <c r="C137" s="28" t="inlineStr">
        <is>
          <t>601 Prestations maladie</t>
        </is>
      </c>
      <c r="D137" s="28" t="inlineStr">
        <is>
          <t>Charges</t>
        </is>
      </c>
      <c r="E137" s="28" t="inlineStr">
        <is>
          <t>Charges</t>
        </is>
      </c>
      <c r="F137" s="28" t="inlineStr">
        <is>
          <t>Charges</t>
        </is>
      </c>
      <c r="G137" s="28" t="inlineStr">
        <is>
          <t>SIN, ROB, CUP, DPP</t>
        </is>
      </c>
      <c r="H137" s="29" t="n">
        <v>0</v>
      </c>
      <c r="I137" s="29" t="n">
        <v>0</v>
      </c>
      <c r="J137" s="29" t="n">
        <v>0</v>
      </c>
      <c r="K137" s="29" t="n">
        <v>2050640</v>
      </c>
      <c r="L137" s="29" t="n">
        <v>0</v>
      </c>
      <c r="M137" s="29" t="n">
        <v>0</v>
      </c>
      <c r="N137" s="29" t="n">
        <v>16000</v>
      </c>
    </row>
    <row r="138">
      <c r="A138" s="27" t="inlineStr">
        <is>
          <t>60118000</t>
        </is>
      </c>
      <c r="B138" s="30" t="inlineStr">
        <is>
          <t>Transport Médicalisé</t>
        </is>
      </c>
      <c r="C138" s="30" t="inlineStr">
        <is>
          <t>601 Prestations maladie</t>
        </is>
      </c>
      <c r="D138" s="30" t="inlineStr">
        <is>
          <t>Charges</t>
        </is>
      </c>
      <c r="E138" s="30" t="inlineStr">
        <is>
          <t>Charges</t>
        </is>
      </c>
      <c r="F138" s="30" t="inlineStr">
        <is>
          <t>Charges</t>
        </is>
      </c>
      <c r="G138" s="30" t="inlineStr">
        <is>
          <t>SIN, ROB, CUP, DPP</t>
        </is>
      </c>
      <c r="H138" s="31" t="n">
        <v>3255000</v>
      </c>
      <c r="I138" s="31" t="n">
        <v>998500</v>
      </c>
      <c r="J138" s="31" t="n">
        <v>859000</v>
      </c>
      <c r="K138" s="31" t="n">
        <v>1902365</v>
      </c>
      <c r="L138" s="31" t="n">
        <v>1294400</v>
      </c>
      <c r="M138" s="31" t="n">
        <v>1265340</v>
      </c>
      <c r="N138" s="31" t="n">
        <v>2626000</v>
      </c>
    </row>
    <row r="139">
      <c r="A139" s="27" t="inlineStr">
        <is>
          <t>60119000</t>
        </is>
      </c>
      <c r="B139" s="28" t="inlineStr">
        <is>
          <t>Traitements médicaux</t>
        </is>
      </c>
      <c r="C139" s="28" t="inlineStr">
        <is>
          <t>601 Prestations maladie</t>
        </is>
      </c>
      <c r="D139" s="28" t="inlineStr">
        <is>
          <t>Charges</t>
        </is>
      </c>
      <c r="E139" s="28" t="inlineStr">
        <is>
          <t>Charges</t>
        </is>
      </c>
      <c r="F139" s="28" t="inlineStr">
        <is>
          <t>Charges</t>
        </is>
      </c>
      <c r="G139" s="28" t="inlineStr">
        <is>
          <t>SIN, ROB, CUP, DPP</t>
        </is>
      </c>
      <c r="H139" s="29" t="n">
        <v>5416195</v>
      </c>
      <c r="I139" s="29" t="n">
        <v>1004550</v>
      </c>
      <c r="J139" s="29" t="n">
        <v>144632</v>
      </c>
      <c r="K139" s="29" t="n">
        <v>2927648</v>
      </c>
      <c r="L139" s="29" t="n">
        <v>12370380</v>
      </c>
      <c r="M139" s="29" t="n">
        <v>14461585</v>
      </c>
      <c r="N139" s="29" t="n">
        <v>49100374</v>
      </c>
    </row>
    <row r="140">
      <c r="A140" s="27" t="inlineStr">
        <is>
          <t>60120000</t>
        </is>
      </c>
      <c r="B140" s="30" t="inlineStr">
        <is>
          <t>Autres Charges de Prestations Mal</t>
        </is>
      </c>
      <c r="C140" s="30" t="inlineStr">
        <is>
          <t>601 Prestations maladie</t>
        </is>
      </c>
      <c r="D140" s="30" t="inlineStr">
        <is>
          <t>Charges</t>
        </is>
      </c>
      <c r="E140" s="30" t="inlineStr">
        <is>
          <t>Charges</t>
        </is>
      </c>
      <c r="F140" s="30" t="inlineStr">
        <is>
          <t>Charges</t>
        </is>
      </c>
      <c r="G140" s="30" t="inlineStr">
        <is>
          <t>SIN, ROB, CUP, DPP</t>
        </is>
      </c>
      <c r="H140" s="31" t="n">
        <v>93647932</v>
      </c>
      <c r="I140" s="31" t="n">
        <v>22427287</v>
      </c>
      <c r="J140" s="31" t="n">
        <v>49820727</v>
      </c>
      <c r="K140" s="31" t="n">
        <v>239331066</v>
      </c>
      <c r="L140" s="31" t="n">
        <v>489219234</v>
      </c>
      <c r="M140" s="31" t="n">
        <v>989729545</v>
      </c>
      <c r="N140" s="31" t="n">
        <v>576310454</v>
      </c>
    </row>
    <row r="141">
      <c r="A141" s="27" t="inlineStr">
        <is>
          <t>60121000</t>
        </is>
      </c>
      <c r="B141" s="28" t="inlineStr">
        <is>
          <t>Remboursement de soins</t>
        </is>
      </c>
      <c r="C141" s="28" t="inlineStr">
        <is>
          <t>601 Prestations maladie</t>
        </is>
      </c>
      <c r="D141" s="28" t="inlineStr">
        <is>
          <t>Charges</t>
        </is>
      </c>
      <c r="E141" s="28" t="inlineStr">
        <is>
          <t>Charges</t>
        </is>
      </c>
      <c r="F141" s="28" t="inlineStr">
        <is>
          <t>Charges</t>
        </is>
      </c>
      <c r="G141" s="28" t="inlineStr">
        <is>
          <t>SIN, ROB, CUP, DPP</t>
        </is>
      </c>
      <c r="H141" s="29" t="n">
        <v>16931890</v>
      </c>
      <c r="I141" s="29" t="n">
        <v>951930</v>
      </c>
      <c r="J141" s="29" t="n">
        <v>365245</v>
      </c>
      <c r="K141" s="29" t="n">
        <v>1794885</v>
      </c>
      <c r="L141" s="29" t="n">
        <v>8244601</v>
      </c>
      <c r="M141" s="29" t="n">
        <v>4881810</v>
      </c>
      <c r="N141" s="29" t="n">
        <v>8345768</v>
      </c>
    </row>
    <row r="142">
      <c r="A142" s="27" t="inlineStr">
        <is>
          <t>60122000</t>
        </is>
      </c>
      <c r="B142" s="30" t="inlineStr">
        <is>
          <t>Allocation naissance</t>
        </is>
      </c>
      <c r="C142" s="30" t="inlineStr">
        <is>
          <t>601 Prestations maladie</t>
        </is>
      </c>
      <c r="D142" s="30" t="inlineStr">
        <is>
          <t>Charges</t>
        </is>
      </c>
      <c r="E142" s="30" t="inlineStr">
        <is>
          <t>Charges</t>
        </is>
      </c>
      <c r="F142" s="30" t="inlineStr">
        <is>
          <t>Charges</t>
        </is>
      </c>
      <c r="G142" s="30" t="inlineStr">
        <is>
          <t>SIN, ROB, CUP, DPP</t>
        </is>
      </c>
      <c r="H142" s="31" t="n">
        <v>100000</v>
      </c>
      <c r="I142" s="31" t="n">
        <v>0</v>
      </c>
      <c r="J142" s="31" t="n">
        <v>0</v>
      </c>
      <c r="K142" s="31" t="n">
        <v>0</v>
      </c>
      <c r="L142" s="31" t="n">
        <v>11400000</v>
      </c>
      <c r="M142" s="31" t="n">
        <v>700000</v>
      </c>
      <c r="N142" s="31" t="n">
        <v>0</v>
      </c>
    </row>
    <row r="143">
      <c r="A143" s="27" t="inlineStr">
        <is>
          <t>60130000</t>
        </is>
      </c>
      <c r="B143" s="28" t="inlineStr">
        <is>
          <t>Charges de prestat°séance réducat°</t>
        </is>
      </c>
      <c r="C143" s="28" t="inlineStr">
        <is>
          <t>601 Prestations maladie</t>
        </is>
      </c>
      <c r="D143" s="28" t="inlineStr">
        <is>
          <t>Charges</t>
        </is>
      </c>
      <c r="E143" s="28" t="inlineStr">
        <is>
          <t>Charges</t>
        </is>
      </c>
      <c r="F143" s="28" t="inlineStr">
        <is>
          <t>Charges</t>
        </is>
      </c>
      <c r="G143" s="28" t="inlineStr">
        <is>
          <t>SIN, ROB, CUP, DPP</t>
        </is>
      </c>
      <c r="H143" s="29" t="n">
        <v>4306000</v>
      </c>
      <c r="I143" s="29" t="n">
        <v>6629250</v>
      </c>
      <c r="J143" s="29" t="n">
        <v>1812800</v>
      </c>
      <c r="K143" s="29" t="n">
        <v>7542000</v>
      </c>
      <c r="L143" s="29" t="n">
        <v>8605800</v>
      </c>
      <c r="M143" s="29" t="n">
        <v>9485200</v>
      </c>
      <c r="N143" s="29" t="n">
        <v>10928700</v>
      </c>
    </row>
    <row r="144">
      <c r="A144" s="27" t="inlineStr">
        <is>
          <t>60180000</t>
        </is>
      </c>
      <c r="B144" s="30" t="inlineStr">
        <is>
          <t>Bon de prise en charge médicale</t>
        </is>
      </c>
      <c r="C144" s="30" t="inlineStr">
        <is>
          <t>601 Prestations maladie</t>
        </is>
      </c>
      <c r="D144" s="30" t="inlineStr">
        <is>
          <t>Charges</t>
        </is>
      </c>
      <c r="E144" s="30" t="inlineStr">
        <is>
          <t>Charges</t>
        </is>
      </c>
      <c r="F144" s="30" t="inlineStr">
        <is>
          <t>Charges</t>
        </is>
      </c>
      <c r="G144" s="30" t="inlineStr">
        <is>
          <t>SIN, ROB, CUP, DPP</t>
        </is>
      </c>
      <c r="H144" s="31" t="n">
        <v>0</v>
      </c>
      <c r="I144" s="31" t="n">
        <v>0</v>
      </c>
      <c r="J144" s="31" t="n">
        <v>0</v>
      </c>
      <c r="K144" s="31" t="n">
        <v>0</v>
      </c>
      <c r="L144" s="31" t="n">
        <v>0</v>
      </c>
      <c r="M144" s="31" t="n">
        <v>0</v>
      </c>
      <c r="N144" s="31" t="n">
        <v>45750000</v>
      </c>
    </row>
    <row r="145">
      <c r="A145" s="27" t="inlineStr">
        <is>
          <t>60210000</t>
        </is>
      </c>
      <c r="B145" s="28" t="inlineStr">
        <is>
          <t>Charges de Prestations Obsèques</t>
        </is>
      </c>
      <c r="C145" s="28" t="inlineStr">
        <is>
          <t>602 Prestations obsèques</t>
        </is>
      </c>
      <c r="D145" s="28" t="inlineStr">
        <is>
          <t>Charges</t>
        </is>
      </c>
      <c r="E145" s="28" t="inlineStr">
        <is>
          <t>Charges</t>
        </is>
      </c>
      <c r="F145" s="28" t="inlineStr">
        <is>
          <t>Charges</t>
        </is>
      </c>
      <c r="G145" s="28" t="inlineStr">
        <is>
          <t>SIN, ROB, CUP, DPP</t>
        </is>
      </c>
      <c r="H145" s="29" t="n">
        <v>3933335</v>
      </c>
      <c r="I145" s="29" t="n">
        <v>401856666</v>
      </c>
      <c r="J145" s="29" t="n">
        <v>116090000</v>
      </c>
      <c r="K145" s="29" t="n">
        <v>141490000</v>
      </c>
      <c r="L145" s="29" t="n">
        <v>184301664</v>
      </c>
      <c r="M145" s="29" t="n">
        <v>149636666</v>
      </c>
      <c r="N145" s="29" t="n">
        <v>119516666</v>
      </c>
    </row>
    <row r="146">
      <c r="A146" s="27" t="inlineStr">
        <is>
          <t>60240000</t>
        </is>
      </c>
      <c r="B146" s="30" t="inlineStr">
        <is>
          <t>Frais funeraires</t>
        </is>
      </c>
      <c r="C146" s="30" t="inlineStr">
        <is>
          <t>602 Prestations obsèques</t>
        </is>
      </c>
      <c r="D146" s="30" t="inlineStr">
        <is>
          <t>Charges</t>
        </is>
      </c>
      <c r="E146" s="30" t="inlineStr">
        <is>
          <t>Charges</t>
        </is>
      </c>
      <c r="F146" s="30" t="inlineStr">
        <is>
          <t>Charges</t>
        </is>
      </c>
      <c r="G146" s="30" t="inlineStr">
        <is>
          <t>SIN, ROB, CUP, DPP</t>
        </is>
      </c>
      <c r="H146" s="31" t="n">
        <v>0</v>
      </c>
      <c r="I146" s="31" t="n">
        <v>0</v>
      </c>
      <c r="J146" s="31" t="n">
        <v>0</v>
      </c>
      <c r="K146" s="31" t="n">
        <v>0</v>
      </c>
      <c r="L146" s="31" t="n">
        <v>19500000</v>
      </c>
      <c r="M146" s="31" t="n">
        <v>43500000</v>
      </c>
      <c r="N146" s="31" t="n">
        <v>33300000</v>
      </c>
    </row>
    <row r="147">
      <c r="A147" s="27" t="inlineStr">
        <is>
          <t>60800007</t>
        </is>
      </c>
      <c r="B147" s="28" t="inlineStr">
        <is>
          <t>Bons de prise en charge médicale</t>
        </is>
      </c>
      <c r="C147" s="28" t="inlineStr">
        <is>
          <t>608 Autres prestations</t>
        </is>
      </c>
      <c r="D147" s="28" t="inlineStr">
        <is>
          <t>Charges</t>
        </is>
      </c>
      <c r="E147" s="28" t="inlineStr">
        <is>
          <t>Charges</t>
        </is>
      </c>
      <c r="F147" s="28" t="inlineStr">
        <is>
          <t>Charges</t>
        </is>
      </c>
      <c r="G147" s="28" t="inlineStr">
        <is>
          <t>SIN, ROB, CUP, DPP</t>
        </is>
      </c>
      <c r="H147" s="29" t="n">
        <v>0</v>
      </c>
      <c r="I147" s="29" t="n">
        <v>0</v>
      </c>
      <c r="J147" s="29" t="n">
        <v>12830000</v>
      </c>
      <c r="K147" s="29" t="n">
        <v>18225000</v>
      </c>
      <c r="L147" s="29" t="n">
        <v>41400000</v>
      </c>
      <c r="M147" s="29" t="n">
        <v>31950000</v>
      </c>
      <c r="N147" s="29" t="n">
        <v>0</v>
      </c>
    </row>
    <row r="148">
      <c r="A148" s="27" t="inlineStr">
        <is>
          <t>60800008</t>
        </is>
      </c>
      <c r="B148" s="30" t="inlineStr">
        <is>
          <t>BONS DE CAISSE &amp; AUTRES CMP</t>
        </is>
      </c>
      <c r="C148" s="30" t="inlineStr">
        <is>
          <t>608 Autres prestations</t>
        </is>
      </c>
      <c r="D148" s="30" t="inlineStr">
        <is>
          <t>Charges</t>
        </is>
      </c>
      <c r="E148" s="30" t="inlineStr">
        <is>
          <t>Charges</t>
        </is>
      </c>
      <c r="F148" s="30" t="inlineStr">
        <is>
          <t>Charges</t>
        </is>
      </c>
      <c r="G148" s="30" t="inlineStr">
        <is>
          <t>SIN, ROB, CUP, DPP</t>
        </is>
      </c>
      <c r="H148" s="31" t="n">
        <v>0</v>
      </c>
      <c r="I148" s="31" t="n">
        <v>0</v>
      </c>
      <c r="J148" s="31" t="n">
        <v>0</v>
      </c>
      <c r="K148" s="31" t="n">
        <v>18750000</v>
      </c>
      <c r="L148" s="31" t="n">
        <v>4800000</v>
      </c>
      <c r="M148" s="31" t="n">
        <v>0</v>
      </c>
      <c r="N148" s="31" t="n">
        <v>0</v>
      </c>
    </row>
    <row r="149">
      <c r="A149" s="27" t="inlineStr">
        <is>
          <t>60850000</t>
        </is>
      </c>
      <c r="B149" s="28" t="inlineStr">
        <is>
          <t>Port &amp; frais annexes</t>
        </is>
      </c>
      <c r="C149" s="28" t="inlineStr">
        <is>
          <t>608 Autres prestations</t>
        </is>
      </c>
      <c r="D149" s="28" t="inlineStr">
        <is>
          <t>Charges</t>
        </is>
      </c>
      <c r="E149" s="28" t="inlineStr">
        <is>
          <t>Charges</t>
        </is>
      </c>
      <c r="F149" s="28" t="inlineStr">
        <is>
          <t>Charges</t>
        </is>
      </c>
      <c r="G149" s="28" t="inlineStr">
        <is>
          <t>SIN, ROB, CUP, DPP</t>
        </is>
      </c>
      <c r="H149" s="29" t="n">
        <v>0</v>
      </c>
      <c r="I149" s="29" t="n">
        <v>0</v>
      </c>
      <c r="J149" s="29" t="n">
        <v>100000</v>
      </c>
      <c r="K149" s="29" t="n">
        <v>0</v>
      </c>
      <c r="L149" s="29" t="n">
        <v>0</v>
      </c>
      <c r="M149" s="29" t="n">
        <v>0</v>
      </c>
      <c r="N149" s="29" t="n">
        <v>0</v>
      </c>
    </row>
    <row r="150">
      <c r="A150" s="27" t="inlineStr">
        <is>
          <t>61111000</t>
        </is>
      </c>
      <c r="B150" s="30" t="n"/>
      <c r="C150" s="30" t="inlineStr">
        <is>
          <t>61 Achats</t>
        </is>
      </c>
      <c r="D150" s="30" t="inlineStr">
        <is>
          <t>Charges</t>
        </is>
      </c>
      <c r="E150" s="30" t="inlineStr">
        <is>
          <t>Charges</t>
        </is>
      </c>
      <c r="F150" s="30" t="inlineStr">
        <is>
          <t>Charges</t>
        </is>
      </c>
      <c r="G150" s="30" t="n"/>
      <c r="H150" s="31" t="n">
        <v>4571140</v>
      </c>
      <c r="I150" s="31" t="n">
        <v>1491315</v>
      </c>
      <c r="J150" s="31" t="n">
        <v>0</v>
      </c>
      <c r="K150" s="31" t="n">
        <v>0</v>
      </c>
      <c r="L150" s="31" t="n">
        <v>0</v>
      </c>
      <c r="M150" s="31" t="n">
        <v>0</v>
      </c>
      <c r="N150" s="31" t="n">
        <v>0</v>
      </c>
    </row>
    <row r="151">
      <c r="A151" s="27" t="inlineStr">
        <is>
          <t>61211000</t>
        </is>
      </c>
      <c r="B151" s="28" t="inlineStr">
        <is>
          <t>Fournitures de bureau</t>
        </is>
      </c>
      <c r="C151" s="28" t="inlineStr">
        <is>
          <t>61 Achats</t>
        </is>
      </c>
      <c r="D151" s="28" t="inlineStr">
        <is>
          <t>Charges</t>
        </is>
      </c>
      <c r="E151" s="28" t="inlineStr">
        <is>
          <t>Charges</t>
        </is>
      </c>
      <c r="F151" s="28" t="inlineStr">
        <is>
          <t>Charges</t>
        </is>
      </c>
      <c r="G151" s="28" t="inlineStr">
        <is>
          <t>CHF, CUP</t>
        </is>
      </c>
      <c r="H151" s="29" t="n">
        <v>5262250</v>
      </c>
      <c r="I151" s="29" t="n">
        <v>5560300</v>
      </c>
      <c r="J151" s="29" t="n">
        <v>12709625</v>
      </c>
      <c r="K151" s="29" t="n">
        <v>14526250</v>
      </c>
      <c r="L151" s="29" t="n">
        <v>9964400</v>
      </c>
      <c r="M151" s="29" t="n">
        <v>13134050</v>
      </c>
      <c r="N151" s="29" t="n">
        <v>11587375</v>
      </c>
    </row>
    <row r="152">
      <c r="A152" s="27" t="inlineStr">
        <is>
          <t>61212000</t>
        </is>
      </c>
      <c r="B152" s="30" t="inlineStr">
        <is>
          <t>Fournitures informatiques</t>
        </is>
      </c>
      <c r="C152" s="30" t="inlineStr">
        <is>
          <t>61 Achats</t>
        </is>
      </c>
      <c r="D152" s="30" t="inlineStr">
        <is>
          <t>Charges</t>
        </is>
      </c>
      <c r="E152" s="30" t="inlineStr">
        <is>
          <t>Charges</t>
        </is>
      </c>
      <c r="F152" s="30" t="inlineStr">
        <is>
          <t>Charges</t>
        </is>
      </c>
      <c r="G152" s="30" t="inlineStr">
        <is>
          <t>CHF, CUP</t>
        </is>
      </c>
      <c r="H152" s="31" t="n">
        <v>22997061</v>
      </c>
      <c r="I152" s="31" t="n">
        <v>10047000</v>
      </c>
      <c r="J152" s="31" t="n">
        <v>17425900</v>
      </c>
      <c r="K152" s="31" t="n">
        <v>23737550</v>
      </c>
      <c r="L152" s="31" t="n">
        <v>26547000</v>
      </c>
      <c r="M152" s="31" t="n">
        <v>18841900</v>
      </c>
      <c r="N152" s="31" t="n">
        <v>16844000</v>
      </c>
    </row>
    <row r="153">
      <c r="A153" s="27" t="inlineStr">
        <is>
          <t>61213000</t>
        </is>
      </c>
      <c r="B153" s="28" t="inlineStr">
        <is>
          <t>Produits d'entretie</t>
        </is>
      </c>
      <c r="C153" s="28" t="inlineStr">
        <is>
          <t>61 Achats</t>
        </is>
      </c>
      <c r="D153" s="28" t="inlineStr">
        <is>
          <t>Charges</t>
        </is>
      </c>
      <c r="E153" s="28" t="inlineStr">
        <is>
          <t>Charges</t>
        </is>
      </c>
      <c r="F153" s="28" t="inlineStr">
        <is>
          <t>Charges</t>
        </is>
      </c>
      <c r="G153" s="28" t="inlineStr">
        <is>
          <t>CHF, CUP</t>
        </is>
      </c>
      <c r="H153" s="29" t="n">
        <v>6382100</v>
      </c>
      <c r="I153" s="29" t="n">
        <v>4618435</v>
      </c>
      <c r="J153" s="29" t="n">
        <v>8630000</v>
      </c>
      <c r="K153" s="29" t="n">
        <v>6612500</v>
      </c>
      <c r="L153" s="29" t="n">
        <v>5516380</v>
      </c>
      <c r="M153" s="29" t="n">
        <v>4169300</v>
      </c>
      <c r="N153" s="29" t="n">
        <v>4084780</v>
      </c>
    </row>
    <row r="154">
      <c r="A154" s="27" t="inlineStr">
        <is>
          <t>61214000</t>
        </is>
      </c>
      <c r="B154" s="30" t="inlineStr">
        <is>
          <t>Bons de prise en charge</t>
        </is>
      </c>
      <c r="C154" s="30" t="inlineStr">
        <is>
          <t>61 Achats</t>
        </is>
      </c>
      <c r="D154" s="30" t="inlineStr">
        <is>
          <t>Charges</t>
        </is>
      </c>
      <c r="E154" s="30" t="inlineStr">
        <is>
          <t>Charges</t>
        </is>
      </c>
      <c r="F154" s="30" t="inlineStr">
        <is>
          <t>Charges</t>
        </is>
      </c>
      <c r="G154" s="30" t="inlineStr">
        <is>
          <t>CHF, CUP</t>
        </is>
      </c>
      <c r="H154" s="31" t="n">
        <v>3667000</v>
      </c>
      <c r="I154" s="31" t="n">
        <v>6180000</v>
      </c>
      <c r="J154" s="31" t="n">
        <v>0</v>
      </c>
      <c r="K154" s="31" t="n">
        <v>0</v>
      </c>
      <c r="L154" s="31" t="n">
        <v>0</v>
      </c>
      <c r="M154" s="31" t="n">
        <v>0</v>
      </c>
      <c r="N154" s="31" t="n">
        <v>0</v>
      </c>
    </row>
    <row r="155">
      <c r="A155" s="27" t="inlineStr">
        <is>
          <t>61215000</t>
        </is>
      </c>
      <c r="B155" s="28" t="inlineStr">
        <is>
          <t>Bons de caisse &amp; autres imprimés</t>
        </is>
      </c>
      <c r="C155" s="28" t="inlineStr">
        <is>
          <t>61 Achats</t>
        </is>
      </c>
      <c r="D155" s="28" t="inlineStr">
        <is>
          <t>Charges</t>
        </is>
      </c>
      <c r="E155" s="28" t="inlineStr">
        <is>
          <t>Charges</t>
        </is>
      </c>
      <c r="F155" s="28" t="inlineStr">
        <is>
          <t>Charges</t>
        </is>
      </c>
      <c r="G155" s="28" t="inlineStr">
        <is>
          <t>CHF, CUP</t>
        </is>
      </c>
      <c r="H155" s="29" t="n">
        <v>3222600</v>
      </c>
      <c r="I155" s="29" t="n">
        <v>15414000</v>
      </c>
      <c r="J155" s="29" t="n">
        <v>61603900</v>
      </c>
      <c r="K155" s="29" t="n">
        <v>38357500</v>
      </c>
      <c r="L155" s="29" t="n">
        <v>40800000</v>
      </c>
      <c r="M155" s="29" t="n">
        <v>72161000</v>
      </c>
      <c r="N155" s="29" t="n">
        <v>96750000</v>
      </c>
    </row>
    <row r="156">
      <c r="A156" s="27" t="inlineStr">
        <is>
          <t>61216000</t>
        </is>
      </c>
      <c r="B156" s="30" t="inlineStr">
        <is>
          <t>ACHAT DE PETITS MAT&amp;OUT</t>
        </is>
      </c>
      <c r="C156" s="30" t="inlineStr">
        <is>
          <t>61 Achats</t>
        </is>
      </c>
      <c r="D156" s="30" t="inlineStr">
        <is>
          <t>Charges</t>
        </is>
      </c>
      <c r="E156" s="30" t="inlineStr">
        <is>
          <t>Charges</t>
        </is>
      </c>
      <c r="F156" s="30" t="inlineStr">
        <is>
          <t>Charges</t>
        </is>
      </c>
      <c r="G156" s="30" t="inlineStr">
        <is>
          <t>CHF, CUP</t>
        </is>
      </c>
      <c r="H156" s="31" t="n">
        <v>7729155</v>
      </c>
      <c r="I156" s="31" t="n">
        <v>2640000</v>
      </c>
      <c r="J156" s="31" t="n">
        <v>5220310</v>
      </c>
      <c r="K156" s="31" t="n">
        <v>5498650</v>
      </c>
      <c r="L156" s="31" t="n">
        <v>6767850</v>
      </c>
      <c r="M156" s="31" t="n">
        <v>5091500</v>
      </c>
      <c r="N156" s="31" t="n">
        <v>4147000</v>
      </c>
    </row>
    <row r="157">
      <c r="A157" s="27" t="inlineStr">
        <is>
          <t>61300000</t>
        </is>
      </c>
      <c r="B157" s="28" t="inlineStr">
        <is>
          <t>Variat° de stocks de méd. et ftures</t>
        </is>
      </c>
      <c r="C157" s="28" t="inlineStr">
        <is>
          <t>61 Achats</t>
        </is>
      </c>
      <c r="D157" s="28" t="inlineStr">
        <is>
          <t>Charges</t>
        </is>
      </c>
      <c r="E157" s="28" t="inlineStr">
        <is>
          <t>Charges</t>
        </is>
      </c>
      <c r="F157" s="28" t="inlineStr">
        <is>
          <t>Charges</t>
        </is>
      </c>
      <c r="G157" s="28" t="inlineStr">
        <is>
          <t>CHF, CUP</t>
        </is>
      </c>
      <c r="H157" s="29" t="n">
        <v>8418256</v>
      </c>
      <c r="I157" s="29" t="n">
        <v>6193321</v>
      </c>
      <c r="J157" s="29" t="n">
        <v>4444973</v>
      </c>
      <c r="K157" s="29" t="n">
        <v>-6618759</v>
      </c>
      <c r="L157" s="29" t="n">
        <v>3400349</v>
      </c>
      <c r="M157" s="29" t="n">
        <v>-36985</v>
      </c>
      <c r="N157" s="29" t="n">
        <v>0</v>
      </c>
    </row>
    <row r="158">
      <c r="A158" s="27" t="inlineStr">
        <is>
          <t>61810000</t>
        </is>
      </c>
      <c r="B158" s="30" t="inlineStr">
        <is>
          <t>Eau</t>
        </is>
      </c>
      <c r="C158" s="30" t="inlineStr">
        <is>
          <t>61 Achats</t>
        </is>
      </c>
      <c r="D158" s="30" t="inlineStr">
        <is>
          <t>Charges</t>
        </is>
      </c>
      <c r="E158" s="30" t="inlineStr">
        <is>
          <t>Charges</t>
        </is>
      </c>
      <c r="F158" s="30" t="inlineStr">
        <is>
          <t>Charges</t>
        </is>
      </c>
      <c r="G158" s="30" t="inlineStr">
        <is>
          <t>CHF, CUP</t>
        </is>
      </c>
      <c r="H158" s="31" t="n">
        <v>0</v>
      </c>
      <c r="I158" s="31" t="n">
        <v>0</v>
      </c>
      <c r="J158" s="31" t="n">
        <v>82500</v>
      </c>
      <c r="K158" s="31" t="n">
        <v>0</v>
      </c>
      <c r="L158" s="31" t="n">
        <v>0</v>
      </c>
      <c r="M158" s="31" t="n">
        <v>0</v>
      </c>
      <c r="N158" s="31" t="n">
        <v>0</v>
      </c>
    </row>
    <row r="159">
      <c r="A159" s="27" t="inlineStr">
        <is>
          <t>61820000</t>
        </is>
      </c>
      <c r="B159" s="28" t="inlineStr">
        <is>
          <t>Electricité</t>
        </is>
      </c>
      <c r="C159" s="28" t="inlineStr">
        <is>
          <t>61 Achats</t>
        </is>
      </c>
      <c r="D159" s="28" t="inlineStr">
        <is>
          <t>Charges</t>
        </is>
      </c>
      <c r="E159" s="28" t="inlineStr">
        <is>
          <t>Charges</t>
        </is>
      </c>
      <c r="F159" s="28" t="inlineStr">
        <is>
          <t>Charges</t>
        </is>
      </c>
      <c r="G159" s="28" t="inlineStr">
        <is>
          <t>CHF, CUP</t>
        </is>
      </c>
      <c r="H159" s="29" t="n">
        <v>18302280</v>
      </c>
      <c r="I159" s="29" t="n">
        <v>11456370</v>
      </c>
      <c r="J159" s="29" t="n">
        <v>0</v>
      </c>
      <c r="K159" s="29" t="n">
        <v>512605</v>
      </c>
      <c r="L159" s="29" t="n">
        <v>0</v>
      </c>
      <c r="M159" s="29" t="n">
        <v>0</v>
      </c>
      <c r="N159" s="29" t="n">
        <v>0</v>
      </c>
    </row>
    <row r="160">
      <c r="A160" s="27" t="inlineStr">
        <is>
          <t>61840000</t>
        </is>
      </c>
      <c r="B160" s="30" t="inlineStr">
        <is>
          <t>Achat de travaux et équipements</t>
        </is>
      </c>
      <c r="C160" s="30" t="inlineStr">
        <is>
          <t>61 Achats</t>
        </is>
      </c>
      <c r="D160" s="30" t="inlineStr">
        <is>
          <t>Charges</t>
        </is>
      </c>
      <c r="E160" s="30" t="inlineStr">
        <is>
          <t>Charges</t>
        </is>
      </c>
      <c r="F160" s="30" t="inlineStr">
        <is>
          <t>Charges</t>
        </is>
      </c>
      <c r="G160" s="30" t="inlineStr">
        <is>
          <t>CHF, CUP</t>
        </is>
      </c>
      <c r="H160" s="31" t="n">
        <v>150000</v>
      </c>
      <c r="I160" s="31" t="n">
        <v>4749000</v>
      </c>
      <c r="J160" s="31" t="n">
        <v>2238497</v>
      </c>
      <c r="K160" s="31" t="n">
        <v>0</v>
      </c>
      <c r="L160" s="31" t="n">
        <v>0</v>
      </c>
      <c r="M160" s="31" t="n">
        <v>0</v>
      </c>
      <c r="N160" s="31" t="n">
        <v>0</v>
      </c>
    </row>
    <row r="161">
      <c r="A161" s="27" t="inlineStr">
        <is>
          <t>61850000</t>
        </is>
      </c>
      <c r="B161" s="28" t="inlineStr">
        <is>
          <t>FOURNITURES D'AUTRES ENERGIES</t>
        </is>
      </c>
      <c r="C161" s="28" t="inlineStr">
        <is>
          <t>61 Achats</t>
        </is>
      </c>
      <c r="D161" s="28" t="inlineStr">
        <is>
          <t>Charges</t>
        </is>
      </c>
      <c r="E161" s="28" t="inlineStr">
        <is>
          <t>Charges</t>
        </is>
      </c>
      <c r="F161" s="28" t="inlineStr">
        <is>
          <t>Charges</t>
        </is>
      </c>
      <c r="G161" s="28" t="inlineStr">
        <is>
          <t>CHF, CUP</t>
        </is>
      </c>
      <c r="H161" s="29" t="n">
        <v>44679820</v>
      </c>
      <c r="I161" s="29" t="n">
        <v>30762500</v>
      </c>
      <c r="J161" s="29" t="n">
        <v>38821750</v>
      </c>
      <c r="K161" s="29" t="n">
        <v>41289850</v>
      </c>
      <c r="L161" s="29" t="n">
        <v>41222600</v>
      </c>
      <c r="M161" s="29" t="n">
        <v>53749225</v>
      </c>
      <c r="N161" s="29" t="n">
        <v>39363910</v>
      </c>
    </row>
    <row r="162">
      <c r="A162" s="27" t="inlineStr">
        <is>
          <t>61870000</t>
        </is>
      </c>
      <c r="B162" s="30" t="inlineStr">
        <is>
          <t>ACHAT D'ETUDE ET PRESTATION</t>
        </is>
      </c>
      <c r="C162" s="30" t="inlineStr">
        <is>
          <t>61 Achats</t>
        </is>
      </c>
      <c r="D162" s="30" t="inlineStr">
        <is>
          <t>Charges</t>
        </is>
      </c>
      <c r="E162" s="30" t="inlineStr">
        <is>
          <t>Charges</t>
        </is>
      </c>
      <c r="F162" s="30" t="inlineStr">
        <is>
          <t>Charges</t>
        </is>
      </c>
      <c r="G162" s="30" t="inlineStr">
        <is>
          <t>CHF, CUP</t>
        </is>
      </c>
      <c r="H162" s="31" t="n">
        <v>13771080</v>
      </c>
      <c r="I162" s="31" t="n">
        <v>17056100</v>
      </c>
      <c r="J162" s="31" t="n">
        <v>16043100</v>
      </c>
      <c r="K162" s="31" t="n">
        <v>23997500</v>
      </c>
      <c r="L162" s="31" t="n">
        <v>34500822</v>
      </c>
      <c r="M162" s="31" t="n">
        <v>30692600</v>
      </c>
      <c r="N162" s="31" t="n">
        <v>40914250</v>
      </c>
    </row>
    <row r="163">
      <c r="A163" s="27" t="inlineStr">
        <is>
          <t>62110000</t>
        </is>
      </c>
      <c r="B163" s="28" t="inlineStr">
        <is>
          <t>Voyages et déplacements</t>
        </is>
      </c>
      <c r="C163" s="28" t="inlineStr">
        <is>
          <t>62</t>
        </is>
      </c>
      <c r="D163" s="28" t="inlineStr">
        <is>
          <t>Charges</t>
        </is>
      </c>
      <c r="E163" s="28" t="inlineStr">
        <is>
          <t>Charges</t>
        </is>
      </c>
      <c r="F163" s="28" t="inlineStr">
        <is>
          <t>Charges</t>
        </is>
      </c>
      <c r="G163" s="28" t="inlineStr">
        <is>
          <t>CHF, CUP</t>
        </is>
      </c>
      <c r="H163" s="29" t="n">
        <v>7090000</v>
      </c>
      <c r="I163" s="29" t="n">
        <v>4462300</v>
      </c>
      <c r="J163" s="29" t="n">
        <v>5891300</v>
      </c>
      <c r="K163" s="29" t="n">
        <v>2287500</v>
      </c>
      <c r="L163" s="29" t="n">
        <v>8479300</v>
      </c>
      <c r="M163" s="29" t="n">
        <v>6661000</v>
      </c>
      <c r="N163" s="29" t="n">
        <v>18983500</v>
      </c>
    </row>
    <row r="164">
      <c r="A164" s="27" t="inlineStr">
        <is>
          <t>62510000</t>
        </is>
      </c>
      <c r="B164" s="30" t="inlineStr">
        <is>
          <t>Transport de plis</t>
        </is>
      </c>
      <c r="C164" s="30" t="inlineStr">
        <is>
          <t>62</t>
        </is>
      </c>
      <c r="D164" s="30" t="inlineStr">
        <is>
          <t>Charges</t>
        </is>
      </c>
      <c r="E164" s="30" t="inlineStr">
        <is>
          <t>Charges</t>
        </is>
      </c>
      <c r="F164" s="30" t="inlineStr">
        <is>
          <t>Charges</t>
        </is>
      </c>
      <c r="G164" s="30" t="inlineStr">
        <is>
          <t>CHF, CUP</t>
        </is>
      </c>
      <c r="H164" s="31" t="n">
        <v>305000</v>
      </c>
      <c r="I164" s="31" t="n">
        <v>114500</v>
      </c>
      <c r="J164" s="31" t="n">
        <v>415000</v>
      </c>
      <c r="K164" s="31" t="n">
        <v>782000</v>
      </c>
      <c r="L164" s="31" t="n">
        <v>698000</v>
      </c>
      <c r="M164" s="31" t="n">
        <v>610000</v>
      </c>
      <c r="N164" s="31" t="n">
        <v>425000</v>
      </c>
    </row>
    <row r="165">
      <c r="A165" s="27" t="inlineStr">
        <is>
          <t>62810000</t>
        </is>
      </c>
      <c r="B165" s="28" t="inlineStr">
        <is>
          <t>Autres transports</t>
        </is>
      </c>
      <c r="C165" s="28" t="inlineStr">
        <is>
          <t>62</t>
        </is>
      </c>
      <c r="D165" s="28" t="inlineStr">
        <is>
          <t>Charges</t>
        </is>
      </c>
      <c r="E165" s="28" t="inlineStr">
        <is>
          <t>Charges</t>
        </is>
      </c>
      <c r="F165" s="28" t="inlineStr">
        <is>
          <t>Charges</t>
        </is>
      </c>
      <c r="G165" s="28" t="inlineStr">
        <is>
          <t>CHF, CUP</t>
        </is>
      </c>
      <c r="H165" s="29" t="n">
        <v>0</v>
      </c>
      <c r="I165" s="29" t="n">
        <v>0</v>
      </c>
      <c r="J165" s="29" t="n">
        <v>282080</v>
      </c>
      <c r="K165" s="29" t="n">
        <v>0</v>
      </c>
      <c r="L165" s="29" t="n">
        <v>0</v>
      </c>
      <c r="M165" s="29" t="n">
        <v>1025000</v>
      </c>
      <c r="N165" s="29" t="n">
        <v>500000</v>
      </c>
    </row>
    <row r="166">
      <c r="A166" s="27" t="inlineStr">
        <is>
          <t>63110000</t>
        </is>
      </c>
      <c r="B166" s="30" t="inlineStr">
        <is>
          <t>Frais de missions</t>
        </is>
      </c>
      <c r="C166" s="30" t="inlineStr">
        <is>
          <t>63</t>
        </is>
      </c>
      <c r="D166" s="30" t="inlineStr">
        <is>
          <t>Charges</t>
        </is>
      </c>
      <c r="E166" s="30" t="inlineStr">
        <is>
          <t>Charges</t>
        </is>
      </c>
      <c r="F166" s="30" t="inlineStr">
        <is>
          <t>Charges</t>
        </is>
      </c>
      <c r="G166" s="30" t="inlineStr">
        <is>
          <t>CHF, CUP</t>
        </is>
      </c>
      <c r="H166" s="31" t="n">
        <v>2060000</v>
      </c>
      <c r="I166" s="31" t="n">
        <v>8777500</v>
      </c>
      <c r="J166" s="31" t="n">
        <v>6647500</v>
      </c>
      <c r="K166" s="31" t="n">
        <v>930000</v>
      </c>
      <c r="L166" s="31" t="n">
        <v>515000</v>
      </c>
      <c r="M166" s="31" t="n">
        <v>1270000</v>
      </c>
      <c r="N166" s="31" t="n">
        <v>3990000</v>
      </c>
    </row>
    <row r="167">
      <c r="A167" s="27" t="inlineStr">
        <is>
          <t>63120000</t>
        </is>
      </c>
      <c r="B167" s="28" t="inlineStr">
        <is>
          <t>Frais de reception</t>
        </is>
      </c>
      <c r="C167" s="28" t="inlineStr">
        <is>
          <t>63</t>
        </is>
      </c>
      <c r="D167" s="28" t="inlineStr">
        <is>
          <t>Charges</t>
        </is>
      </c>
      <c r="E167" s="28" t="inlineStr">
        <is>
          <t>Charges</t>
        </is>
      </c>
      <c r="F167" s="28" t="inlineStr">
        <is>
          <t>Charges</t>
        </is>
      </c>
      <c r="G167" s="28" t="inlineStr">
        <is>
          <t>CHF, CUP</t>
        </is>
      </c>
      <c r="H167" s="29" t="n">
        <v>10568480</v>
      </c>
      <c r="I167" s="29" t="n">
        <v>19113888</v>
      </c>
      <c r="J167" s="29" t="n">
        <v>30666990</v>
      </c>
      <c r="K167" s="29" t="n">
        <v>37951830</v>
      </c>
      <c r="L167" s="29" t="n">
        <v>34772535</v>
      </c>
      <c r="M167" s="29" t="n">
        <v>39839410</v>
      </c>
      <c r="N167" s="29" t="n">
        <v>56925575</v>
      </c>
    </row>
    <row r="168">
      <c r="A168" s="27" t="inlineStr">
        <is>
          <t>63280000</t>
        </is>
      </c>
      <c r="B168" s="30" t="inlineStr">
        <is>
          <t>Autres charges locatives</t>
        </is>
      </c>
      <c r="C168" s="30" t="inlineStr">
        <is>
          <t>63</t>
        </is>
      </c>
      <c r="D168" s="30" t="inlineStr">
        <is>
          <t>Charges</t>
        </is>
      </c>
      <c r="E168" s="30" t="inlineStr">
        <is>
          <t>Charges</t>
        </is>
      </c>
      <c r="F168" s="30" t="inlineStr">
        <is>
          <t>Charges</t>
        </is>
      </c>
      <c r="G168" s="30" t="inlineStr">
        <is>
          <t>CHF, CUP</t>
        </is>
      </c>
      <c r="H168" s="31" t="n">
        <v>3340000</v>
      </c>
      <c r="I168" s="31" t="n">
        <v>8101000</v>
      </c>
      <c r="J168" s="31" t="n">
        <v>5183000</v>
      </c>
      <c r="K168" s="31" t="n">
        <v>5912500</v>
      </c>
      <c r="L168" s="31" t="n">
        <v>2702000</v>
      </c>
      <c r="M168" s="31" t="n">
        <v>1291000</v>
      </c>
      <c r="N168" s="31" t="n">
        <v>5375000</v>
      </c>
    </row>
    <row r="169">
      <c r="A169" s="27" t="inlineStr">
        <is>
          <t>63280100</t>
        </is>
      </c>
      <c r="B169" s="28" t="inlineStr">
        <is>
          <t>FRAIS DE RECOUVREMENT PROVISIONS FP</t>
        </is>
      </c>
      <c r="C169" s="28" t="inlineStr">
        <is>
          <t>63</t>
        </is>
      </c>
      <c r="D169" s="28" t="inlineStr">
        <is>
          <t>Charges</t>
        </is>
      </c>
      <c r="E169" s="28" t="inlineStr">
        <is>
          <t>Charges</t>
        </is>
      </c>
      <c r="F169" s="28" t="inlineStr">
        <is>
          <t>Charges</t>
        </is>
      </c>
      <c r="G169" s="28" t="inlineStr">
        <is>
          <t>CHF, CUP</t>
        </is>
      </c>
      <c r="H169" s="29" t="n">
        <v>0</v>
      </c>
      <c r="I169" s="29" t="n">
        <v>0</v>
      </c>
      <c r="J169" s="29" t="n">
        <v>61151434</v>
      </c>
      <c r="K169" s="29" t="n">
        <v>0</v>
      </c>
      <c r="L169" s="29" t="n">
        <v>0</v>
      </c>
      <c r="M169" s="29" t="n">
        <v>0</v>
      </c>
      <c r="N169" s="29" t="n">
        <v>0</v>
      </c>
    </row>
    <row r="170">
      <c r="A170" s="27" t="inlineStr">
        <is>
          <t>63310000</t>
        </is>
      </c>
      <c r="B170" s="30" t="inlineStr">
        <is>
          <t>Entretien et reparat° biens immo</t>
        </is>
      </c>
      <c r="C170" s="30" t="inlineStr">
        <is>
          <t>63</t>
        </is>
      </c>
      <c r="D170" s="30" t="inlineStr">
        <is>
          <t>Charges</t>
        </is>
      </c>
      <c r="E170" s="30" t="inlineStr">
        <is>
          <t>Charges</t>
        </is>
      </c>
      <c r="F170" s="30" t="inlineStr">
        <is>
          <t>Charges</t>
        </is>
      </c>
      <c r="G170" s="30" t="inlineStr">
        <is>
          <t>CHF, CUP</t>
        </is>
      </c>
      <c r="H170" s="31" t="n">
        <v>14160000</v>
      </c>
      <c r="I170" s="31" t="n">
        <v>14160000</v>
      </c>
      <c r="J170" s="31" t="n">
        <v>14160000</v>
      </c>
      <c r="K170" s="31" t="n">
        <v>14160000</v>
      </c>
      <c r="L170" s="31" t="n">
        <v>14160000</v>
      </c>
      <c r="M170" s="31" t="n">
        <v>14160000</v>
      </c>
      <c r="N170" s="31" t="n">
        <v>7080000</v>
      </c>
    </row>
    <row r="171">
      <c r="A171" s="27" t="inlineStr">
        <is>
          <t>63320000</t>
        </is>
      </c>
      <c r="B171" s="28" t="inlineStr">
        <is>
          <t>Entretien et réparat° biens mobil.</t>
        </is>
      </c>
      <c r="C171" s="28" t="inlineStr">
        <is>
          <t>63</t>
        </is>
      </c>
      <c r="D171" s="28" t="inlineStr">
        <is>
          <t>Charges</t>
        </is>
      </c>
      <c r="E171" s="28" t="inlineStr">
        <is>
          <t>Charges</t>
        </is>
      </c>
      <c r="F171" s="28" t="inlineStr">
        <is>
          <t>Charges</t>
        </is>
      </c>
      <c r="G171" s="28" t="inlineStr">
        <is>
          <t>CHF, CUP</t>
        </is>
      </c>
      <c r="H171" s="29" t="n">
        <v>34153700</v>
      </c>
      <c r="I171" s="29" t="n">
        <v>3380433</v>
      </c>
      <c r="J171" s="29" t="n">
        <v>1426404</v>
      </c>
      <c r="K171" s="29" t="n">
        <v>5733974</v>
      </c>
      <c r="L171" s="29" t="n">
        <v>6454325</v>
      </c>
      <c r="M171" s="29" t="n">
        <v>1451000</v>
      </c>
      <c r="N171" s="29" t="n">
        <v>3819484</v>
      </c>
    </row>
    <row r="172">
      <c r="A172" s="27" t="inlineStr">
        <is>
          <t>63330000</t>
        </is>
      </c>
      <c r="B172" s="30" t="inlineStr">
        <is>
          <t>Maintenace</t>
        </is>
      </c>
      <c r="C172" s="30" t="inlineStr">
        <is>
          <t>63</t>
        </is>
      </c>
      <c r="D172" s="30" t="inlineStr">
        <is>
          <t>Charges</t>
        </is>
      </c>
      <c r="E172" s="30" t="inlineStr">
        <is>
          <t>Charges</t>
        </is>
      </c>
      <c r="F172" s="30" t="inlineStr">
        <is>
          <t>Charges</t>
        </is>
      </c>
      <c r="G172" s="30" t="inlineStr">
        <is>
          <t>CHF, CUP</t>
        </is>
      </c>
      <c r="H172" s="31" t="n">
        <v>1732000</v>
      </c>
      <c r="I172" s="31" t="n">
        <v>12749500</v>
      </c>
      <c r="J172" s="31" t="n">
        <v>14365000</v>
      </c>
      <c r="K172" s="31" t="n">
        <v>15807000</v>
      </c>
      <c r="L172" s="31" t="n">
        <v>16944500</v>
      </c>
      <c r="M172" s="31" t="n">
        <v>20911800</v>
      </c>
      <c r="N172" s="31" t="n">
        <v>12262500</v>
      </c>
    </row>
    <row r="173">
      <c r="A173" s="27" t="inlineStr">
        <is>
          <t>63380000</t>
        </is>
      </c>
      <c r="B173" s="28" t="inlineStr">
        <is>
          <t>Autres entretiens et réparations</t>
        </is>
      </c>
      <c r="C173" s="28" t="inlineStr">
        <is>
          <t>63</t>
        </is>
      </c>
      <c r="D173" s="28" t="inlineStr">
        <is>
          <t>Charges</t>
        </is>
      </c>
      <c r="E173" s="28" t="inlineStr">
        <is>
          <t>Charges</t>
        </is>
      </c>
      <c r="F173" s="28" t="inlineStr">
        <is>
          <t>Charges</t>
        </is>
      </c>
      <c r="G173" s="28" t="inlineStr">
        <is>
          <t>CHF, CUP</t>
        </is>
      </c>
      <c r="H173" s="29" t="n">
        <v>19909500</v>
      </c>
      <c r="I173" s="29" t="n">
        <v>10684200</v>
      </c>
      <c r="J173" s="29" t="n">
        <v>17175500</v>
      </c>
      <c r="K173" s="29" t="n">
        <v>22206000</v>
      </c>
      <c r="L173" s="29" t="n">
        <v>19245250</v>
      </c>
      <c r="M173" s="29" t="n">
        <v>10269500</v>
      </c>
      <c r="N173" s="29" t="n">
        <v>6627500</v>
      </c>
    </row>
    <row r="174">
      <c r="A174" s="27" t="inlineStr">
        <is>
          <t>63420000</t>
        </is>
      </c>
      <c r="B174" s="30" t="inlineStr">
        <is>
          <t>Rémunération d'Intermédiaire sur Co</t>
        </is>
      </c>
      <c r="C174" s="30" t="inlineStr">
        <is>
          <t>63</t>
        </is>
      </c>
      <c r="D174" s="30" t="inlineStr">
        <is>
          <t>Charges</t>
        </is>
      </c>
      <c r="E174" s="30" t="inlineStr">
        <is>
          <t>Charges</t>
        </is>
      </c>
      <c r="F174" s="30" t="inlineStr">
        <is>
          <t>Charges</t>
        </is>
      </c>
      <c r="G174" s="30" t="inlineStr">
        <is>
          <t>CHF, CUP</t>
        </is>
      </c>
      <c r="H174" s="31" t="n">
        <v>0</v>
      </c>
      <c r="I174" s="31" t="n">
        <v>0</v>
      </c>
      <c r="J174" s="31" t="n">
        <v>5680000</v>
      </c>
      <c r="K174" s="31" t="n">
        <v>0</v>
      </c>
      <c r="L174" s="31" t="n">
        <v>0</v>
      </c>
      <c r="M174" s="31" t="n">
        <v>0</v>
      </c>
      <c r="N174" s="31" t="n">
        <v>0</v>
      </c>
    </row>
    <row r="175">
      <c r="A175" s="27" t="inlineStr">
        <is>
          <t>63421000</t>
        </is>
      </c>
      <c r="B175" s="28" t="inlineStr">
        <is>
          <t>Honoraires</t>
        </is>
      </c>
      <c r="C175" s="28" t="inlineStr">
        <is>
          <t>63</t>
        </is>
      </c>
      <c r="D175" s="28" t="inlineStr">
        <is>
          <t>Charges</t>
        </is>
      </c>
      <c r="E175" s="28" t="inlineStr">
        <is>
          <t>Charges</t>
        </is>
      </c>
      <c r="F175" s="28" t="inlineStr">
        <is>
          <t>Charges</t>
        </is>
      </c>
      <c r="G175" s="28" t="inlineStr">
        <is>
          <t>CHF, CUP</t>
        </is>
      </c>
      <c r="H175" s="29" t="n">
        <v>275436797</v>
      </c>
      <c r="I175" s="29" t="n">
        <v>110766500</v>
      </c>
      <c r="J175" s="29" t="n">
        <v>97415211</v>
      </c>
      <c r="K175" s="29" t="n">
        <v>72191000</v>
      </c>
      <c r="L175" s="29" t="n">
        <v>62161619</v>
      </c>
      <c r="M175" s="29" t="n">
        <v>78486000</v>
      </c>
      <c r="N175" s="29" t="n">
        <v>155804995</v>
      </c>
    </row>
    <row r="176">
      <c r="A176" s="27" t="inlineStr">
        <is>
          <t>63510000</t>
        </is>
      </c>
      <c r="B176" s="30" t="inlineStr">
        <is>
          <t>Frais de reportage</t>
        </is>
      </c>
      <c r="C176" s="30" t="inlineStr">
        <is>
          <t>63</t>
        </is>
      </c>
      <c r="D176" s="30" t="inlineStr">
        <is>
          <t>Charges</t>
        </is>
      </c>
      <c r="E176" s="30" t="inlineStr">
        <is>
          <t>Charges</t>
        </is>
      </c>
      <c r="F176" s="30" t="inlineStr">
        <is>
          <t>Charges</t>
        </is>
      </c>
      <c r="G176" s="30" t="inlineStr">
        <is>
          <t>CHF, CUP</t>
        </is>
      </c>
      <c r="H176" s="31" t="n">
        <v>0</v>
      </c>
      <c r="I176" s="31" t="n">
        <v>0</v>
      </c>
      <c r="J176" s="31" t="n">
        <v>50000</v>
      </c>
      <c r="K176" s="31" t="n">
        <v>0</v>
      </c>
      <c r="L176" s="31" t="n">
        <v>0</v>
      </c>
      <c r="M176" s="31" t="n">
        <v>0</v>
      </c>
      <c r="N176" s="31" t="n">
        <v>0</v>
      </c>
    </row>
    <row r="177">
      <c r="A177" s="27" t="inlineStr">
        <is>
          <t>63520000</t>
        </is>
      </c>
      <c r="B177" s="28" t="inlineStr">
        <is>
          <t>Frais de publicité</t>
        </is>
      </c>
      <c r="C177" s="28" t="inlineStr">
        <is>
          <t>63</t>
        </is>
      </c>
      <c r="D177" s="28" t="inlineStr">
        <is>
          <t>Charges</t>
        </is>
      </c>
      <c r="E177" s="28" t="inlineStr">
        <is>
          <t>Charges</t>
        </is>
      </c>
      <c r="F177" s="28" t="inlineStr">
        <is>
          <t>Charges</t>
        </is>
      </c>
      <c r="G177" s="28" t="inlineStr">
        <is>
          <t>CHF, CUP</t>
        </is>
      </c>
      <c r="H177" s="29" t="n">
        <v>300000</v>
      </c>
      <c r="I177" s="29" t="n">
        <v>465000</v>
      </c>
      <c r="J177" s="29" t="n">
        <v>6171400</v>
      </c>
      <c r="K177" s="29" t="n">
        <v>28599500</v>
      </c>
      <c r="L177" s="29" t="n">
        <v>8465000</v>
      </c>
      <c r="M177" s="29" t="n">
        <v>4863996</v>
      </c>
      <c r="N177" s="29" t="n">
        <v>0</v>
      </c>
    </row>
    <row r="178">
      <c r="A178" s="27" t="inlineStr">
        <is>
          <t>63530000</t>
        </is>
      </c>
      <c r="B178" s="30" t="inlineStr">
        <is>
          <t>Frais d'annonce &amp; d'insertion</t>
        </is>
      </c>
      <c r="C178" s="30" t="inlineStr">
        <is>
          <t>63</t>
        </is>
      </c>
      <c r="D178" s="30" t="inlineStr">
        <is>
          <t>Charges</t>
        </is>
      </c>
      <c r="E178" s="30" t="inlineStr">
        <is>
          <t>Charges</t>
        </is>
      </c>
      <c r="F178" s="30" t="inlineStr">
        <is>
          <t>Charges</t>
        </is>
      </c>
      <c r="G178" s="30" t="inlineStr">
        <is>
          <t>CHF, CUP</t>
        </is>
      </c>
      <c r="H178" s="31" t="n">
        <v>3540000</v>
      </c>
      <c r="I178" s="31" t="n">
        <v>0</v>
      </c>
      <c r="J178" s="31" t="n">
        <v>0</v>
      </c>
      <c r="K178" s="31" t="n">
        <v>0</v>
      </c>
      <c r="L178" s="31" t="n">
        <v>1700000</v>
      </c>
      <c r="M178" s="31" t="n">
        <v>200000</v>
      </c>
      <c r="N178" s="31" t="n">
        <v>0</v>
      </c>
    </row>
    <row r="179">
      <c r="A179" s="27" t="inlineStr">
        <is>
          <t>63580000</t>
        </is>
      </c>
      <c r="B179" s="28" t="inlineStr">
        <is>
          <t>autres charges de pub et rélat°publ</t>
        </is>
      </c>
      <c r="C179" s="28" t="inlineStr">
        <is>
          <t>63</t>
        </is>
      </c>
      <c r="D179" s="28" t="inlineStr">
        <is>
          <t>Charges</t>
        </is>
      </c>
      <c r="E179" s="28" t="inlineStr">
        <is>
          <t>Charges</t>
        </is>
      </c>
      <c r="F179" s="28" t="inlineStr">
        <is>
          <t>Charges</t>
        </is>
      </c>
      <c r="G179" s="28" t="inlineStr">
        <is>
          <t>CHF, CUP</t>
        </is>
      </c>
      <c r="H179" s="29" t="n">
        <v>1110000</v>
      </c>
      <c r="I179" s="29" t="n">
        <v>625000</v>
      </c>
      <c r="J179" s="29" t="n">
        <v>29893100</v>
      </c>
      <c r="K179" s="29" t="n">
        <v>60703600</v>
      </c>
      <c r="L179" s="29" t="n">
        <v>25381666</v>
      </c>
      <c r="M179" s="29" t="n">
        <v>18451744</v>
      </c>
      <c r="N179" s="29" t="n">
        <v>6325000</v>
      </c>
    </row>
    <row r="180">
      <c r="A180" s="27" t="inlineStr">
        <is>
          <t>63610000</t>
        </is>
      </c>
      <c r="B180" s="30" t="inlineStr">
        <is>
          <t>Frais de téléphone</t>
        </is>
      </c>
      <c r="C180" s="30" t="inlineStr">
        <is>
          <t>63</t>
        </is>
      </c>
      <c r="D180" s="30" t="inlineStr">
        <is>
          <t>Charges</t>
        </is>
      </c>
      <c r="E180" s="30" t="inlineStr">
        <is>
          <t>Charges</t>
        </is>
      </c>
      <c r="F180" s="30" t="inlineStr">
        <is>
          <t>Charges</t>
        </is>
      </c>
      <c r="G180" s="30" t="inlineStr">
        <is>
          <t>CHF, CUP</t>
        </is>
      </c>
      <c r="H180" s="31" t="n">
        <v>8895924</v>
      </c>
      <c r="I180" s="31" t="n">
        <v>0</v>
      </c>
      <c r="J180" s="31" t="n">
        <v>0</v>
      </c>
      <c r="K180" s="31" t="n">
        <v>0</v>
      </c>
      <c r="L180" s="31" t="n">
        <v>0</v>
      </c>
      <c r="M180" s="31" t="n">
        <v>0</v>
      </c>
      <c r="N180" s="31" t="n">
        <v>0</v>
      </c>
    </row>
    <row r="181">
      <c r="A181" s="27" t="inlineStr">
        <is>
          <t>63630000</t>
        </is>
      </c>
      <c r="B181" s="28" t="inlineStr">
        <is>
          <t>Frais d'internet</t>
        </is>
      </c>
      <c r="C181" s="28" t="inlineStr">
        <is>
          <t>63</t>
        </is>
      </c>
      <c r="D181" s="28" t="inlineStr">
        <is>
          <t>Charges</t>
        </is>
      </c>
      <c r="E181" s="28" t="inlineStr">
        <is>
          <t>Charges</t>
        </is>
      </c>
      <c r="F181" s="28" t="inlineStr">
        <is>
          <t>Charges</t>
        </is>
      </c>
      <c r="G181" s="28" t="inlineStr">
        <is>
          <t>CHF, CUP</t>
        </is>
      </c>
      <c r="H181" s="29" t="n">
        <v>1010000</v>
      </c>
      <c r="I181" s="29" t="n">
        <v>2692960</v>
      </c>
      <c r="J181" s="29" t="n">
        <v>1104874</v>
      </c>
      <c r="K181" s="29" t="n">
        <v>1228260</v>
      </c>
      <c r="L181" s="29" t="n">
        <v>1623260</v>
      </c>
      <c r="M181" s="29" t="n">
        <v>1663260</v>
      </c>
      <c r="N181" s="29" t="n">
        <v>1203840</v>
      </c>
    </row>
    <row r="182">
      <c r="A182" s="27" t="inlineStr">
        <is>
          <t>63640000</t>
        </is>
      </c>
      <c r="B182" s="30" t="inlineStr">
        <is>
          <t>Frais de canal satélite</t>
        </is>
      </c>
      <c r="C182" s="30" t="inlineStr">
        <is>
          <t>63</t>
        </is>
      </c>
      <c r="D182" s="30" t="inlineStr">
        <is>
          <t>Charges</t>
        </is>
      </c>
      <c r="E182" s="30" t="inlineStr">
        <is>
          <t>Charges</t>
        </is>
      </c>
      <c r="F182" s="30" t="inlineStr">
        <is>
          <t>Charges</t>
        </is>
      </c>
      <c r="G182" s="30" t="inlineStr">
        <is>
          <t>CHF, CUP</t>
        </is>
      </c>
      <c r="H182" s="31" t="n">
        <v>530400</v>
      </c>
      <c r="I182" s="31" t="n">
        <v>300000</v>
      </c>
      <c r="J182" s="31" t="n">
        <v>274100</v>
      </c>
      <c r="K182" s="31" t="n">
        <v>380100</v>
      </c>
      <c r="L182" s="31" t="n">
        <v>252000</v>
      </c>
      <c r="M182" s="31" t="n">
        <v>151300</v>
      </c>
      <c r="N182" s="31" t="n">
        <v>30100</v>
      </c>
    </row>
    <row r="183">
      <c r="A183" s="27" t="inlineStr">
        <is>
          <t>63680000</t>
        </is>
      </c>
      <c r="B183" s="28" t="inlineStr">
        <is>
          <t>Autres frais de télécommunication</t>
        </is>
      </c>
      <c r="C183" s="28" t="inlineStr">
        <is>
          <t>63</t>
        </is>
      </c>
      <c r="D183" s="28" t="inlineStr">
        <is>
          <t>Charges</t>
        </is>
      </c>
      <c r="E183" s="28" t="inlineStr">
        <is>
          <t>Charges</t>
        </is>
      </c>
      <c r="F183" s="28" t="inlineStr">
        <is>
          <t>Charges</t>
        </is>
      </c>
      <c r="G183" s="28" t="inlineStr">
        <is>
          <t>CHF, CUP</t>
        </is>
      </c>
      <c r="H183" s="29" t="n">
        <v>1315000</v>
      </c>
      <c r="I183" s="29" t="n">
        <v>453000</v>
      </c>
      <c r="J183" s="29" t="n">
        <v>2969500</v>
      </c>
      <c r="K183" s="29" t="n">
        <v>2375000</v>
      </c>
      <c r="L183" s="29" t="n">
        <v>11343675</v>
      </c>
      <c r="M183" s="29" t="n">
        <v>2841000</v>
      </c>
      <c r="N183" s="29" t="n">
        <v>1478000</v>
      </c>
    </row>
    <row r="184">
      <c r="A184" s="27" t="inlineStr">
        <is>
          <t>63710000</t>
        </is>
      </c>
      <c r="B184" s="30" t="inlineStr">
        <is>
          <t>Agios bancaires</t>
        </is>
      </c>
      <c r="C184" s="30" t="inlineStr">
        <is>
          <t>63</t>
        </is>
      </c>
      <c r="D184" s="30" t="inlineStr">
        <is>
          <t>Charges</t>
        </is>
      </c>
      <c r="E184" s="30" t="inlineStr">
        <is>
          <t>Charges</t>
        </is>
      </c>
      <c r="F184" s="30" t="inlineStr">
        <is>
          <t>Charges</t>
        </is>
      </c>
      <c r="G184" s="30" t="inlineStr">
        <is>
          <t>CHF, CUP</t>
        </is>
      </c>
      <c r="H184" s="31" t="n">
        <v>0</v>
      </c>
      <c r="I184" s="31" t="n">
        <v>0</v>
      </c>
      <c r="J184" s="31" t="n">
        <v>0</v>
      </c>
      <c r="K184" s="31" t="n">
        <v>0</v>
      </c>
      <c r="L184" s="31" t="n">
        <v>0</v>
      </c>
      <c r="M184" s="31" t="n">
        <v>0</v>
      </c>
      <c r="N184" s="31" t="n">
        <v>202368</v>
      </c>
    </row>
    <row r="185">
      <c r="A185" s="27" t="inlineStr">
        <is>
          <t>63710100</t>
        </is>
      </c>
      <c r="B185" s="28" t="inlineStr">
        <is>
          <t>Agios bancaires FPPN</t>
        </is>
      </c>
      <c r="C185" s="28" t="inlineStr">
        <is>
          <t>63</t>
        </is>
      </c>
      <c r="D185" s="28" t="inlineStr">
        <is>
          <t>Charges</t>
        </is>
      </c>
      <c r="E185" s="28" t="inlineStr">
        <is>
          <t>Charges</t>
        </is>
      </c>
      <c r="F185" s="28" t="inlineStr">
        <is>
          <t>Charges</t>
        </is>
      </c>
      <c r="G185" s="28" t="inlineStr">
        <is>
          <t>CHF, CUP</t>
        </is>
      </c>
      <c r="H185" s="29" t="n">
        <v>5602056</v>
      </c>
      <c r="I185" s="29" t="n">
        <v>4558714</v>
      </c>
      <c r="J185" s="29" t="n">
        <v>3345243</v>
      </c>
      <c r="K185" s="29" t="n">
        <v>3750316</v>
      </c>
      <c r="L185" s="29" t="n">
        <v>3576158</v>
      </c>
      <c r="M185" s="29" t="n">
        <v>4754860</v>
      </c>
      <c r="N185" s="29" t="n">
        <v>2940324</v>
      </c>
    </row>
    <row r="186">
      <c r="A186" s="27" t="inlineStr">
        <is>
          <t>63710200</t>
        </is>
      </c>
      <c r="B186" s="30" t="inlineStr">
        <is>
          <t>Agios bancaires PEP</t>
        </is>
      </c>
      <c r="C186" s="30" t="inlineStr">
        <is>
          <t>63</t>
        </is>
      </c>
      <c r="D186" s="30" t="inlineStr">
        <is>
          <t>Charges</t>
        </is>
      </c>
      <c r="E186" s="30" t="inlineStr">
        <is>
          <t>Charges</t>
        </is>
      </c>
      <c r="F186" s="30" t="inlineStr">
        <is>
          <t>Charges</t>
        </is>
      </c>
      <c r="G186" s="30" t="inlineStr">
        <is>
          <t>CHF, CUP</t>
        </is>
      </c>
      <c r="H186" s="31" t="n">
        <v>0</v>
      </c>
      <c r="I186" s="31" t="n">
        <v>217846</v>
      </c>
      <c r="J186" s="31" t="n">
        <v>409523</v>
      </c>
      <c r="K186" s="31" t="n">
        <v>0</v>
      </c>
      <c r="L186" s="31" t="n">
        <v>0</v>
      </c>
      <c r="M186" s="31" t="n">
        <v>0</v>
      </c>
      <c r="N186" s="31" t="n">
        <v>0</v>
      </c>
    </row>
    <row r="187">
      <c r="A187" s="27" t="inlineStr">
        <is>
          <t>63800000</t>
        </is>
      </c>
      <c r="B187" s="28" t="inlineStr">
        <is>
          <t>Redev. pr brevet lic &amp; droit simil.</t>
        </is>
      </c>
      <c r="C187" s="28" t="inlineStr">
        <is>
          <t>63</t>
        </is>
      </c>
      <c r="D187" s="28" t="inlineStr">
        <is>
          <t>Charges</t>
        </is>
      </c>
      <c r="E187" s="28" t="inlineStr">
        <is>
          <t>Charges</t>
        </is>
      </c>
      <c r="F187" s="28" t="inlineStr">
        <is>
          <t>Charges</t>
        </is>
      </c>
      <c r="G187" s="28" t="inlineStr">
        <is>
          <t>CHF, CUP</t>
        </is>
      </c>
      <c r="H187" s="29" t="n">
        <v>600000</v>
      </c>
      <c r="I187" s="29" t="n">
        <v>1709250</v>
      </c>
      <c r="J187" s="29" t="n">
        <v>500000</v>
      </c>
      <c r="K187" s="29" t="n">
        <v>1240000</v>
      </c>
      <c r="L187" s="29" t="n">
        <v>556250</v>
      </c>
      <c r="M187" s="29" t="n">
        <v>848020</v>
      </c>
      <c r="N187" s="29" t="n">
        <v>210500</v>
      </c>
    </row>
    <row r="188">
      <c r="A188" s="27" t="inlineStr">
        <is>
          <t>63910000</t>
        </is>
      </c>
      <c r="B188" s="30" t="inlineStr">
        <is>
          <t>Frais de formation</t>
        </is>
      </c>
      <c r="C188" s="30" t="inlineStr">
        <is>
          <t>63</t>
        </is>
      </c>
      <c r="D188" s="30" t="inlineStr">
        <is>
          <t>Charges</t>
        </is>
      </c>
      <c r="E188" s="30" t="inlineStr">
        <is>
          <t>Charges</t>
        </is>
      </c>
      <c r="F188" s="30" t="inlineStr">
        <is>
          <t>Charges</t>
        </is>
      </c>
      <c r="G188" s="30" t="inlineStr">
        <is>
          <t>CHF, CUP</t>
        </is>
      </c>
      <c r="H188" s="31" t="n">
        <v>0</v>
      </c>
      <c r="I188" s="31" t="n">
        <v>50000</v>
      </c>
      <c r="J188" s="31" t="n">
        <v>300000</v>
      </c>
      <c r="K188" s="31" t="n">
        <v>5565000</v>
      </c>
      <c r="L188" s="31" t="n">
        <v>1200000</v>
      </c>
      <c r="M188" s="31" t="n">
        <v>27480000</v>
      </c>
      <c r="N188" s="31" t="n">
        <v>1000000</v>
      </c>
    </row>
    <row r="189">
      <c r="A189" s="27" t="inlineStr">
        <is>
          <t>63930000</t>
        </is>
      </c>
      <c r="B189" s="28" t="inlineStr">
        <is>
          <t>Frais d'actes et de contentieux</t>
        </is>
      </c>
      <c r="C189" s="28" t="inlineStr">
        <is>
          <t>63</t>
        </is>
      </c>
      <c r="D189" s="28" t="inlineStr">
        <is>
          <t>Charges</t>
        </is>
      </c>
      <c r="E189" s="28" t="inlineStr">
        <is>
          <t>Charges</t>
        </is>
      </c>
      <c r="F189" s="28" t="inlineStr">
        <is>
          <t>Charges</t>
        </is>
      </c>
      <c r="G189" s="28" t="inlineStr">
        <is>
          <t>CHF, CUP</t>
        </is>
      </c>
      <c r="H189" s="29" t="n">
        <v>163620129</v>
      </c>
      <c r="I189" s="29" t="n">
        <v>7084300</v>
      </c>
      <c r="J189" s="29" t="n">
        <v>8964139</v>
      </c>
      <c r="K189" s="29" t="n">
        <v>0</v>
      </c>
      <c r="L189" s="29" t="n">
        <v>0</v>
      </c>
      <c r="M189" s="29" t="n">
        <v>0</v>
      </c>
      <c r="N189" s="29" t="n">
        <v>0</v>
      </c>
    </row>
    <row r="190">
      <c r="A190" s="27" t="inlineStr">
        <is>
          <t>63940000</t>
        </is>
      </c>
      <c r="B190" s="30" t="inlineStr">
        <is>
          <t>AUTRES FRAIS DE SEMINAIRES,COLLOQUE</t>
        </is>
      </c>
      <c r="C190" s="30" t="inlineStr">
        <is>
          <t>63</t>
        </is>
      </c>
      <c r="D190" s="30" t="inlineStr">
        <is>
          <t>Charges</t>
        </is>
      </c>
      <c r="E190" s="30" t="inlineStr">
        <is>
          <t>Charges</t>
        </is>
      </c>
      <c r="F190" s="30" t="inlineStr">
        <is>
          <t>Charges</t>
        </is>
      </c>
      <c r="G190" s="30" t="inlineStr">
        <is>
          <t>CHF, CUP</t>
        </is>
      </c>
      <c r="H190" s="31" t="n">
        <v>0</v>
      </c>
      <c r="I190" s="31" t="n">
        <v>0</v>
      </c>
      <c r="J190" s="31" t="n">
        <v>0</v>
      </c>
      <c r="K190" s="31" t="n">
        <v>0</v>
      </c>
      <c r="L190" s="31" t="n">
        <v>590000</v>
      </c>
      <c r="M190" s="31" t="n">
        <v>0</v>
      </c>
      <c r="N190" s="31" t="n">
        <v>0</v>
      </c>
    </row>
    <row r="191">
      <c r="A191" s="27" t="inlineStr">
        <is>
          <t>63980000</t>
        </is>
      </c>
      <c r="B191" s="28" t="inlineStr">
        <is>
          <t>Divers actes</t>
        </is>
      </c>
      <c r="C191" s="28" t="inlineStr">
        <is>
          <t>63</t>
        </is>
      </c>
      <c r="D191" s="28" t="inlineStr">
        <is>
          <t>Charges</t>
        </is>
      </c>
      <c r="E191" s="28" t="inlineStr">
        <is>
          <t>Charges</t>
        </is>
      </c>
      <c r="F191" s="28" t="inlineStr">
        <is>
          <t>Charges</t>
        </is>
      </c>
      <c r="G191" s="28" t="inlineStr">
        <is>
          <t>CHF, CUP</t>
        </is>
      </c>
      <c r="H191" s="29" t="n">
        <v>715000</v>
      </c>
      <c r="I191" s="29" t="n">
        <v>500000</v>
      </c>
      <c r="J191" s="29" t="n">
        <v>2480167</v>
      </c>
      <c r="K191" s="29" t="n">
        <v>115000</v>
      </c>
      <c r="L191" s="29" t="n">
        <v>300000</v>
      </c>
      <c r="M191" s="29" t="n">
        <v>0</v>
      </c>
      <c r="N191" s="29" t="n">
        <v>0</v>
      </c>
    </row>
    <row r="192">
      <c r="A192" s="27" t="inlineStr">
        <is>
          <t>64130000</t>
        </is>
      </c>
      <c r="B192" s="30" t="inlineStr">
        <is>
          <t>Primes et gratifications</t>
        </is>
      </c>
      <c r="C192" s="30" t="inlineStr">
        <is>
          <t>641 Impôts et taxes sur salaires</t>
        </is>
      </c>
      <c r="D192" s="30" t="inlineStr">
        <is>
          <t>Charges</t>
        </is>
      </c>
      <c r="E192" s="30" t="inlineStr">
        <is>
          <t>Charges</t>
        </is>
      </c>
      <c r="F192" s="30" t="inlineStr">
        <is>
          <t>Charges</t>
        </is>
      </c>
      <c r="G192" s="30" t="inlineStr">
        <is>
          <t>CHF, CUP</t>
        </is>
      </c>
      <c r="H192" s="31" t="n">
        <v>2451614</v>
      </c>
      <c r="I192" s="31" t="n">
        <v>3312961</v>
      </c>
      <c r="J192" s="31" t="n">
        <v>2152506</v>
      </c>
      <c r="K192" s="31" t="n">
        <v>2728640</v>
      </c>
      <c r="L192" s="31" t="n">
        <v>2593156</v>
      </c>
      <c r="M192" s="31" t="n">
        <v>3413471</v>
      </c>
      <c r="N192" s="31" t="n">
        <v>2398605</v>
      </c>
    </row>
    <row r="193">
      <c r="A193" s="27" t="inlineStr">
        <is>
          <t>64140000</t>
        </is>
      </c>
      <c r="B193" s="28" t="inlineStr">
        <is>
          <t>Indemnités avantages divers</t>
        </is>
      </c>
      <c r="C193" s="28" t="inlineStr">
        <is>
          <t>641 Impôts et taxes sur salaires</t>
        </is>
      </c>
      <c r="D193" s="28" t="inlineStr">
        <is>
          <t>Charges</t>
        </is>
      </c>
      <c r="E193" s="28" t="inlineStr">
        <is>
          <t>Charges</t>
        </is>
      </c>
      <c r="F193" s="28" t="inlineStr">
        <is>
          <t>Charges</t>
        </is>
      </c>
      <c r="G193" s="28" t="inlineStr">
        <is>
          <t>CHF, CUP</t>
        </is>
      </c>
      <c r="H193" s="29" t="n">
        <v>730676</v>
      </c>
      <c r="I193" s="29" t="n">
        <v>637468</v>
      </c>
      <c r="J193" s="29" t="n">
        <v>717503</v>
      </c>
      <c r="K193" s="29" t="n">
        <v>909546</v>
      </c>
      <c r="L193" s="29" t="n">
        <v>864385</v>
      </c>
      <c r="M193" s="29" t="n">
        <v>1017229</v>
      </c>
      <c r="N193" s="29" t="n">
        <v>799535</v>
      </c>
    </row>
    <row r="194">
      <c r="A194" s="27" t="inlineStr">
        <is>
          <t>64150000</t>
        </is>
      </c>
      <c r="B194" s="30" t="inlineStr">
        <is>
          <t>Supplément familial</t>
        </is>
      </c>
      <c r="C194" s="30" t="inlineStr">
        <is>
          <t>641 Impôts et taxes sur salaires</t>
        </is>
      </c>
      <c r="D194" s="30" t="inlineStr">
        <is>
          <t>Charges</t>
        </is>
      </c>
      <c r="E194" s="30" t="inlineStr">
        <is>
          <t>Charges</t>
        </is>
      </c>
      <c r="F194" s="30" t="inlineStr">
        <is>
          <t>Charges</t>
        </is>
      </c>
      <c r="G194" s="30" t="inlineStr">
        <is>
          <t>CHF, CUP</t>
        </is>
      </c>
      <c r="H194" s="31" t="n">
        <v>2130645</v>
      </c>
      <c r="I194" s="31" t="n">
        <v>1912402</v>
      </c>
      <c r="J194" s="31" t="n">
        <v>2152506</v>
      </c>
      <c r="K194" s="31" t="n">
        <v>2728640</v>
      </c>
      <c r="L194" s="31" t="n">
        <v>2928221</v>
      </c>
      <c r="M194" s="31" t="n">
        <v>3051681</v>
      </c>
      <c r="N194" s="31" t="n">
        <v>2398605</v>
      </c>
    </row>
    <row r="195">
      <c r="A195" s="27" t="inlineStr">
        <is>
          <t>64610000</t>
        </is>
      </c>
      <c r="B195" s="28" t="inlineStr">
        <is>
          <t>Droit de timbre</t>
        </is>
      </c>
      <c r="C195" s="28" t="inlineStr">
        <is>
          <t>64</t>
        </is>
      </c>
      <c r="D195" s="28" t="inlineStr">
        <is>
          <t>Charges</t>
        </is>
      </c>
      <c r="E195" s="28" t="inlineStr">
        <is>
          <t>Charges</t>
        </is>
      </c>
      <c r="F195" s="28" t="inlineStr">
        <is>
          <t>Charges</t>
        </is>
      </c>
      <c r="G195" s="28" t="inlineStr">
        <is>
          <t>CHF, CUP</t>
        </is>
      </c>
      <c r="H195" s="29" t="n">
        <v>300</v>
      </c>
      <c r="I195" s="29" t="n">
        <v>793200</v>
      </c>
      <c r="J195" s="29" t="n">
        <v>1900</v>
      </c>
      <c r="K195" s="29" t="n">
        <v>200</v>
      </c>
      <c r="L195" s="29" t="n">
        <v>0</v>
      </c>
      <c r="M195" s="29" t="n">
        <v>2900</v>
      </c>
      <c r="N195" s="29" t="n">
        <v>1500</v>
      </c>
    </row>
    <row r="196">
      <c r="A196" s="27" t="inlineStr">
        <is>
          <t>64620000</t>
        </is>
      </c>
      <c r="B196" s="30" t="inlineStr">
        <is>
          <t>Vignettes</t>
        </is>
      </c>
      <c r="C196" s="30" t="inlineStr">
        <is>
          <t>64</t>
        </is>
      </c>
      <c r="D196" s="30" t="inlineStr">
        <is>
          <t>Charges</t>
        </is>
      </c>
      <c r="E196" s="30" t="inlineStr">
        <is>
          <t>Charges</t>
        </is>
      </c>
      <c r="F196" s="30" t="inlineStr">
        <is>
          <t>Charges</t>
        </is>
      </c>
      <c r="G196" s="30" t="inlineStr">
        <is>
          <t>CHF, CUP</t>
        </is>
      </c>
      <c r="H196" s="31" t="n">
        <v>250000</v>
      </c>
      <c r="I196" s="31" t="n">
        <v>0</v>
      </c>
      <c r="J196" s="31" t="n">
        <v>0</v>
      </c>
      <c r="K196" s="31" t="n">
        <v>0</v>
      </c>
      <c r="L196" s="31" t="n">
        <v>0</v>
      </c>
      <c r="M196" s="31" t="n">
        <v>55000</v>
      </c>
      <c r="N196" s="31" t="n">
        <v>0</v>
      </c>
    </row>
    <row r="197">
      <c r="A197" s="27" t="inlineStr">
        <is>
          <t>64630000</t>
        </is>
      </c>
      <c r="B197" s="28" t="inlineStr">
        <is>
          <t>DROIT DE MUTATION</t>
        </is>
      </c>
      <c r="C197" s="28" t="inlineStr">
        <is>
          <t>64</t>
        </is>
      </c>
      <c r="D197" s="28" t="inlineStr">
        <is>
          <t>Charges</t>
        </is>
      </c>
      <c r="E197" s="28" t="inlineStr">
        <is>
          <t>Charges</t>
        </is>
      </c>
      <c r="F197" s="28" t="inlineStr">
        <is>
          <t>Charges</t>
        </is>
      </c>
      <c r="G197" s="28" t="inlineStr">
        <is>
          <t>CHF, CUP</t>
        </is>
      </c>
      <c r="H197" s="29" t="n">
        <v>0</v>
      </c>
      <c r="I197" s="29" t="n">
        <v>0</v>
      </c>
      <c r="J197" s="29" t="n">
        <v>0</v>
      </c>
      <c r="K197" s="29" t="n">
        <v>0</v>
      </c>
      <c r="L197" s="29" t="n">
        <v>0</v>
      </c>
      <c r="M197" s="29" t="n">
        <v>100</v>
      </c>
      <c r="N197" s="29" t="n">
        <v>120000</v>
      </c>
    </row>
    <row r="198">
      <c r="A198" s="27" t="inlineStr">
        <is>
          <t>64640000</t>
        </is>
      </c>
      <c r="B198" s="30" t="inlineStr">
        <is>
          <t>VIGNETTES</t>
        </is>
      </c>
      <c r="C198" s="30" t="inlineStr">
        <is>
          <t>64</t>
        </is>
      </c>
      <c r="D198" s="30" t="inlineStr">
        <is>
          <t>Charges</t>
        </is>
      </c>
      <c r="E198" s="30" t="inlineStr">
        <is>
          <t>Charges</t>
        </is>
      </c>
      <c r="F198" s="30" t="inlineStr">
        <is>
          <t>Charges</t>
        </is>
      </c>
      <c r="G198" s="30" t="inlineStr">
        <is>
          <t>CHF, CUP</t>
        </is>
      </c>
      <c r="H198" s="31" t="n">
        <v>0</v>
      </c>
      <c r="I198" s="31" t="n">
        <v>0</v>
      </c>
      <c r="J198" s="31" t="n">
        <v>246000</v>
      </c>
      <c r="K198" s="31" t="n">
        <v>193000</v>
      </c>
      <c r="L198" s="31" t="n">
        <v>0</v>
      </c>
      <c r="M198" s="31" t="n">
        <v>0</v>
      </c>
      <c r="N198" s="31" t="n">
        <v>0</v>
      </c>
    </row>
    <row r="199">
      <c r="A199" s="27" t="inlineStr">
        <is>
          <t>64650000</t>
        </is>
      </c>
      <c r="B199" s="28" t="inlineStr">
        <is>
          <t>impôts fonciers et taxes annexes</t>
        </is>
      </c>
      <c r="C199" s="28" t="inlineStr">
        <is>
          <t>64</t>
        </is>
      </c>
      <c r="D199" s="28" t="inlineStr">
        <is>
          <t>Charges</t>
        </is>
      </c>
      <c r="E199" s="28" t="inlineStr">
        <is>
          <t>Charges</t>
        </is>
      </c>
      <c r="F199" s="28" t="inlineStr">
        <is>
          <t>Charges</t>
        </is>
      </c>
      <c r="G199" s="28" t="inlineStr">
        <is>
          <t>CHF, CUP</t>
        </is>
      </c>
      <c r="H199" s="29" t="n">
        <v>10140815</v>
      </c>
      <c r="I199" s="29" t="n">
        <v>12362102</v>
      </c>
      <c r="J199" s="29" t="n">
        <v>0</v>
      </c>
      <c r="K199" s="29" t="n">
        <v>0</v>
      </c>
      <c r="L199" s="29" t="n">
        <v>189410</v>
      </c>
      <c r="M199" s="29" t="n">
        <v>0</v>
      </c>
      <c r="N199" s="29" t="n">
        <v>0</v>
      </c>
    </row>
    <row r="200">
      <c r="A200" s="27" t="inlineStr">
        <is>
          <t>64680000</t>
        </is>
      </c>
      <c r="B200" s="30" t="inlineStr">
        <is>
          <t>Autres droits</t>
        </is>
      </c>
      <c r="C200" s="30" t="inlineStr">
        <is>
          <t>64</t>
        </is>
      </c>
      <c r="D200" s="30" t="inlineStr">
        <is>
          <t>Charges</t>
        </is>
      </c>
      <c r="E200" s="30" t="inlineStr">
        <is>
          <t>Charges</t>
        </is>
      </c>
      <c r="F200" s="30" t="inlineStr">
        <is>
          <t>Charges</t>
        </is>
      </c>
      <c r="G200" s="30" t="inlineStr">
        <is>
          <t>CHF, CUP</t>
        </is>
      </c>
      <c r="H200" s="31" t="n">
        <v>0</v>
      </c>
      <c r="I200" s="31" t="n">
        <v>0</v>
      </c>
      <c r="J200" s="31" t="n">
        <v>0</v>
      </c>
      <c r="K200" s="31" t="n">
        <v>66000</v>
      </c>
      <c r="L200" s="31" t="n">
        <v>0</v>
      </c>
      <c r="M200" s="31" t="n">
        <v>0</v>
      </c>
      <c r="N200" s="31" t="n">
        <v>0</v>
      </c>
    </row>
    <row r="201">
      <c r="A201" s="27" t="inlineStr">
        <is>
          <t>64800000</t>
        </is>
      </c>
      <c r="B201" s="28" t="inlineStr">
        <is>
          <t>Autres charges de personnel</t>
        </is>
      </c>
      <c r="C201" s="28" t="inlineStr">
        <is>
          <t>64</t>
        </is>
      </c>
      <c r="D201" s="28" t="inlineStr">
        <is>
          <t>Charges</t>
        </is>
      </c>
      <c r="E201" s="28" t="inlineStr">
        <is>
          <t>Charges</t>
        </is>
      </c>
      <c r="F201" s="28" t="inlineStr">
        <is>
          <t>Charges</t>
        </is>
      </c>
      <c r="G201" s="28" t="inlineStr">
        <is>
          <t>CHF, CUP</t>
        </is>
      </c>
      <c r="H201" s="29" t="n">
        <v>0</v>
      </c>
      <c r="I201" s="29" t="n">
        <v>46488000</v>
      </c>
      <c r="J201" s="29" t="n">
        <v>1012580</v>
      </c>
      <c r="K201" s="29" t="n">
        <v>0</v>
      </c>
      <c r="L201" s="29" t="n">
        <v>0</v>
      </c>
      <c r="M201" s="29" t="n">
        <v>0</v>
      </c>
      <c r="N201" s="29" t="n">
        <v>120000</v>
      </c>
    </row>
    <row r="202">
      <c r="A202" s="27" t="inlineStr">
        <is>
          <t>64810000</t>
        </is>
      </c>
      <c r="B202" s="30" t="inlineStr">
        <is>
          <t>Autres impôts et taxes</t>
        </is>
      </c>
      <c r="C202" s="30" t="inlineStr">
        <is>
          <t>64</t>
        </is>
      </c>
      <c r="D202" s="30" t="inlineStr">
        <is>
          <t>Charges</t>
        </is>
      </c>
      <c r="E202" s="30" t="inlineStr">
        <is>
          <t>Charges</t>
        </is>
      </c>
      <c r="F202" s="30" t="inlineStr">
        <is>
          <t>Charges</t>
        </is>
      </c>
      <c r="G202" s="30" t="inlineStr">
        <is>
          <t>CHF, CUP</t>
        </is>
      </c>
      <c r="H202" s="31" t="n">
        <v>0</v>
      </c>
      <c r="I202" s="31" t="n">
        <v>0</v>
      </c>
      <c r="J202" s="31" t="n">
        <v>0</v>
      </c>
      <c r="K202" s="31" t="n">
        <v>0</v>
      </c>
      <c r="L202" s="31" t="n">
        <v>80500</v>
      </c>
      <c r="M202" s="31" t="n">
        <v>6891745</v>
      </c>
      <c r="N202" s="31" t="n">
        <v>0</v>
      </c>
    </row>
    <row r="203">
      <c r="A203" s="27" t="inlineStr">
        <is>
          <t>65120000</t>
        </is>
      </c>
      <c r="B203" s="28" t="inlineStr">
        <is>
          <t>Assurances mat'riel de transport</t>
        </is>
      </c>
      <c r="C203" s="28" t="inlineStr">
        <is>
          <t>651 Primes d'assurances</t>
        </is>
      </c>
      <c r="D203" s="28" t="inlineStr">
        <is>
          <t>Charges</t>
        </is>
      </c>
      <c r="E203" s="28" t="inlineStr">
        <is>
          <t>Charges</t>
        </is>
      </c>
      <c r="F203" s="28" t="inlineStr">
        <is>
          <t>Charges</t>
        </is>
      </c>
      <c r="G203" s="28" t="inlineStr">
        <is>
          <t>CHF, CUP</t>
        </is>
      </c>
      <c r="H203" s="29" t="n">
        <v>745057</v>
      </c>
      <c r="I203" s="29" t="n">
        <v>4063131</v>
      </c>
      <c r="J203" s="29" t="n">
        <v>1688767</v>
      </c>
      <c r="K203" s="29" t="n">
        <v>2167138</v>
      </c>
      <c r="L203" s="29" t="n">
        <v>1284226</v>
      </c>
      <c r="M203" s="29" t="n">
        <v>869667</v>
      </c>
      <c r="N203" s="29" t="n">
        <v>2625622</v>
      </c>
    </row>
    <row r="204">
      <c r="A204" s="27" t="inlineStr">
        <is>
          <t>65180000</t>
        </is>
      </c>
      <c r="B204" s="30" t="inlineStr">
        <is>
          <t>Autres primes d'assurances</t>
        </is>
      </c>
      <c r="C204" s="30" t="inlineStr">
        <is>
          <t>651 Primes d'assurances</t>
        </is>
      </c>
      <c r="D204" s="30" t="inlineStr">
        <is>
          <t>Charges</t>
        </is>
      </c>
      <c r="E204" s="30" t="inlineStr">
        <is>
          <t>Charges</t>
        </is>
      </c>
      <c r="F204" s="30" t="inlineStr">
        <is>
          <t>Charges</t>
        </is>
      </c>
      <c r="G204" s="30" t="inlineStr">
        <is>
          <t>CHF, CUP</t>
        </is>
      </c>
      <c r="H204" s="31" t="n">
        <v>574393861</v>
      </c>
      <c r="I204" s="31" t="n">
        <v>0</v>
      </c>
      <c r="J204" s="31" t="n">
        <v>0</v>
      </c>
      <c r="K204" s="31" t="n">
        <v>0</v>
      </c>
      <c r="L204" s="31" t="n">
        <v>0</v>
      </c>
      <c r="M204" s="31" t="n">
        <v>0</v>
      </c>
      <c r="N204" s="31" t="n">
        <v>0</v>
      </c>
    </row>
    <row r="205">
      <c r="A205" s="27" t="inlineStr">
        <is>
          <t>65211000</t>
        </is>
      </c>
      <c r="B205" s="28" t="inlineStr">
        <is>
          <t>Indem Conseil d'Administration</t>
        </is>
      </c>
      <c r="C205" s="28" t="inlineStr">
        <is>
          <t>65</t>
        </is>
      </c>
      <c r="D205" s="28" t="inlineStr">
        <is>
          <t>Charges</t>
        </is>
      </c>
      <c r="E205" s="28" t="inlineStr">
        <is>
          <t>Charges</t>
        </is>
      </c>
      <c r="F205" s="28" t="inlineStr">
        <is>
          <t>Charges</t>
        </is>
      </c>
      <c r="G205" s="28" t="inlineStr">
        <is>
          <t>CHF, CUP</t>
        </is>
      </c>
      <c r="H205" s="29" t="n">
        <v>68470588</v>
      </c>
      <c r="I205" s="29" t="n">
        <v>58588235</v>
      </c>
      <c r="J205" s="29" t="n">
        <v>52737500</v>
      </c>
      <c r="K205" s="29" t="n">
        <v>49050000</v>
      </c>
      <c r="L205" s="29" t="n">
        <v>54050000</v>
      </c>
      <c r="M205" s="29" t="n">
        <v>61650000</v>
      </c>
      <c r="N205" s="29" t="n">
        <v>40200000</v>
      </c>
    </row>
    <row r="206">
      <c r="A206" s="27" t="inlineStr">
        <is>
          <t>65211001</t>
        </is>
      </c>
      <c r="B206" s="30" t="inlineStr">
        <is>
          <t>Jetons de presence Conseil d'Admini</t>
        </is>
      </c>
      <c r="C206" s="30" t="inlineStr">
        <is>
          <t>65</t>
        </is>
      </c>
      <c r="D206" s="30" t="inlineStr">
        <is>
          <t>Charges</t>
        </is>
      </c>
      <c r="E206" s="30" t="inlineStr">
        <is>
          <t>Charges</t>
        </is>
      </c>
      <c r="F206" s="30" t="inlineStr">
        <is>
          <t>Charges</t>
        </is>
      </c>
      <c r="G206" s="30" t="inlineStr">
        <is>
          <t>CHF, CUP</t>
        </is>
      </c>
      <c r="H206" s="31" t="n">
        <v>6135294</v>
      </c>
      <c r="I206" s="31" t="n">
        <v>7482352</v>
      </c>
      <c r="J206" s="31" t="n">
        <v>4770000</v>
      </c>
      <c r="K206" s="31" t="n">
        <v>7430000</v>
      </c>
      <c r="L206" s="31" t="n">
        <v>8440000</v>
      </c>
      <c r="M206" s="31" t="n">
        <v>11840000</v>
      </c>
      <c r="N206" s="31" t="n">
        <v>21100000</v>
      </c>
    </row>
    <row r="207">
      <c r="A207" s="27" t="inlineStr">
        <is>
          <t>65212000</t>
        </is>
      </c>
      <c r="B207" s="28" t="inlineStr">
        <is>
          <t>Idem organe de contrôle/censorat</t>
        </is>
      </c>
      <c r="C207" s="28" t="inlineStr">
        <is>
          <t>65</t>
        </is>
      </c>
      <c r="D207" s="28" t="inlineStr">
        <is>
          <t>Charges</t>
        </is>
      </c>
      <c r="E207" s="28" t="inlineStr">
        <is>
          <t>Charges</t>
        </is>
      </c>
      <c r="F207" s="28" t="inlineStr">
        <is>
          <t>Charges</t>
        </is>
      </c>
      <c r="G207" s="28" t="inlineStr">
        <is>
          <t>CHF, CUP</t>
        </is>
      </c>
      <c r="H207" s="29" t="n">
        <v>28705882</v>
      </c>
      <c r="I207" s="29" t="n">
        <v>15529411</v>
      </c>
      <c r="J207" s="29" t="n">
        <v>13125000</v>
      </c>
      <c r="K207" s="29" t="n">
        <v>13500000</v>
      </c>
      <c r="L207" s="29" t="n">
        <v>14300000</v>
      </c>
      <c r="M207" s="29" t="n">
        <v>14175000</v>
      </c>
      <c r="N207" s="29" t="n">
        <v>8800000</v>
      </c>
    </row>
    <row r="208">
      <c r="A208" s="27" t="inlineStr">
        <is>
          <t>65212001</t>
        </is>
      </c>
      <c r="B208" s="30" t="inlineStr">
        <is>
          <t>Jetons presence organe contrôle</t>
        </is>
      </c>
      <c r="C208" s="30" t="inlineStr">
        <is>
          <t>65</t>
        </is>
      </c>
      <c r="D208" s="30" t="inlineStr">
        <is>
          <t>Charges</t>
        </is>
      </c>
      <c r="E208" s="30" t="inlineStr">
        <is>
          <t>Charges</t>
        </is>
      </c>
      <c r="F208" s="30" t="inlineStr">
        <is>
          <t>Charges</t>
        </is>
      </c>
      <c r="G208" s="30" t="inlineStr">
        <is>
          <t>CHF, CUP</t>
        </is>
      </c>
      <c r="H208" s="31" t="n">
        <v>352941</v>
      </c>
      <c r="I208" s="31" t="n">
        <v>705882</v>
      </c>
      <c r="J208" s="31" t="n">
        <v>300000</v>
      </c>
      <c r="K208" s="31" t="n">
        <v>600000</v>
      </c>
      <c r="L208" s="31" t="n">
        <v>600000</v>
      </c>
      <c r="M208" s="31" t="n">
        <v>800000</v>
      </c>
      <c r="N208" s="31" t="n">
        <v>1300000</v>
      </c>
    </row>
    <row r="209">
      <c r="A209" s="27" t="inlineStr">
        <is>
          <t>65213000</t>
        </is>
      </c>
      <c r="B209" s="28" t="inlineStr">
        <is>
          <t>Indem Direction Générale</t>
        </is>
      </c>
      <c r="C209" s="28" t="inlineStr">
        <is>
          <t>65</t>
        </is>
      </c>
      <c r="D209" s="28" t="inlineStr">
        <is>
          <t>Charges</t>
        </is>
      </c>
      <c r="E209" s="28" t="inlineStr">
        <is>
          <t>Charges</t>
        </is>
      </c>
      <c r="F209" s="28" t="inlineStr">
        <is>
          <t>Charges</t>
        </is>
      </c>
      <c r="G209" s="28" t="inlineStr">
        <is>
          <t>CHF, CUP</t>
        </is>
      </c>
      <c r="H209" s="29" t="n">
        <v>119300000</v>
      </c>
      <c r="I209" s="29" t="n">
        <v>145610000</v>
      </c>
      <c r="J209" s="29" t="n">
        <v>135986737</v>
      </c>
      <c r="K209" s="29" t="n">
        <v>170030559</v>
      </c>
      <c r="L209" s="29" t="n">
        <v>169954250</v>
      </c>
      <c r="M209" s="29" t="n">
        <v>182146250</v>
      </c>
      <c r="N209" s="29" t="n">
        <v>119921000</v>
      </c>
    </row>
    <row r="210">
      <c r="A210" s="27" t="inlineStr">
        <is>
          <t>65214000</t>
        </is>
      </c>
      <c r="B210" s="30" t="inlineStr">
        <is>
          <t>Indemnités Délégués</t>
        </is>
      </c>
      <c r="C210" s="30" t="inlineStr">
        <is>
          <t>65</t>
        </is>
      </c>
      <c r="D210" s="30" t="inlineStr">
        <is>
          <t>Charges</t>
        </is>
      </c>
      <c r="E210" s="30" t="inlineStr">
        <is>
          <t>Charges</t>
        </is>
      </c>
      <c r="F210" s="30" t="inlineStr">
        <is>
          <t>Charges</t>
        </is>
      </c>
      <c r="G210" s="30" t="inlineStr">
        <is>
          <t>CHF, CUP</t>
        </is>
      </c>
      <c r="H210" s="31" t="n">
        <v>0</v>
      </c>
      <c r="I210" s="31" t="n">
        <v>0</v>
      </c>
      <c r="J210" s="31" t="n">
        <v>20300000</v>
      </c>
      <c r="K210" s="31" t="n">
        <v>0</v>
      </c>
      <c r="L210" s="31" t="n">
        <v>0</v>
      </c>
      <c r="M210" s="31" t="n">
        <v>0</v>
      </c>
      <c r="N210" s="31" t="n">
        <v>0</v>
      </c>
    </row>
    <row r="211">
      <c r="A211" s="27" t="inlineStr">
        <is>
          <t>65214001</t>
        </is>
      </c>
      <c r="B211" s="28" t="inlineStr">
        <is>
          <t>Jetons de presence des délégués</t>
        </is>
      </c>
      <c r="C211" s="28" t="inlineStr">
        <is>
          <t>65</t>
        </is>
      </c>
      <c r="D211" s="28" t="inlineStr">
        <is>
          <t>Charges</t>
        </is>
      </c>
      <c r="E211" s="28" t="inlineStr">
        <is>
          <t>Charges</t>
        </is>
      </c>
      <c r="F211" s="28" t="inlineStr">
        <is>
          <t>Charges</t>
        </is>
      </c>
      <c r="G211" s="28" t="inlineStr">
        <is>
          <t>CHF, CUP</t>
        </is>
      </c>
      <c r="H211" s="29" t="n">
        <v>34882353</v>
      </c>
      <c r="I211" s="29" t="n">
        <v>24117647</v>
      </c>
      <c r="J211" s="29" t="n">
        <v>200000</v>
      </c>
      <c r="K211" s="29" t="n">
        <v>41600000</v>
      </c>
      <c r="L211" s="29" t="n">
        <v>38580000</v>
      </c>
      <c r="M211" s="29" t="n">
        <v>38700000</v>
      </c>
      <c r="N211" s="29" t="n">
        <v>82300000</v>
      </c>
    </row>
    <row r="212">
      <c r="A212" s="27" t="inlineStr">
        <is>
          <t>65800000</t>
        </is>
      </c>
      <c r="B212" s="30" t="inlineStr">
        <is>
          <t>Charges de gestion courante</t>
        </is>
      </c>
      <c r="C212" s="30" t="inlineStr">
        <is>
          <t>65</t>
        </is>
      </c>
      <c r="D212" s="30" t="inlineStr">
        <is>
          <t>Charges</t>
        </is>
      </c>
      <c r="E212" s="30" t="inlineStr">
        <is>
          <t>Charges</t>
        </is>
      </c>
      <c r="F212" s="30" t="inlineStr">
        <is>
          <t>Charges</t>
        </is>
      </c>
      <c r="G212" s="30" t="inlineStr">
        <is>
          <t>CHF, CUP</t>
        </is>
      </c>
      <c r="H212" s="31" t="n">
        <v>740000</v>
      </c>
      <c r="I212" s="31" t="n">
        <v>1000000</v>
      </c>
      <c r="J212" s="31" t="n">
        <v>500000</v>
      </c>
      <c r="K212" s="31" t="n">
        <v>500000</v>
      </c>
      <c r="L212" s="31" t="n">
        <v>500000</v>
      </c>
      <c r="M212" s="31" t="n">
        <v>0</v>
      </c>
      <c r="N212" s="31" t="n">
        <v>1922500</v>
      </c>
    </row>
    <row r="213">
      <c r="A213" s="27" t="inlineStr">
        <is>
          <t>65810000</t>
        </is>
      </c>
      <c r="B213" s="28" t="inlineStr">
        <is>
          <t>Cotisation aux unions ou fédération</t>
        </is>
      </c>
      <c r="C213" s="28" t="inlineStr">
        <is>
          <t>65</t>
        </is>
      </c>
      <c r="D213" s="28" t="inlineStr">
        <is>
          <t>Charges</t>
        </is>
      </c>
      <c r="E213" s="28" t="inlineStr">
        <is>
          <t>Charges</t>
        </is>
      </c>
      <c r="F213" s="28" t="inlineStr">
        <is>
          <t>Charges</t>
        </is>
      </c>
      <c r="G213" s="28" t="inlineStr">
        <is>
          <t>CHF, CUP</t>
        </is>
      </c>
      <c r="H213" s="29" t="n">
        <v>0</v>
      </c>
      <c r="I213" s="29" t="n">
        <v>0</v>
      </c>
      <c r="J213" s="29" t="n">
        <v>0</v>
      </c>
      <c r="K213" s="29" t="n">
        <v>0</v>
      </c>
      <c r="L213" s="29" t="n">
        <v>0</v>
      </c>
      <c r="M213" s="29" t="n">
        <v>62500</v>
      </c>
      <c r="N213" s="29" t="n">
        <v>0</v>
      </c>
    </row>
    <row r="214">
      <c r="A214" s="27" t="inlineStr">
        <is>
          <t>65811000</t>
        </is>
      </c>
      <c r="B214" s="30" t="inlineStr">
        <is>
          <t>DOCUMENTATION GENERALE</t>
        </is>
      </c>
      <c r="C214" s="30" t="inlineStr">
        <is>
          <t>65</t>
        </is>
      </c>
      <c r="D214" s="30" t="inlineStr">
        <is>
          <t>Charges</t>
        </is>
      </c>
      <c r="E214" s="30" t="inlineStr">
        <is>
          <t>Charges</t>
        </is>
      </c>
      <c r="F214" s="30" t="inlineStr">
        <is>
          <t>Charges</t>
        </is>
      </c>
      <c r="G214" s="30" t="inlineStr">
        <is>
          <t>CHF, CUP</t>
        </is>
      </c>
      <c r="H214" s="31" t="n">
        <v>748500</v>
      </c>
      <c r="I214" s="31" t="n">
        <v>0</v>
      </c>
      <c r="J214" s="31" t="n">
        <v>0</v>
      </c>
      <c r="K214" s="31" t="n">
        <v>0</v>
      </c>
      <c r="L214" s="31" t="n">
        <v>0</v>
      </c>
      <c r="M214" s="31" t="n">
        <v>0</v>
      </c>
      <c r="N214" s="31" t="n">
        <v>0</v>
      </c>
    </row>
    <row r="215">
      <c r="A215" s="27" t="inlineStr">
        <is>
          <t>65830000</t>
        </is>
      </c>
      <c r="B215" s="28" t="inlineStr">
        <is>
          <t>Dons</t>
        </is>
      </c>
      <c r="C215" s="28" t="inlineStr">
        <is>
          <t>65</t>
        </is>
      </c>
      <c r="D215" s="28" t="inlineStr">
        <is>
          <t>Charges</t>
        </is>
      </c>
      <c r="E215" s="28" t="inlineStr">
        <is>
          <t>Charges</t>
        </is>
      </c>
      <c r="F215" s="28" t="inlineStr">
        <is>
          <t>Charges</t>
        </is>
      </c>
      <c r="G215" s="28" t="inlineStr">
        <is>
          <t>CHF, CUP</t>
        </is>
      </c>
      <c r="H215" s="29" t="n">
        <v>16898100</v>
      </c>
      <c r="I215" s="29" t="n">
        <v>52270446</v>
      </c>
      <c r="J215" s="29" t="n">
        <v>61894670</v>
      </c>
      <c r="K215" s="29" t="n">
        <v>21853600</v>
      </c>
      <c r="L215" s="29" t="n">
        <v>12792675</v>
      </c>
      <c r="M215" s="29" t="n">
        <v>0</v>
      </c>
      <c r="N215" s="29" t="n">
        <v>0</v>
      </c>
    </row>
    <row r="216">
      <c r="A216" s="27" t="inlineStr">
        <is>
          <t>65900000</t>
        </is>
      </c>
      <c r="B216" s="30" t="inlineStr">
        <is>
          <t>Charges prov. d'exploitation</t>
        </is>
      </c>
      <c r="C216" s="30" t="inlineStr">
        <is>
          <t>65</t>
        </is>
      </c>
      <c r="D216" s="30" t="inlineStr">
        <is>
          <t>Charges</t>
        </is>
      </c>
      <c r="E216" s="30" t="inlineStr">
        <is>
          <t>Charges</t>
        </is>
      </c>
      <c r="F216" s="30" t="inlineStr">
        <is>
          <t>Charges</t>
        </is>
      </c>
      <c r="G216" s="30" t="inlineStr">
        <is>
          <t>CHF, CUP</t>
        </is>
      </c>
      <c r="H216" s="31" t="n">
        <v>0</v>
      </c>
      <c r="I216" s="31" t="n">
        <v>55711080</v>
      </c>
      <c r="J216" s="31" t="n">
        <v>0</v>
      </c>
      <c r="K216" s="31" t="n">
        <v>0</v>
      </c>
      <c r="L216" s="31" t="n">
        <v>0</v>
      </c>
      <c r="M216" s="31" t="n">
        <v>0</v>
      </c>
      <c r="N216" s="31" t="n">
        <v>0</v>
      </c>
    </row>
    <row r="217">
      <c r="A217" s="27" t="inlineStr">
        <is>
          <t>66110000</t>
        </is>
      </c>
      <c r="B217" s="28" t="inlineStr">
        <is>
          <t>Appoint. sal. et commissions</t>
        </is>
      </c>
      <c r="C217" s="28" t="inlineStr">
        <is>
          <t>66 Charges de personnel</t>
        </is>
      </c>
      <c r="D217" s="28" t="inlineStr">
        <is>
          <t>Charges</t>
        </is>
      </c>
      <c r="E217" s="28" t="inlineStr">
        <is>
          <t>Charges</t>
        </is>
      </c>
      <c r="F217" s="28" t="inlineStr">
        <is>
          <t>Charges</t>
        </is>
      </c>
      <c r="G217" s="28" t="inlineStr">
        <is>
          <t>CHF, CUP, CHP</t>
        </is>
      </c>
      <c r="H217" s="29" t="n">
        <v>151170536</v>
      </c>
      <c r="I217" s="29" t="n">
        <v>140256707</v>
      </c>
      <c r="J217" s="29" t="n">
        <v>158614759</v>
      </c>
      <c r="K217" s="29" t="n">
        <v>190948594</v>
      </c>
      <c r="L217" s="29" t="n">
        <v>182048780</v>
      </c>
      <c r="M217" s="29" t="n">
        <v>215109030</v>
      </c>
      <c r="N217" s="29" t="n">
        <v>183542938</v>
      </c>
    </row>
    <row r="218">
      <c r="A218" s="27" t="inlineStr">
        <is>
          <t>66120000</t>
        </is>
      </c>
      <c r="B218" s="30" t="inlineStr">
        <is>
          <t>Primes et gratifications</t>
        </is>
      </c>
      <c r="C218" s="30" t="inlineStr">
        <is>
          <t>66 Charges de personnel</t>
        </is>
      </c>
      <c r="D218" s="30" t="inlineStr">
        <is>
          <t>Charges</t>
        </is>
      </c>
      <c r="E218" s="30" t="inlineStr">
        <is>
          <t>Charges</t>
        </is>
      </c>
      <c r="F218" s="30" t="inlineStr">
        <is>
          <t>Charges</t>
        </is>
      </c>
      <c r="G218" s="30" t="inlineStr">
        <is>
          <t>CHF, CUP, CHP</t>
        </is>
      </c>
      <c r="H218" s="31" t="n">
        <v>10206702</v>
      </c>
      <c r="I218" s="31" t="n">
        <v>7043244</v>
      </c>
      <c r="J218" s="31" t="n">
        <v>16250699</v>
      </c>
      <c r="K218" s="31" t="n">
        <v>20747307</v>
      </c>
      <c r="L218" s="31" t="n">
        <v>22591997</v>
      </c>
      <c r="M218" s="31" t="n">
        <v>34543734</v>
      </c>
      <c r="N218" s="31" t="n">
        <v>30075718</v>
      </c>
    </row>
    <row r="219">
      <c r="A219" s="27" t="inlineStr">
        <is>
          <t>66130000</t>
        </is>
      </c>
      <c r="B219" s="28" t="inlineStr">
        <is>
          <t>CONGES PAYES</t>
        </is>
      </c>
      <c r="C219" s="28" t="inlineStr">
        <is>
          <t>66 Charges de personnel</t>
        </is>
      </c>
      <c r="D219" s="28" t="inlineStr">
        <is>
          <t>Charges</t>
        </is>
      </c>
      <c r="E219" s="28" t="inlineStr">
        <is>
          <t>Charges</t>
        </is>
      </c>
      <c r="F219" s="28" t="inlineStr">
        <is>
          <t>Charges</t>
        </is>
      </c>
      <c r="G219" s="28" t="inlineStr">
        <is>
          <t>CHF, CUP, CHP</t>
        </is>
      </c>
      <c r="H219" s="29" t="n">
        <v>28123700</v>
      </c>
      <c r="I219" s="29" t="n">
        <v>19317716</v>
      </c>
      <c r="J219" s="29" t="n">
        <v>22360027</v>
      </c>
      <c r="K219" s="29" t="n">
        <v>30003923</v>
      </c>
      <c r="L219" s="29" t="n">
        <v>31557213</v>
      </c>
      <c r="M219" s="29" t="n">
        <v>38760938</v>
      </c>
      <c r="N219" s="29" t="n">
        <v>12512089</v>
      </c>
    </row>
    <row r="220">
      <c r="A220" s="27" t="inlineStr">
        <is>
          <t>66140000</t>
        </is>
      </c>
      <c r="B220" s="30" t="inlineStr">
        <is>
          <t>INDEMNITE DE LICENCIEMENT</t>
        </is>
      </c>
      <c r="C220" s="30" t="inlineStr">
        <is>
          <t>66 Charges de personnel</t>
        </is>
      </c>
      <c r="D220" s="30" t="inlineStr">
        <is>
          <t>Charges</t>
        </is>
      </c>
      <c r="E220" s="30" t="inlineStr">
        <is>
          <t>Charges</t>
        </is>
      </c>
      <c r="F220" s="30" t="inlineStr">
        <is>
          <t>Charges</t>
        </is>
      </c>
      <c r="G220" s="30" t="inlineStr">
        <is>
          <t>CHF, CUP, CHP</t>
        </is>
      </c>
      <c r="H220" s="31" t="n">
        <v>0</v>
      </c>
      <c r="I220" s="31" t="n">
        <v>0</v>
      </c>
      <c r="J220" s="31" t="n">
        <v>0</v>
      </c>
      <c r="K220" s="31" t="n">
        <v>4226472</v>
      </c>
      <c r="L220" s="31" t="n">
        <v>1224033</v>
      </c>
      <c r="M220" s="31" t="n">
        <v>274479</v>
      </c>
      <c r="N220" s="31" t="n">
        <v>3763005</v>
      </c>
    </row>
    <row r="221">
      <c r="A221" s="27" t="inlineStr">
        <is>
          <t>66140100</t>
        </is>
      </c>
      <c r="B221" s="28" t="inlineStr">
        <is>
          <t>Quote part Ind Licen non Imposable</t>
        </is>
      </c>
      <c r="C221" s="28" t="inlineStr">
        <is>
          <t>66 Charges de personnel</t>
        </is>
      </c>
      <c r="D221" s="28" t="inlineStr">
        <is>
          <t>Charges</t>
        </is>
      </c>
      <c r="E221" s="28" t="inlineStr">
        <is>
          <t>Charges</t>
        </is>
      </c>
      <c r="F221" s="28" t="inlineStr">
        <is>
          <t>Charges</t>
        </is>
      </c>
      <c r="G221" s="28" t="inlineStr">
        <is>
          <t>CHF, CUP, CHP</t>
        </is>
      </c>
      <c r="H221" s="29" t="n">
        <v>0</v>
      </c>
      <c r="I221" s="29" t="n">
        <v>0</v>
      </c>
      <c r="J221" s="29" t="n">
        <v>700654</v>
      </c>
      <c r="K221" s="29" t="n">
        <v>2587261</v>
      </c>
      <c r="L221" s="29" t="n">
        <v>504868</v>
      </c>
      <c r="M221" s="29" t="n">
        <v>274479</v>
      </c>
      <c r="N221" s="29" t="n">
        <v>3763005</v>
      </c>
    </row>
    <row r="222">
      <c r="A222" s="27" t="inlineStr">
        <is>
          <t>66180000</t>
        </is>
      </c>
      <c r="B222" s="30" t="inlineStr">
        <is>
          <t>AUTRES REM. DIRECTES</t>
        </is>
      </c>
      <c r="C222" s="30" t="inlineStr">
        <is>
          <t>66 Charges de personnel</t>
        </is>
      </c>
      <c r="D222" s="30" t="inlineStr">
        <is>
          <t>Charges</t>
        </is>
      </c>
      <c r="E222" s="30" t="inlineStr">
        <is>
          <t>Charges</t>
        </is>
      </c>
      <c r="F222" s="30" t="inlineStr">
        <is>
          <t>Charges</t>
        </is>
      </c>
      <c r="G222" s="30" t="inlineStr">
        <is>
          <t>CHF, CUP, CHP</t>
        </is>
      </c>
      <c r="H222" s="31" t="n">
        <v>100000</v>
      </c>
      <c r="I222" s="31" t="n">
        <v>6375000</v>
      </c>
      <c r="J222" s="31" t="n">
        <v>5100000</v>
      </c>
      <c r="K222" s="31" t="n">
        <v>4500000</v>
      </c>
      <c r="L222" s="31" t="n">
        <v>9236500</v>
      </c>
      <c r="M222" s="31" t="n">
        <v>1668422</v>
      </c>
      <c r="N222" s="31" t="n">
        <v>0</v>
      </c>
    </row>
    <row r="223">
      <c r="A223" s="27" t="inlineStr">
        <is>
          <t>66380000</t>
        </is>
      </c>
      <c r="B223" s="28" t="inlineStr">
        <is>
          <t>Autres indemnités</t>
        </is>
      </c>
      <c r="C223" s="28" t="inlineStr">
        <is>
          <t>66 Charges de personnel</t>
        </is>
      </c>
      <c r="D223" s="28" t="inlineStr">
        <is>
          <t>Charges</t>
        </is>
      </c>
      <c r="E223" s="28" t="inlineStr">
        <is>
          <t>Charges</t>
        </is>
      </c>
      <c r="F223" s="28" t="inlineStr">
        <is>
          <t>Charges</t>
        </is>
      </c>
      <c r="G223" s="28" t="inlineStr">
        <is>
          <t>CHF, CUP, CHP</t>
        </is>
      </c>
      <c r="H223" s="29" t="n">
        <v>14730000</v>
      </c>
      <c r="I223" s="29" t="n">
        <v>14186000</v>
      </c>
      <c r="J223" s="29" t="n">
        <v>16637000</v>
      </c>
      <c r="K223" s="29" t="n">
        <v>19488000</v>
      </c>
      <c r="L223" s="29" t="n">
        <v>19980000</v>
      </c>
      <c r="M223" s="29" t="n">
        <v>23700000</v>
      </c>
      <c r="N223" s="29" t="n">
        <v>19836000</v>
      </c>
    </row>
    <row r="224">
      <c r="A224" s="27" t="inlineStr">
        <is>
          <t>66410000</t>
        </is>
      </c>
      <c r="B224" s="30" t="inlineStr">
        <is>
          <t>CNPS</t>
        </is>
      </c>
      <c r="C224" s="30" t="inlineStr">
        <is>
          <t>66 Charges de personnel</t>
        </is>
      </c>
      <c r="D224" s="30" t="inlineStr">
        <is>
          <t>Charges</t>
        </is>
      </c>
      <c r="E224" s="30" t="inlineStr">
        <is>
          <t>Charges</t>
        </is>
      </c>
      <c r="F224" s="30" t="inlineStr">
        <is>
          <t>Charges</t>
        </is>
      </c>
      <c r="G224" s="30" t="inlineStr">
        <is>
          <t>CHF, CUP, CHP</t>
        </is>
      </c>
      <c r="H224" s="31" t="n">
        <v>17905628</v>
      </c>
      <c r="I224" s="31" t="n">
        <v>16521761</v>
      </c>
      <c r="J224" s="31" t="n">
        <v>18346560</v>
      </c>
      <c r="K224" s="31" t="n">
        <v>23711093</v>
      </c>
      <c r="L224" s="31" t="n">
        <v>22562212</v>
      </c>
      <c r="M224" s="31" t="n">
        <v>26631916</v>
      </c>
      <c r="N224" s="31" t="n">
        <v>18582214</v>
      </c>
    </row>
    <row r="225">
      <c r="A225" s="27" t="inlineStr">
        <is>
          <t>66410001</t>
        </is>
      </c>
      <c r="B225" s="28" t="inlineStr">
        <is>
          <t>CMU</t>
        </is>
      </c>
      <c r="C225" s="28" t="inlineStr">
        <is>
          <t>66 Charges de personnel</t>
        </is>
      </c>
      <c r="D225" s="28" t="inlineStr">
        <is>
          <t>Charges</t>
        </is>
      </c>
      <c r="E225" s="28" t="inlineStr">
        <is>
          <t>Charges</t>
        </is>
      </c>
      <c r="F225" s="28" t="inlineStr">
        <is>
          <t>Charges</t>
        </is>
      </c>
      <c r="G225" s="28" t="inlineStr">
        <is>
          <t>CHF, CUP, CHP</t>
        </is>
      </c>
      <c r="H225" s="29" t="n">
        <v>558500</v>
      </c>
      <c r="I225" s="29" t="n">
        <v>556500</v>
      </c>
      <c r="J225" s="29" t="n">
        <v>524000</v>
      </c>
      <c r="K225" s="29" t="n">
        <v>575000</v>
      </c>
      <c r="L225" s="29" t="n">
        <v>606500</v>
      </c>
      <c r="M225" s="29" t="n">
        <v>680000</v>
      </c>
      <c r="N225" s="29" t="n">
        <v>503500</v>
      </c>
    </row>
    <row r="226">
      <c r="A226" s="27" t="inlineStr">
        <is>
          <t>67120000</t>
        </is>
      </c>
      <c r="B226" s="30" t="inlineStr">
        <is>
          <t>Intérêts emprunt/ets de crédit</t>
        </is>
      </c>
      <c r="C226" s="30" t="inlineStr">
        <is>
          <t>67</t>
        </is>
      </c>
      <c r="D226" s="30" t="inlineStr">
        <is>
          <t>Charges</t>
        </is>
      </c>
      <c r="E226" s="30" t="inlineStr">
        <is>
          <t>Charges</t>
        </is>
      </c>
      <c r="F226" s="30" t="inlineStr">
        <is>
          <t>Charges</t>
        </is>
      </c>
      <c r="G226" s="30" t="inlineStr">
        <is>
          <t>CHF, CUP</t>
        </is>
      </c>
      <c r="H226" s="31" t="n">
        <v>35463376</v>
      </c>
      <c r="I226" s="31" t="n">
        <v>35468912</v>
      </c>
      <c r="J226" s="31" t="n">
        <v>24285162</v>
      </c>
      <c r="K226" s="31" t="n">
        <v>40877098</v>
      </c>
      <c r="L226" s="31" t="n">
        <v>1198476</v>
      </c>
      <c r="M226" s="31" t="n">
        <v>0</v>
      </c>
      <c r="N226" s="31" t="n">
        <v>0</v>
      </c>
    </row>
    <row r="227">
      <c r="A227" s="27" t="inlineStr">
        <is>
          <t>67120001</t>
        </is>
      </c>
      <c r="B227" s="28" t="inlineStr">
        <is>
          <t>Autres interêts debiteurs</t>
        </is>
      </c>
      <c r="C227" s="28" t="inlineStr">
        <is>
          <t>67</t>
        </is>
      </c>
      <c r="D227" s="28" t="inlineStr">
        <is>
          <t>Charges</t>
        </is>
      </c>
      <c r="E227" s="28" t="inlineStr">
        <is>
          <t>Charges</t>
        </is>
      </c>
      <c r="F227" s="28" t="inlineStr">
        <is>
          <t>Charges</t>
        </is>
      </c>
      <c r="G227" s="28" t="inlineStr">
        <is>
          <t>CHF, CUP</t>
        </is>
      </c>
      <c r="H227" s="29" t="n">
        <v>11622258</v>
      </c>
      <c r="I227" s="29" t="n">
        <v>15337903</v>
      </c>
      <c r="J227" s="29" t="n">
        <v>0</v>
      </c>
      <c r="K227" s="29" t="n">
        <v>0</v>
      </c>
      <c r="L227" s="29" t="n">
        <v>153</v>
      </c>
      <c r="M227" s="29" t="n">
        <v>0</v>
      </c>
      <c r="N227" s="29" t="n">
        <v>0</v>
      </c>
    </row>
    <row r="228">
      <c r="A228" s="27" t="inlineStr">
        <is>
          <t>68120000</t>
        </is>
      </c>
      <c r="B228" s="30" t="inlineStr">
        <is>
          <t>DOTATION AUX AMORT. DES IMMO. INCOR</t>
        </is>
      </c>
      <c r="C228" s="30" t="inlineStr">
        <is>
          <t>68</t>
        </is>
      </c>
      <c r="D228" s="30" t="inlineStr">
        <is>
          <t>Charges</t>
        </is>
      </c>
      <c r="E228" s="30" t="inlineStr">
        <is>
          <t>Charges</t>
        </is>
      </c>
      <c r="F228" s="30" t="inlineStr">
        <is>
          <t>Charges</t>
        </is>
      </c>
      <c r="G228" s="30" t="inlineStr">
        <is>
          <t>CHF, CUP</t>
        </is>
      </c>
      <c r="H228" s="31" t="n">
        <v>13635877</v>
      </c>
      <c r="I228" s="31" t="n">
        <v>10853484</v>
      </c>
      <c r="J228" s="31" t="n">
        <v>6273104</v>
      </c>
      <c r="K228" s="31" t="n">
        <v>11204299</v>
      </c>
      <c r="L228" s="31" t="n">
        <v>8696510</v>
      </c>
      <c r="M228" s="31" t="n">
        <v>11779375</v>
      </c>
      <c r="N228" s="31" t="n">
        <v>0</v>
      </c>
    </row>
    <row r="229">
      <c r="A229" s="27" t="inlineStr">
        <is>
          <t>68130000</t>
        </is>
      </c>
      <c r="B229" s="28" t="inlineStr">
        <is>
          <t>DOTATION AMORT IMMOB CORP</t>
        </is>
      </c>
      <c r="C229" s="28" t="inlineStr">
        <is>
          <t>68</t>
        </is>
      </c>
      <c r="D229" s="28" t="inlineStr">
        <is>
          <t>Charges</t>
        </is>
      </c>
      <c r="E229" s="28" t="inlineStr">
        <is>
          <t>Charges</t>
        </is>
      </c>
      <c r="F229" s="28" t="inlineStr">
        <is>
          <t>Charges</t>
        </is>
      </c>
      <c r="G229" s="28" t="inlineStr">
        <is>
          <t>CHF, CUP</t>
        </is>
      </c>
      <c r="H229" s="29" t="n">
        <v>140224511</v>
      </c>
      <c r="I229" s="29" t="n">
        <v>141103535</v>
      </c>
      <c r="J229" s="29" t="n">
        <v>158831393</v>
      </c>
      <c r="K229" s="29" t="n">
        <v>151128783</v>
      </c>
      <c r="L229" s="29" t="n">
        <v>137341160</v>
      </c>
      <c r="M229" s="29" t="n">
        <v>128863711</v>
      </c>
      <c r="N229" s="29" t="n">
        <v>0</v>
      </c>
    </row>
    <row r="230">
      <c r="A230" s="27" t="inlineStr">
        <is>
          <t>69110000</t>
        </is>
      </c>
      <c r="B230" s="30" t="inlineStr">
        <is>
          <t>Dotat aux prov.pr litiges &amp; pension</t>
        </is>
      </c>
      <c r="C230" s="30" t="inlineStr">
        <is>
          <t>69</t>
        </is>
      </c>
      <c r="D230" s="30" t="inlineStr">
        <is>
          <t>Charges</t>
        </is>
      </c>
      <c r="E230" s="30" t="inlineStr">
        <is>
          <t>Charges</t>
        </is>
      </c>
      <c r="F230" s="30" t="inlineStr">
        <is>
          <t>Charges</t>
        </is>
      </c>
      <c r="G230" s="30" t="n"/>
      <c r="H230" s="31" t="n">
        <v>24155943</v>
      </c>
      <c r="I230" s="31" t="n">
        <v>22542542</v>
      </c>
      <c r="J230" s="31" t="n">
        <v>28325794</v>
      </c>
      <c r="K230" s="31" t="n">
        <v>35312179</v>
      </c>
      <c r="L230" s="31" t="n">
        <v>34753547</v>
      </c>
      <c r="M230" s="31" t="n">
        <v>43666678</v>
      </c>
      <c r="N230" s="31" t="n">
        <v>0</v>
      </c>
    </row>
    <row r="231">
      <c r="A231" s="27" t="inlineStr">
        <is>
          <t>70100000</t>
        </is>
      </c>
      <c r="B231" s="28" t="inlineStr">
        <is>
          <t>COTISATIONS MALADIES ACQUISES</t>
        </is>
      </c>
      <c r="C231" s="28" t="inlineStr">
        <is>
          <t>701 Cotisations maladie</t>
        </is>
      </c>
      <c r="D231" s="28" t="inlineStr">
        <is>
          <t>Produits</t>
        </is>
      </c>
      <c r="E231" s="28" t="inlineStr">
        <is>
          <t>Produits</t>
        </is>
      </c>
      <c r="F231" s="28" t="inlineStr">
        <is>
          <t>Produits</t>
        </is>
      </c>
      <c r="G231" s="28" t="inlineStr">
        <is>
          <t>SIN, AUT, EXN, CHF, MSE</t>
        </is>
      </c>
      <c r="H231" s="29" t="n">
        <v>-1641320172</v>
      </c>
      <c r="I231" s="29" t="n">
        <v>-1691332910</v>
      </c>
      <c r="J231" s="29" t="n">
        <v>-1781124043</v>
      </c>
      <c r="K231" s="29" t="n">
        <v>-1935844374</v>
      </c>
      <c r="L231" s="29" t="n">
        <v>-2203312180</v>
      </c>
      <c r="M231" s="29" t="n">
        <v>-2409281030</v>
      </c>
      <c r="N231" s="29" t="n">
        <v>-1688837290</v>
      </c>
    </row>
    <row r="232">
      <c r="A232" s="27" t="inlineStr">
        <is>
          <t>70100001</t>
        </is>
      </c>
      <c r="B232" s="30" t="inlineStr">
        <is>
          <t>Precomptes Maladie MEDOC</t>
        </is>
      </c>
      <c r="C232" s="30" t="inlineStr">
        <is>
          <t>701 Cotisations maladie</t>
        </is>
      </c>
      <c r="D232" s="30" t="inlineStr">
        <is>
          <t>Produits</t>
        </is>
      </c>
      <c r="E232" s="30" t="inlineStr">
        <is>
          <t>Produits</t>
        </is>
      </c>
      <c r="F232" s="30" t="inlineStr">
        <is>
          <t>Produits</t>
        </is>
      </c>
      <c r="G232" s="30" t="inlineStr">
        <is>
          <t>SIN, AUT, EXN, CHF, MSE</t>
        </is>
      </c>
      <c r="H232" s="31" t="n">
        <v>0</v>
      </c>
      <c r="I232" s="31" t="n">
        <v>0</v>
      </c>
      <c r="J232" s="31" t="n">
        <v>0</v>
      </c>
      <c r="K232" s="31" t="n">
        <v>0</v>
      </c>
      <c r="L232" s="31" t="n">
        <v>0</v>
      </c>
      <c r="M232" s="31" t="n">
        <v>0</v>
      </c>
      <c r="N232" s="31" t="n">
        <v>-1170000</v>
      </c>
    </row>
    <row r="233">
      <c r="A233" s="27" t="inlineStr">
        <is>
          <t>70210000</t>
        </is>
      </c>
      <c r="B233" s="28" t="inlineStr">
        <is>
          <t>COTISATIONS DECES-INV. ACQUISES</t>
        </is>
      </c>
      <c r="C233" s="28" t="inlineStr">
        <is>
          <t>702 Cotisations décès</t>
        </is>
      </c>
      <c r="D233" s="28" t="inlineStr">
        <is>
          <t>Produits</t>
        </is>
      </c>
      <c r="E233" s="28" t="inlineStr">
        <is>
          <t>Produits</t>
        </is>
      </c>
      <c r="F233" s="28" t="inlineStr">
        <is>
          <t>Produits</t>
        </is>
      </c>
      <c r="G233" s="28" t="inlineStr">
        <is>
          <t>SIN, AUT, EXN, CHF, MSE</t>
        </is>
      </c>
      <c r="H233" s="29" t="n">
        <v>-703298329</v>
      </c>
      <c r="I233" s="29" t="n">
        <v>-725124908</v>
      </c>
      <c r="J233" s="29" t="n">
        <v>-763338861</v>
      </c>
      <c r="K233" s="29" t="n">
        <v>-829647591</v>
      </c>
      <c r="L233" s="29" t="n">
        <v>-934555069</v>
      </c>
      <c r="M233" s="29" t="n">
        <v>-1008270692</v>
      </c>
      <c r="N233" s="29" t="n">
        <v>-702190056</v>
      </c>
    </row>
    <row r="234">
      <c r="A234" s="27" t="inlineStr">
        <is>
          <t>70220000</t>
        </is>
      </c>
      <c r="B234" s="30" t="inlineStr">
        <is>
          <t>COTISATIONS MEDOC ACQUISES</t>
        </is>
      </c>
      <c r="C234" s="30" t="inlineStr">
        <is>
          <t>702 Cotisations décès</t>
        </is>
      </c>
      <c r="D234" s="30" t="inlineStr">
        <is>
          <t>Produits</t>
        </is>
      </c>
      <c r="E234" s="30" t="inlineStr">
        <is>
          <t>Produits</t>
        </is>
      </c>
      <c r="F234" s="30" t="inlineStr">
        <is>
          <t>Produits</t>
        </is>
      </c>
      <c r="G234" s="30" t="inlineStr">
        <is>
          <t>SIN, AUT, EXN, CHF, MSE</t>
        </is>
      </c>
      <c r="H234" s="31" t="n">
        <v>0</v>
      </c>
      <c r="I234" s="31" t="n">
        <v>0</v>
      </c>
      <c r="J234" s="31" t="n">
        <v>0</v>
      </c>
      <c r="K234" s="31" t="n">
        <v>0</v>
      </c>
      <c r="L234" s="31" t="n">
        <v>0</v>
      </c>
      <c r="M234" s="31" t="n">
        <v>-590000</v>
      </c>
      <c r="N234" s="31" t="n">
        <v>0</v>
      </c>
    </row>
    <row r="235">
      <c r="A235" s="27" t="inlineStr">
        <is>
          <t>70400000</t>
        </is>
      </c>
      <c r="B235" s="28" t="inlineStr">
        <is>
          <t>CARTES D'ACCES AUX SOINS</t>
        </is>
      </c>
      <c r="C235" s="28" t="inlineStr">
        <is>
          <t>704 Autres produits techniques</t>
        </is>
      </c>
      <c r="D235" s="28" t="inlineStr">
        <is>
          <t>Produits</t>
        </is>
      </c>
      <c r="E235" s="28" t="inlineStr">
        <is>
          <t>Produits</t>
        </is>
      </c>
      <c r="F235" s="28" t="inlineStr">
        <is>
          <t>Produits</t>
        </is>
      </c>
      <c r="G235" s="28" t="inlineStr">
        <is>
          <t>SIN, AUT, EXN, CHF, MSE</t>
        </is>
      </c>
      <c r="H235" s="29" t="n">
        <v>-4307300</v>
      </c>
      <c r="I235" s="29" t="n">
        <v>-3203600</v>
      </c>
      <c r="J235" s="29" t="n">
        <v>-7982700</v>
      </c>
      <c r="K235" s="29" t="n">
        <v>-6696500</v>
      </c>
      <c r="L235" s="29" t="n">
        <v>-7743000</v>
      </c>
      <c r="M235" s="29" t="n">
        <v>0</v>
      </c>
      <c r="N235" s="29" t="n">
        <v>0</v>
      </c>
    </row>
    <row r="236">
      <c r="A236" s="27" t="inlineStr">
        <is>
          <t>70410000</t>
        </is>
      </c>
      <c r="B236" s="30" t="inlineStr">
        <is>
          <t>iIndemnité d'assurance</t>
        </is>
      </c>
      <c r="C236" s="30" t="inlineStr">
        <is>
          <t>704 Autres produits techniques</t>
        </is>
      </c>
      <c r="D236" s="30" t="inlineStr">
        <is>
          <t>Produits</t>
        </is>
      </c>
      <c r="E236" s="30" t="inlineStr">
        <is>
          <t>Produits</t>
        </is>
      </c>
      <c r="F236" s="30" t="inlineStr">
        <is>
          <t>Produits</t>
        </is>
      </c>
      <c r="G236" s="30" t="inlineStr">
        <is>
          <t>SIN, AUT, EXN, CHF, MSE</t>
        </is>
      </c>
      <c r="H236" s="31" t="n">
        <v>-1291635</v>
      </c>
      <c r="I236" s="31" t="n">
        <v>-3342815</v>
      </c>
      <c r="J236" s="31" t="n">
        <v>-2594538</v>
      </c>
      <c r="K236" s="31" t="n">
        <v>-1294383</v>
      </c>
      <c r="L236" s="31" t="n">
        <v>0</v>
      </c>
      <c r="M236" s="31" t="n">
        <v>0</v>
      </c>
      <c r="N236" s="31" t="n">
        <v>0</v>
      </c>
    </row>
    <row r="237">
      <c r="A237" s="27" t="inlineStr">
        <is>
          <t>70480000</t>
        </is>
      </c>
      <c r="B237" s="28" t="inlineStr">
        <is>
          <t>Autres produits accessoires</t>
        </is>
      </c>
      <c r="C237" s="28" t="inlineStr">
        <is>
          <t>704 Autres produits techniques</t>
        </is>
      </c>
      <c r="D237" s="28" t="inlineStr">
        <is>
          <t>Produits</t>
        </is>
      </c>
      <c r="E237" s="28" t="inlineStr">
        <is>
          <t>Produits</t>
        </is>
      </c>
      <c r="F237" s="28" t="inlineStr">
        <is>
          <t>Produits</t>
        </is>
      </c>
      <c r="G237" s="28" t="inlineStr">
        <is>
          <t>SIN, AUT, EXN, CHF, MSE</t>
        </is>
      </c>
      <c r="H237" s="29" t="n">
        <v>0</v>
      </c>
      <c r="I237" s="29" t="n">
        <v>-200000</v>
      </c>
      <c r="J237" s="29" t="n">
        <v>0</v>
      </c>
      <c r="K237" s="29" t="n">
        <v>0</v>
      </c>
      <c r="L237" s="29" t="n">
        <v>0</v>
      </c>
      <c r="M237" s="29" t="n">
        <v>0</v>
      </c>
      <c r="N237" s="29" t="n">
        <v>0</v>
      </c>
    </row>
    <row r="238">
      <c r="A238" s="27" t="inlineStr">
        <is>
          <t>71800000</t>
        </is>
      </c>
      <c r="B238" s="30" t="inlineStr">
        <is>
          <t>Produits des activités annexes</t>
        </is>
      </c>
      <c r="C238" s="30" t="inlineStr">
        <is>
          <t>71</t>
        </is>
      </c>
      <c r="D238" s="30" t="inlineStr">
        <is>
          <t>Produits</t>
        </is>
      </c>
      <c r="E238" s="30" t="inlineStr">
        <is>
          <t>Produits</t>
        </is>
      </c>
      <c r="F238" s="30" t="inlineStr">
        <is>
          <t>Produits</t>
        </is>
      </c>
      <c r="G238" s="30" t="n"/>
      <c r="H238" s="31" t="n">
        <v>0</v>
      </c>
      <c r="I238" s="31" t="n">
        <v>0</v>
      </c>
      <c r="J238" s="31" t="n">
        <v>-11250000</v>
      </c>
      <c r="K238" s="31" t="n">
        <v>-6024011</v>
      </c>
      <c r="L238" s="31" t="n">
        <v>-3676481</v>
      </c>
      <c r="M238" s="31" t="n">
        <v>-43668069</v>
      </c>
      <c r="N238" s="31" t="n">
        <v>-932138</v>
      </c>
    </row>
    <row r="239">
      <c r="A239" s="27" t="inlineStr">
        <is>
          <t>71800001</t>
        </is>
      </c>
      <c r="B239" s="28" t="inlineStr">
        <is>
          <t>REVENUS DES CARTES D'ACCES AUX SOIN</t>
        </is>
      </c>
      <c r="C239" s="28" t="inlineStr">
        <is>
          <t>71</t>
        </is>
      </c>
      <c r="D239" s="28" t="inlineStr">
        <is>
          <t>Produits</t>
        </is>
      </c>
      <c r="E239" s="28" t="inlineStr">
        <is>
          <t>Produits</t>
        </is>
      </c>
      <c r="F239" s="28" t="inlineStr">
        <is>
          <t>Produits</t>
        </is>
      </c>
      <c r="G239" s="28" t="n"/>
      <c r="H239" s="29" t="n">
        <v>0</v>
      </c>
      <c r="I239" s="29" t="n">
        <v>0</v>
      </c>
      <c r="J239" s="29" t="n">
        <v>0</v>
      </c>
      <c r="K239" s="29" t="n">
        <v>0</v>
      </c>
      <c r="L239" s="29" t="n">
        <v>0</v>
      </c>
      <c r="M239" s="29" t="n">
        <v>-11685000</v>
      </c>
      <c r="N239" s="29" t="n">
        <v>-8809000</v>
      </c>
    </row>
    <row r="240">
      <c r="A240" s="27" t="inlineStr">
        <is>
          <t>71810000</t>
        </is>
      </c>
      <c r="B240" s="30" t="inlineStr">
        <is>
          <t>Revenus des immeubles de rapport</t>
        </is>
      </c>
      <c r="C240" s="30" t="inlineStr">
        <is>
          <t>71</t>
        </is>
      </c>
      <c r="D240" s="30" t="inlineStr">
        <is>
          <t>Produits</t>
        </is>
      </c>
      <c r="E240" s="30" t="inlineStr">
        <is>
          <t>Produits</t>
        </is>
      </c>
      <c r="F240" s="30" t="inlineStr">
        <is>
          <t>Produits</t>
        </is>
      </c>
      <c r="G240" s="30" t="n"/>
      <c r="H240" s="31" t="n">
        <v>0</v>
      </c>
      <c r="I240" s="31" t="n">
        <v>0</v>
      </c>
      <c r="J240" s="31" t="n">
        <v>-13448000</v>
      </c>
      <c r="K240" s="31" t="n">
        <v>-12901500</v>
      </c>
      <c r="L240" s="31" t="n">
        <v>-15809664</v>
      </c>
      <c r="M240" s="31" t="n">
        <v>-10614764</v>
      </c>
      <c r="N240" s="31" t="n">
        <v>-5579832</v>
      </c>
    </row>
    <row r="241">
      <c r="A241" s="27" t="inlineStr">
        <is>
          <t>71830000</t>
        </is>
      </c>
      <c r="B241" s="28" t="inlineStr">
        <is>
          <t>Indemnité d'assurance reçue(Débours</t>
        </is>
      </c>
      <c r="C241" s="28" t="inlineStr">
        <is>
          <t>71</t>
        </is>
      </c>
      <c r="D241" s="28" t="inlineStr">
        <is>
          <t>Produits</t>
        </is>
      </c>
      <c r="E241" s="28" t="inlineStr">
        <is>
          <t>Produits</t>
        </is>
      </c>
      <c r="F241" s="28" t="inlineStr">
        <is>
          <t>Produits</t>
        </is>
      </c>
      <c r="G241" s="28" t="n"/>
      <c r="H241" s="29" t="n">
        <v>0</v>
      </c>
      <c r="I241" s="29" t="n">
        <v>0</v>
      </c>
      <c r="J241" s="29" t="n">
        <v>0</v>
      </c>
      <c r="K241" s="29" t="n">
        <v>0</v>
      </c>
      <c r="L241" s="29" t="n">
        <v>0</v>
      </c>
      <c r="M241" s="29" t="n">
        <v>-289604</v>
      </c>
      <c r="N241" s="29" t="n">
        <v>0</v>
      </c>
    </row>
    <row r="242">
      <c r="A242" s="27" t="inlineStr">
        <is>
          <t>75940000</t>
        </is>
      </c>
      <c r="B242" s="30" t="inlineStr">
        <is>
          <t>REPRISE  CHARGE PROVISIONNE SUR CR</t>
        </is>
      </c>
      <c r="C242" s="30" t="inlineStr">
        <is>
          <t>75</t>
        </is>
      </c>
      <c r="D242" s="30" t="inlineStr">
        <is>
          <t>Produits</t>
        </is>
      </c>
      <c r="E242" s="30" t="inlineStr">
        <is>
          <t>Produits</t>
        </is>
      </c>
      <c r="F242" s="30" t="inlineStr">
        <is>
          <t>Produits</t>
        </is>
      </c>
      <c r="G242" s="30" t="n"/>
      <c r="H242" s="31" t="n">
        <v>0</v>
      </c>
      <c r="I242" s="31" t="n">
        <v>0</v>
      </c>
      <c r="J242" s="31" t="n">
        <v>-55711080</v>
      </c>
      <c r="K242" s="31" t="n">
        <v>0</v>
      </c>
      <c r="L242" s="31" t="n">
        <v>0</v>
      </c>
      <c r="M242" s="31" t="n">
        <v>0</v>
      </c>
      <c r="N242" s="31" t="n">
        <v>0</v>
      </c>
    </row>
    <row r="243">
      <c r="A243" s="27" t="inlineStr">
        <is>
          <t>77100100</t>
        </is>
      </c>
      <c r="B243" s="28" t="inlineStr">
        <is>
          <t>INTERETS/PRET SCOLAIRE</t>
        </is>
      </c>
      <c r="C243" s="28" t="inlineStr">
        <is>
          <t>77 Revenus financiers</t>
        </is>
      </c>
      <c r="D243" s="28" t="inlineStr">
        <is>
          <t>Produits</t>
        </is>
      </c>
      <c r="E243" s="28" t="inlineStr">
        <is>
          <t>Produits</t>
        </is>
      </c>
      <c r="F243" s="28" t="inlineStr">
        <is>
          <t>Produits</t>
        </is>
      </c>
      <c r="G243" s="28" t="n"/>
      <c r="H243" s="29" t="n">
        <v>-7245</v>
      </c>
      <c r="I243" s="29" t="n">
        <v>0</v>
      </c>
      <c r="J243" s="29" t="n">
        <v>0</v>
      </c>
      <c r="K243" s="29" t="n">
        <v>0</v>
      </c>
      <c r="L243" s="29" t="n">
        <v>0</v>
      </c>
      <c r="M243" s="29" t="n">
        <v>0</v>
      </c>
      <c r="N243" s="29" t="n">
        <v>0</v>
      </c>
    </row>
    <row r="244">
      <c r="A244" s="27" t="inlineStr">
        <is>
          <t>77100200</t>
        </is>
      </c>
      <c r="B244" s="30" t="inlineStr">
        <is>
          <t>INTERET/ PRET EQUIPEMENT</t>
        </is>
      </c>
      <c r="C244" s="30" t="inlineStr">
        <is>
          <t>77 Revenus financiers</t>
        </is>
      </c>
      <c r="D244" s="30" t="inlineStr">
        <is>
          <t>Produits</t>
        </is>
      </c>
      <c r="E244" s="30" t="inlineStr">
        <is>
          <t>Produits</t>
        </is>
      </c>
      <c r="F244" s="30" t="inlineStr">
        <is>
          <t>Produits</t>
        </is>
      </c>
      <c r="G244" s="30" t="n"/>
      <c r="H244" s="31" t="n">
        <v>-31106</v>
      </c>
      <c r="I244" s="31" t="n">
        <v>-36020</v>
      </c>
      <c r="J244" s="31" t="n">
        <v>-145404</v>
      </c>
      <c r="K244" s="31" t="n">
        <v>-30702</v>
      </c>
      <c r="L244" s="31" t="n">
        <v>0</v>
      </c>
      <c r="M244" s="31" t="n">
        <v>0</v>
      </c>
      <c r="N244" s="31" t="n">
        <v>0</v>
      </c>
    </row>
    <row r="245">
      <c r="A245" s="27" t="inlineStr">
        <is>
          <t>77110000</t>
        </is>
      </c>
      <c r="B245" s="28" t="inlineStr">
        <is>
          <t>Intérêts/DAT</t>
        </is>
      </c>
      <c r="C245" s="28" t="inlineStr">
        <is>
          <t>77 Revenus financiers</t>
        </is>
      </c>
      <c r="D245" s="28" t="inlineStr">
        <is>
          <t>Produits</t>
        </is>
      </c>
      <c r="E245" s="28" t="inlineStr">
        <is>
          <t>Produits</t>
        </is>
      </c>
      <c r="F245" s="28" t="inlineStr">
        <is>
          <t>Produits</t>
        </is>
      </c>
      <c r="G245" s="28" t="n"/>
      <c r="H245" s="29" t="n">
        <v>114130631</v>
      </c>
      <c r="I245" s="29" t="n">
        <v>-16461517</v>
      </c>
      <c r="J245" s="29" t="n">
        <v>-7113012</v>
      </c>
      <c r="K245" s="29" t="n">
        <v>-7094076</v>
      </c>
      <c r="L245" s="29" t="n">
        <v>-9176280</v>
      </c>
      <c r="M245" s="29" t="n">
        <v>-117912488</v>
      </c>
      <c r="N245" s="29" t="n">
        <v>-5541804</v>
      </c>
    </row>
    <row r="246">
      <c r="A246" s="27" t="inlineStr">
        <is>
          <t>77120000</t>
        </is>
      </c>
      <c r="B246" s="30" t="inlineStr">
        <is>
          <t>AUTRES INTERETS</t>
        </is>
      </c>
      <c r="C246" s="30" t="inlineStr">
        <is>
          <t>77 Revenus financiers</t>
        </is>
      </c>
      <c r="D246" s="30" t="inlineStr">
        <is>
          <t>Produits</t>
        </is>
      </c>
      <c r="E246" s="30" t="inlineStr">
        <is>
          <t>Produits</t>
        </is>
      </c>
      <c r="F246" s="30" t="inlineStr">
        <is>
          <t>Produits</t>
        </is>
      </c>
      <c r="G246" s="30" t="n"/>
      <c r="H246" s="31" t="n">
        <v>0</v>
      </c>
      <c r="I246" s="31" t="n">
        <v>-15911817</v>
      </c>
      <c r="J246" s="31" t="n">
        <v>0</v>
      </c>
      <c r="K246" s="31" t="n">
        <v>0</v>
      </c>
      <c r="L246" s="31" t="n">
        <v>0</v>
      </c>
      <c r="M246" s="31" t="n">
        <v>0</v>
      </c>
      <c r="N246" s="31" t="n">
        <v>0</v>
      </c>
    </row>
    <row r="247">
      <c r="A247" s="27" t="inlineStr">
        <is>
          <t>77400100</t>
        </is>
      </c>
      <c r="B247" s="28" t="inlineStr">
        <is>
          <t>INTERET/DAT FPPN</t>
        </is>
      </c>
      <c r="C247" s="28" t="inlineStr">
        <is>
          <t>77 Revenus financiers</t>
        </is>
      </c>
      <c r="D247" s="28" t="inlineStr">
        <is>
          <t>Produits</t>
        </is>
      </c>
      <c r="E247" s="28" t="inlineStr">
        <is>
          <t>Produits</t>
        </is>
      </c>
      <c r="F247" s="28" t="inlineStr">
        <is>
          <t>Produits</t>
        </is>
      </c>
      <c r="G247" s="28" t="n"/>
      <c r="H247" s="29" t="n">
        <v>-69814798</v>
      </c>
      <c r="I247" s="29" t="n">
        <v>0</v>
      </c>
      <c r="J247" s="29" t="n">
        <v>0</v>
      </c>
      <c r="K247" s="29" t="n">
        <v>0</v>
      </c>
      <c r="L247" s="29" t="n">
        <v>0</v>
      </c>
      <c r="M247" s="29" t="n">
        <v>0</v>
      </c>
      <c r="N247" s="29" t="n">
        <v>0</v>
      </c>
    </row>
    <row r="248">
      <c r="A248" s="27" t="inlineStr">
        <is>
          <t>77400200</t>
        </is>
      </c>
      <c r="B248" s="30" t="inlineStr">
        <is>
          <t>INTERETS/DAT PEP</t>
        </is>
      </c>
      <c r="C248" s="30" t="inlineStr">
        <is>
          <t>77 Revenus financiers</t>
        </is>
      </c>
      <c r="D248" s="30" t="inlineStr">
        <is>
          <t>Produits</t>
        </is>
      </c>
      <c r="E248" s="30" t="inlineStr">
        <is>
          <t>Produits</t>
        </is>
      </c>
      <c r="F248" s="30" t="inlineStr">
        <is>
          <t>Produits</t>
        </is>
      </c>
      <c r="G248" s="30" t="n"/>
      <c r="H248" s="31" t="n">
        <v>-105125413</v>
      </c>
      <c r="I248" s="31" t="n">
        <v>0</v>
      </c>
      <c r="J248" s="31" t="n">
        <v>0</v>
      </c>
      <c r="K248" s="31" t="n">
        <v>0</v>
      </c>
      <c r="L248" s="31" t="n">
        <v>0</v>
      </c>
      <c r="M248" s="31" t="n">
        <v>0</v>
      </c>
      <c r="N248" s="31" t="n">
        <v>0</v>
      </c>
    </row>
    <row r="249">
      <c r="A249" s="27" t="inlineStr">
        <is>
          <t>78100000</t>
        </is>
      </c>
      <c r="B249" s="28" t="inlineStr">
        <is>
          <t>Transfert de charges d'exploitation</t>
        </is>
      </c>
      <c r="C249" s="28" t="inlineStr">
        <is>
          <t>78</t>
        </is>
      </c>
      <c r="D249" s="28" t="inlineStr">
        <is>
          <t>Produits</t>
        </is>
      </c>
      <c r="E249" s="28" t="inlineStr">
        <is>
          <t>Produits</t>
        </is>
      </c>
      <c r="F249" s="28" t="inlineStr">
        <is>
          <t>Produits</t>
        </is>
      </c>
      <c r="G249" s="28" t="n"/>
      <c r="H249" s="29" t="n">
        <v>0</v>
      </c>
      <c r="I249" s="29" t="n">
        <v>-263020812</v>
      </c>
      <c r="J249" s="29" t="n">
        <v>-858266268</v>
      </c>
      <c r="K249" s="29" t="n">
        <v>-25900374</v>
      </c>
      <c r="L249" s="29" t="n">
        <v>0</v>
      </c>
      <c r="M249" s="29" t="n">
        <v>-19568150</v>
      </c>
      <c r="N249" s="29" t="n">
        <v>0</v>
      </c>
    </row>
    <row r="250">
      <c r="A250" s="27" t="inlineStr">
        <is>
          <t>79110000</t>
        </is>
      </c>
      <c r="B250" s="30" t="inlineStr">
        <is>
          <t>Rep. des prov. pr litiges &amp; pension</t>
        </is>
      </c>
      <c r="C250" s="30" t="inlineStr">
        <is>
          <t>79</t>
        </is>
      </c>
      <c r="D250" s="30" t="inlineStr">
        <is>
          <t>Produits</t>
        </is>
      </c>
      <c r="E250" s="30" t="inlineStr">
        <is>
          <t>Produits</t>
        </is>
      </c>
      <c r="F250" s="30" t="inlineStr">
        <is>
          <t>Produits</t>
        </is>
      </c>
      <c r="G250" s="30" t="n"/>
      <c r="H250" s="31" t="n">
        <v>-21855876</v>
      </c>
      <c r="I250" s="31" t="n">
        <v>-24155943</v>
      </c>
      <c r="J250" s="31" t="n">
        <v>-22542542</v>
      </c>
      <c r="K250" s="31" t="n">
        <v>-28325794</v>
      </c>
      <c r="L250" s="31" t="n">
        <v>-35312179</v>
      </c>
      <c r="M250" s="31" t="n">
        <v>-34753547</v>
      </c>
      <c r="N250" s="31" t="n">
        <v>0</v>
      </c>
    </row>
    <row r="251">
      <c r="A251" s="27" t="inlineStr">
        <is>
          <t>79710000</t>
        </is>
      </c>
      <c r="B251" s="28" t="inlineStr">
        <is>
          <t>Rep. des prov. fi,anc pr rosq &amp; chg</t>
        </is>
      </c>
      <c r="C251" s="28" t="inlineStr">
        <is>
          <t>79</t>
        </is>
      </c>
      <c r="D251" s="28" t="inlineStr">
        <is>
          <t>Produits</t>
        </is>
      </c>
      <c r="E251" s="28" t="inlineStr">
        <is>
          <t>Produits</t>
        </is>
      </c>
      <c r="F251" s="28" t="inlineStr">
        <is>
          <t>Produits</t>
        </is>
      </c>
      <c r="G251" s="28" t="n"/>
      <c r="H251" s="29" t="n">
        <v>-13850902</v>
      </c>
      <c r="I251" s="29" t="n">
        <v>-7217174</v>
      </c>
      <c r="J251" s="29" t="n">
        <v>-5420843</v>
      </c>
      <c r="K251" s="29" t="n">
        <v>-14459973</v>
      </c>
      <c r="L251" s="29" t="n">
        <v>-11761400</v>
      </c>
      <c r="M251" s="29" t="n">
        <v>-14866521</v>
      </c>
      <c r="N251" s="29" t="n">
        <v>0</v>
      </c>
    </row>
    <row r="252">
      <c r="A252" s="27" t="inlineStr">
        <is>
          <t>81200000</t>
        </is>
      </c>
      <c r="B252" s="30" t="inlineStr">
        <is>
          <t>Immobilisations corporelles</t>
        </is>
      </c>
      <c r="C252" s="30" t="inlineStr">
        <is>
          <t>81</t>
        </is>
      </c>
      <c r="D252" s="30" t="inlineStr">
        <is>
          <t>Hors activités ordinaires</t>
        </is>
      </c>
      <c r="E252" s="30" t="inlineStr">
        <is>
          <t>HAO</t>
        </is>
      </c>
      <c r="F252" s="30" t="inlineStr">
        <is>
          <t>HAO</t>
        </is>
      </c>
      <c r="G252" s="30" t="n"/>
      <c r="H252" s="31" t="n">
        <v>280126230</v>
      </c>
      <c r="I252" s="31" t="n">
        <v>487531124</v>
      </c>
      <c r="J252" s="31" t="n">
        <v>0</v>
      </c>
      <c r="K252" s="31" t="n">
        <v>27807074</v>
      </c>
      <c r="L252" s="31" t="n">
        <v>0</v>
      </c>
      <c r="M252" s="31" t="n">
        <v>0</v>
      </c>
      <c r="N252" s="31" t="n">
        <v>0</v>
      </c>
    </row>
    <row r="253">
      <c r="A253" s="27" t="inlineStr">
        <is>
          <t>82200000</t>
        </is>
      </c>
      <c r="B253" s="28" t="inlineStr">
        <is>
          <t>Immobilisations corporelles</t>
        </is>
      </c>
      <c r="C253" s="28" t="inlineStr">
        <is>
          <t>82</t>
        </is>
      </c>
      <c r="D253" s="28" t="inlineStr">
        <is>
          <t>Hors activités ordinaires</t>
        </is>
      </c>
      <c r="E253" s="28" t="inlineStr">
        <is>
          <t>HAO</t>
        </is>
      </c>
      <c r="F253" s="28" t="inlineStr">
        <is>
          <t>HAO</t>
        </is>
      </c>
      <c r="G253" s="28" t="n"/>
      <c r="H253" s="29" t="n">
        <v>-1368000000</v>
      </c>
      <c r="I253" s="29" t="n">
        <v>-1476310000</v>
      </c>
      <c r="J253" s="29" t="n">
        <v>-1000000</v>
      </c>
      <c r="K253" s="29" t="n">
        <v>-12800000</v>
      </c>
      <c r="L253" s="29" t="n">
        <v>-2500000</v>
      </c>
      <c r="M253" s="29" t="n">
        <v>-10000000</v>
      </c>
      <c r="N253" s="29" t="n">
        <v>0</v>
      </c>
    </row>
    <row r="254">
      <c r="A254" s="27" t="inlineStr">
        <is>
          <t>83100000</t>
        </is>
      </c>
      <c r="B254" s="30" t="inlineStr">
        <is>
          <t>Charges HAO constatées</t>
        </is>
      </c>
      <c r="C254" s="30" t="inlineStr">
        <is>
          <t>83</t>
        </is>
      </c>
      <c r="D254" s="30" t="inlineStr">
        <is>
          <t>Hors activités ordinaires</t>
        </is>
      </c>
      <c r="E254" s="30" t="inlineStr">
        <is>
          <t>HAO</t>
        </is>
      </c>
      <c r="F254" s="30" t="inlineStr">
        <is>
          <t>HAO</t>
        </is>
      </c>
      <c r="G254" s="30" t="n"/>
      <c r="H254" s="31" t="n">
        <v>400000000</v>
      </c>
      <c r="I254" s="31" t="n">
        <v>0</v>
      </c>
      <c r="J254" s="31" t="n">
        <v>0</v>
      </c>
      <c r="K254" s="31" t="n">
        <v>0</v>
      </c>
      <c r="L254" s="31" t="n">
        <v>0</v>
      </c>
      <c r="M254" s="31" t="n">
        <v>0</v>
      </c>
      <c r="N254" s="31" t="n">
        <v>0</v>
      </c>
    </row>
    <row r="255">
      <c r="A255" s="27" t="inlineStr">
        <is>
          <t>84100000</t>
        </is>
      </c>
      <c r="B255" s="28" t="inlineStr">
        <is>
          <t>Produits HAO constatés</t>
        </is>
      </c>
      <c r="C255" s="28" t="inlineStr">
        <is>
          <t>84</t>
        </is>
      </c>
      <c r="D255" s="28" t="inlineStr">
        <is>
          <t>Hors activités ordinaires</t>
        </is>
      </c>
      <c r="E255" s="28" t="inlineStr">
        <is>
          <t>HAO</t>
        </is>
      </c>
      <c r="F255" s="28" t="inlineStr">
        <is>
          <t>HAO</t>
        </is>
      </c>
      <c r="G255" s="28" t="n"/>
      <c r="H255" s="29" t="n">
        <v>-103799560</v>
      </c>
      <c r="I255" s="29" t="n">
        <v>-24713500</v>
      </c>
      <c r="J255" s="29" t="n">
        <v>0</v>
      </c>
      <c r="K255" s="29" t="n">
        <v>-37160818</v>
      </c>
      <c r="L255" s="29" t="n">
        <v>-6543390</v>
      </c>
      <c r="M255" s="29" t="n">
        <v>-6831858</v>
      </c>
      <c r="N255" s="29" t="n">
        <v>0</v>
      </c>
    </row>
    <row r="256">
      <c r="A256" s="27" t="inlineStr">
        <is>
          <t>84500000</t>
        </is>
      </c>
      <c r="B256" s="30" t="inlineStr">
        <is>
          <t>DONS ET LIBERALITES OBTENUS</t>
        </is>
      </c>
      <c r="C256" s="30" t="inlineStr">
        <is>
          <t>84</t>
        </is>
      </c>
      <c r="D256" s="30" t="inlineStr">
        <is>
          <t>Hors activités ordinaires</t>
        </is>
      </c>
      <c r="E256" s="30" t="inlineStr">
        <is>
          <t>HAO</t>
        </is>
      </c>
      <c r="F256" s="30" t="inlineStr">
        <is>
          <t>HAO</t>
        </is>
      </c>
      <c r="G256" s="30" t="n"/>
      <c r="H256" s="31" t="n">
        <v>0</v>
      </c>
      <c r="I256" s="31" t="n">
        <v>-11000000</v>
      </c>
      <c r="J256" s="31" t="n">
        <v>0</v>
      </c>
      <c r="K256" s="31" t="n">
        <v>0</v>
      </c>
      <c r="L256" s="31" t="n">
        <v>0</v>
      </c>
      <c r="M256" s="31" t="n">
        <v>0</v>
      </c>
      <c r="N256" s="31" t="n">
        <v>0</v>
      </c>
    </row>
    <row r="257"/>
    <row r="258">
      <c r="A258" s="14" t="inlineStr">
        <is>
          <t>Source : balances des comptes du FPPN (Sage 100), 2020 au 31/08/2026 (2026 provisoire) ; traitements Adenka ; PCMS (mai 2012)</t>
        </is>
      </c>
    </row>
  </sheetData>
  <mergeCells count="6">
    <mergeCell ref="B5:N5"/>
    <mergeCell ref="B4:N4"/>
    <mergeCell ref="B7:N7"/>
    <mergeCell ref="B6:N6"/>
    <mergeCell ref="B3:N3"/>
    <mergeCell ref="B2:N2"/>
  </mergeCells>
  <pageMargins left="0.75" right="0.75" top="1" bottom="1" header="0.5" footer="0.5"/>
  <pageSetup orientation="landscape" fitToHeight="0" fitToWidth="1"/>
</worksheet>
</file>

<file path=xl/worksheets/sheet39.xml><?xml version="1.0" encoding="utf-8"?>
<worksheet xmlns="http://schemas.openxmlformats.org/spreadsheetml/2006/main">
  <sheetPr>
    <tabColor rgb="00112A40"/>
    <outlinePr summaryBelow="1" summaryRight="1"/>
    <pageSetUpPr fitToPage="1"/>
  </sheetPr>
  <dimension ref="A1:N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5.1" customWidth="1" min="2" max="2"/>
    <col width="25.1" customWidth="1" min="3" max="3"/>
    <col width="15.65" customWidth="1" min="4" max="4"/>
    <col width="25.1" customWidth="1" min="5" max="5"/>
    <col width="23" customWidth="1" min="6" max="6"/>
    <col width="25.1" customWidth="1" min="7" max="7"/>
    <col width="21.95" customWidth="1" min="8" max="8"/>
    <col width="25.1" customWidth="1" min="9" max="9"/>
    <col width="23" customWidth="1" min="10" max="10"/>
    <col width="25.1" customWidth="1" min="11" max="11"/>
    <col width="18.8" customWidth="1" min="12" max="12"/>
    <col width="11.45" customWidth="1" min="13" max="13"/>
    <col width="25.1" customWidth="1" min="14" max="14"/>
  </cols>
  <sheetData>
    <row r="1">
      <c r="A1" s="7" t="inlineStr">
        <is>
          <t>Tableau : Marge de solvabilité exigée et disponible</t>
        </is>
      </c>
    </row>
    <row r="2" ht="15" customHeight="1">
      <c r="A2" s="25" t="inlineStr">
        <is>
          <t>À quoi sert cet onglet</t>
        </is>
      </c>
      <c r="B2" s="26" t="inlineStr">
        <is>
          <t>Calculer la marge de solvabilité exigée et disponible.</t>
        </is>
      </c>
    </row>
    <row r="3" ht="62.5" customHeight="1">
      <c r="A3" s="25" t="inlineStr">
        <is>
          <t>D'où viennent les chiffres</t>
        </is>
      </c>
      <c r="B3" s="26"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50" customHeight="1">
      <c r="A4" s="25" t="inlineStr">
        <is>
          <t>Comment le calcul est fait</t>
        </is>
      </c>
      <c r="B4" s="26" t="inlineStr">
        <is>
          <t>Marge exigée = le plus grand de 18 % des cotisations ou 26 % des prestations maladie moyennes de trois ans. Marge disponible = réserves (106, 111, 1188) + fonds d'établissement, avec ou sans déduction des pertes reportées (129). Ratio = disponible / exigée. Les valeurs sont calculées par les scripts de la mission et collées ici ; la formule de chaque colonne est donnée dans « Comment le calcul est fait ».</t>
        </is>
      </c>
    </row>
    <row r="5" ht="15" customHeight="1">
      <c r="A5" s="25" t="inlineStr">
        <is>
          <t>Comment lire le résultat</t>
        </is>
      </c>
      <c r="B5" s="26" t="inlineStr">
        <is>
          <t>Un ratio inférieur à 1 signifie que les ressources propres ne couvrent pas l'exigence.</t>
        </is>
      </c>
    </row>
    <row r="6" ht="15" customHeight="1">
      <c r="A6" s="25" t="inlineStr">
        <is>
          <t>Valable pour</t>
        </is>
      </c>
      <c r="B6" s="26" t="inlineStr">
        <is>
          <t>2020 à 2026.</t>
        </is>
      </c>
    </row>
    <row r="7" ht="15" customHeight="1">
      <c r="A7" s="25" t="inlineStr">
        <is>
          <t>Limites</t>
        </is>
      </c>
      <c r="B7" s="26" t="inlineStr">
        <is>
          <t>Deux lectures selon le traitement des pertes reportées.</t>
        </is>
      </c>
    </row>
    <row r="8"/>
    <row r="9"/>
    <row r="10" ht="30" customHeight="1">
      <c r="A10" s="8" t="inlineStr">
        <is>
          <t>Exercice</t>
        </is>
      </c>
      <c r="B10" s="8" t="inlineStr">
        <is>
          <t>Exigée 18pc cotisations n 1</t>
        </is>
      </c>
      <c r="C10" s="8" t="inlineStr">
        <is>
          <t>Exigée 26pc prestations maladie 3ans</t>
        </is>
      </c>
      <c r="D10" s="8" t="inlineStr">
        <is>
          <t>Marge exigée</t>
        </is>
      </c>
      <c r="E10" s="8" t="inlineStr">
        <is>
          <t>Réserve obligatoire 111</t>
        </is>
      </c>
      <c r="F10" s="8" t="inlineStr">
        <is>
          <t>Réserves libres 1188</t>
        </is>
      </c>
      <c r="G10" s="8" t="inlineStr">
        <is>
          <t>Réserve disponible 106</t>
        </is>
      </c>
      <c r="H10" s="8" t="inlineStr">
        <is>
          <t>Fonds etablissement</t>
        </is>
      </c>
      <c r="I10" s="8" t="inlineStr">
        <is>
          <t>Marge disponible comme FPPN</t>
        </is>
      </c>
      <c r="J10" s="8" t="inlineStr">
        <is>
          <t>Pertes reportees 129</t>
        </is>
      </c>
      <c r="K10" s="8" t="inlineStr">
        <is>
          <t>Marge disponible nette</t>
        </is>
      </c>
      <c r="L10" s="8" t="inlineStr">
        <is>
          <t>Ratio comme FPPN</t>
        </is>
      </c>
      <c r="M10" s="8" t="inlineStr">
        <is>
          <t>Ratio net</t>
        </is>
      </c>
      <c r="N10" s="8" t="inlineStr">
        <is>
          <t>Fonds etablissement minimum</t>
        </is>
      </c>
    </row>
    <row r="11">
      <c r="A11" s="34" t="n">
        <v>2020</v>
      </c>
      <c r="B11" s="28" t="n"/>
      <c r="C11" s="28" t="n"/>
      <c r="D11" s="28" t="n"/>
      <c r="E11" s="29" t="n">
        <v>0</v>
      </c>
      <c r="F11" s="29" t="n">
        <v>0</v>
      </c>
      <c r="G11" s="29" t="n">
        <v>2899400000</v>
      </c>
      <c r="H11" s="29" t="n">
        <v>0</v>
      </c>
      <c r="I11" s="29" t="n">
        <v>2899400000</v>
      </c>
      <c r="J11" s="29" t="n">
        <v>-11391759309</v>
      </c>
      <c r="K11" s="29" t="n">
        <v>-6743081733</v>
      </c>
      <c r="L11" s="28" t="n"/>
      <c r="M11" s="28" t="n"/>
      <c r="N11" s="28" t="n"/>
    </row>
    <row r="12">
      <c r="A12" s="34" t="n">
        <v>2021</v>
      </c>
      <c r="B12" s="31" t="n">
        <v>423039138.48</v>
      </c>
      <c r="C12" s="30" t="n"/>
      <c r="D12" s="31" t="n">
        <v>423039138.48</v>
      </c>
      <c r="E12" s="31" t="n">
        <v>0</v>
      </c>
      <c r="F12" s="31" t="n">
        <v>0</v>
      </c>
      <c r="G12" s="31" t="n">
        <v>2899400000</v>
      </c>
      <c r="H12" s="31" t="n">
        <v>0</v>
      </c>
      <c r="I12" s="31" t="n">
        <v>2899400000</v>
      </c>
      <c r="J12" s="31" t="n">
        <v>-9642481733</v>
      </c>
      <c r="K12" s="31" t="n">
        <v>-4659173531</v>
      </c>
      <c r="L12" s="38" t="n">
        <v>6.853739373660991</v>
      </c>
      <c r="M12" s="38" t="n">
        <v>-11.01357559430703</v>
      </c>
      <c r="N12" s="31" t="n">
        <v>141013046.16</v>
      </c>
    </row>
    <row r="13">
      <c r="A13" s="34" t="n">
        <v>2022</v>
      </c>
      <c r="B13" s="29" t="n">
        <v>436176761.94</v>
      </c>
      <c r="C13" s="29" t="n">
        <v>36616926.66666667</v>
      </c>
      <c r="D13" s="29" t="n">
        <v>436176761.94</v>
      </c>
      <c r="E13" s="29" t="n">
        <v>0</v>
      </c>
      <c r="F13" s="29" t="n">
        <v>0</v>
      </c>
      <c r="G13" s="29" t="n">
        <v>2899400000</v>
      </c>
      <c r="H13" s="29" t="n">
        <v>0</v>
      </c>
      <c r="I13" s="29" t="n">
        <v>2899400000</v>
      </c>
      <c r="J13" s="29" t="n">
        <v>-9642481733</v>
      </c>
      <c r="K13" s="29" t="n">
        <v>-2598840854</v>
      </c>
      <c r="L13" s="37" t="n">
        <v>6.647305067569919</v>
      </c>
      <c r="M13" s="37" t="n">
        <v>-5.958228591640317</v>
      </c>
      <c r="N13" s="29" t="n">
        <v>145392253.98</v>
      </c>
    </row>
    <row r="14">
      <c r="A14" s="34" t="n">
        <v>2023</v>
      </c>
      <c r="B14" s="31" t="n">
        <v>459907225.56</v>
      </c>
      <c r="C14" s="31" t="n">
        <v>63933593.18666667</v>
      </c>
      <c r="D14" s="31" t="n">
        <v>459907225.56</v>
      </c>
      <c r="E14" s="31" t="n">
        <v>184219879</v>
      </c>
      <c r="F14" s="31" t="n">
        <v>0</v>
      </c>
      <c r="G14" s="31" t="n">
        <v>2899400000</v>
      </c>
      <c r="H14" s="31" t="n">
        <v>0</v>
      </c>
      <c r="I14" s="31" t="n">
        <v>3083619879</v>
      </c>
      <c r="J14" s="31" t="n">
        <v>-7558573531</v>
      </c>
      <c r="K14" s="31" t="n">
        <v>-1668211752</v>
      </c>
      <c r="L14" s="38" t="n">
        <v>6.704873738926956</v>
      </c>
      <c r="M14" s="38" t="n">
        <v>-3.627278849486924</v>
      </c>
      <c r="N14" s="31" t="n">
        <v>153302408.52</v>
      </c>
    </row>
    <row r="15">
      <c r="A15" s="34" t="n">
        <v>2024</v>
      </c>
      <c r="B15" s="29" t="n">
        <v>499226912.64</v>
      </c>
      <c r="C15" s="29" t="n">
        <v>147044019.3733333</v>
      </c>
      <c r="D15" s="29" t="n">
        <v>499226912.64</v>
      </c>
      <c r="E15" s="29" t="n">
        <v>519246356</v>
      </c>
      <c r="F15" s="29" t="n">
        <v>186125820</v>
      </c>
      <c r="G15" s="29" t="n">
        <v>2899400000</v>
      </c>
      <c r="H15" s="29" t="n">
        <v>0</v>
      </c>
      <c r="I15" s="29" t="n">
        <v>3604772176</v>
      </c>
      <c r="J15" s="29" t="n">
        <v>-5272983928</v>
      </c>
      <c r="K15" s="29" t="n">
        <v>-876142111</v>
      </c>
      <c r="L15" s="37" t="n">
        <v>7.220708829452581</v>
      </c>
      <c r="M15" s="37" t="n">
        <v>-1.754997755162689</v>
      </c>
      <c r="N15" s="29" t="n">
        <v>166408970.88</v>
      </c>
    </row>
    <row r="16">
      <c r="A16" s="34" t="n">
        <v>2025</v>
      </c>
      <c r="B16" s="31" t="n">
        <v>566209844.8199999</v>
      </c>
      <c r="C16" s="31" t="n">
        <v>290598477</v>
      </c>
      <c r="D16" s="31" t="n">
        <v>566209844.8199999</v>
      </c>
      <c r="E16" s="31" t="n">
        <v>820232819</v>
      </c>
      <c r="F16" s="31" t="n">
        <v>677208998</v>
      </c>
      <c r="G16" s="31" t="n">
        <v>2899400000</v>
      </c>
      <c r="H16" s="31" t="n">
        <v>0</v>
      </c>
      <c r="I16" s="31" t="n">
        <v>4396841817</v>
      </c>
      <c r="J16" s="31" t="n">
        <v>-5272983928</v>
      </c>
      <c r="K16" s="31" t="n">
        <v>-438242200</v>
      </c>
      <c r="L16" s="38" t="n">
        <v>7.765392737736256</v>
      </c>
      <c r="M16" s="38" t="n">
        <v>-0.7739925471259136</v>
      </c>
      <c r="N16" s="31" t="n">
        <v>188736614.94</v>
      </c>
    </row>
    <row r="17">
      <c r="A17" s="34" t="n">
        <v>2026</v>
      </c>
      <c r="B17" s="29" t="n">
        <v>615265509.9599999</v>
      </c>
      <c r="C17" s="29" t="n">
        <v>388101489.1</v>
      </c>
      <c r="D17" s="29" t="n">
        <v>615265509.9599999</v>
      </c>
      <c r="E17" s="29" t="n">
        <v>820232819</v>
      </c>
      <c r="F17" s="29" t="n">
        <v>677208998</v>
      </c>
      <c r="G17" s="29" t="n">
        <v>2899400000</v>
      </c>
      <c r="H17" s="29" t="n">
        <v>0</v>
      </c>
      <c r="I17" s="29" t="n">
        <v>4396841817</v>
      </c>
      <c r="J17" s="29" t="n">
        <v>-5272983928</v>
      </c>
      <c r="K17" s="29" t="n">
        <v>-879498700</v>
      </c>
      <c r="L17" s="37" t="n">
        <v>7.146251083188217</v>
      </c>
      <c r="M17" s="37" t="n">
        <v>-1.429462054613103</v>
      </c>
      <c r="N17" s="29" t="n">
        <v>205088503.32</v>
      </c>
    </row>
    <row r="18"/>
    <row r="19">
      <c r="A19" s="14" t="inlineStr">
        <is>
          <t>Source : balances du FPPN ; Décision n° 05/2022/COM/UEMOA, annexe ; règlement d'exécution n° 004/2022/COM/UEMOA ; calculs Adenka</t>
        </is>
      </c>
    </row>
  </sheetData>
  <mergeCells count="6">
    <mergeCell ref="B5:N5"/>
    <mergeCell ref="B4:N4"/>
    <mergeCell ref="B7:N7"/>
    <mergeCell ref="B6:N6"/>
    <mergeCell ref="B3:N3"/>
    <mergeCell ref="B2:N2"/>
  </mergeCells>
  <pageMargins left="0.75" right="0.75" top="1" bottom="1" header="0.5" footer="0.5"/>
  <pageSetup orientation="landscape" fitToHeight="0" fitToWidth="1"/>
</worksheet>
</file>

<file path=xl/worksheets/sheet40.xml><?xml version="1.0" encoding="utf-8"?>
<worksheet xmlns="http://schemas.openxmlformats.org/spreadsheetml/2006/main">
  <sheetPr>
    <tabColor rgb="00112A40"/>
    <outlinePr summaryBelow="1" summaryRight="1"/>
    <pageSetUpPr fitToPage="1"/>
  </sheetPr>
  <dimension ref="A1:I15"/>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19.85" customWidth="1" min="3" max="3"/>
    <col width="25.1" customWidth="1" min="4" max="4"/>
    <col width="25.1" customWidth="1" min="5" max="5"/>
    <col width="23" customWidth="1" min="6" max="6"/>
    <col width="23" customWidth="1" min="7" max="7"/>
    <col width="25.1" customWidth="1" min="8" max="8"/>
    <col width="16.8" customWidth="1" min="9" max="9"/>
  </cols>
  <sheetData>
    <row r="1">
      <c r="A1" s="7" t="inlineStr">
        <is>
          <t>Tableau : Affectation des excédents et dotation à la réserve obligatoire</t>
        </is>
      </c>
    </row>
    <row r="2" ht="15" customHeight="1">
      <c r="A2" s="25" t="inlineStr">
        <is>
          <t>À quoi sert cet onglet</t>
        </is>
      </c>
      <c r="B2" s="26" t="inlineStr">
        <is>
          <t>Vérifier que les excédents ont été affectés à la réserve obligatoire selon les textes.</t>
        </is>
      </c>
    </row>
    <row r="3" ht="62.5" customHeight="1">
      <c r="A3" s="25" t="inlineStr">
        <is>
          <t>D'où viennent les chiffres</t>
        </is>
      </c>
      <c r="B3" s="26"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Taux de dotation = dotation à la réserve légale / résultat de l'année précédente ; écart = dotation faite - dotation minimale. Les valeurs sont calculées par les scripts de la mission et collées ici ; la formule de chaque colonne est donnée dans « Comment le calcul est fait ».</t>
        </is>
      </c>
    </row>
    <row r="5" ht="15" customHeight="1">
      <c r="A5" s="25" t="inlineStr">
        <is>
          <t>Comment lire le résultat</t>
        </is>
      </c>
      <c r="B5" s="26" t="inlineStr">
        <is>
          <t>Un écart négatif est une dotation insuffisante.</t>
        </is>
      </c>
    </row>
    <row r="6" ht="15" customHeight="1">
      <c r="A6" s="25" t="inlineStr">
        <is>
          <t>Valable pour</t>
        </is>
      </c>
      <c r="B6" s="26" t="inlineStr">
        <is>
          <t>Affectations de 2021 à 2025.</t>
        </is>
      </c>
    </row>
    <row r="7" ht="15" customHeight="1">
      <c r="A7" s="25" t="inlineStr">
        <is>
          <t>Limites</t>
        </is>
      </c>
      <c r="B7" s="26" t="inlineStr">
        <is>
          <t>Procès-verbaux d'affectation non reçus.</t>
        </is>
      </c>
    </row>
    <row r="8"/>
    <row r="9"/>
    <row r="10" ht="30" customHeight="1">
      <c r="A10" s="8" t="inlineStr">
        <is>
          <t>Exercice affectation</t>
        </is>
      </c>
      <c r="B10" s="8" t="inlineStr">
        <is>
          <t>Résultat n 1</t>
        </is>
      </c>
      <c r="C10" s="8" t="inlineStr">
        <is>
          <t>Ran crediteur n 1</t>
        </is>
      </c>
      <c r="D10" s="8" t="inlineStr">
        <is>
          <t>Dotation réserve legale</t>
        </is>
      </c>
      <c r="E10" s="8" t="inlineStr">
        <is>
          <t>Dotation réserves facultatives</t>
        </is>
      </c>
      <c r="F10" s="8" t="inlineStr">
        <is>
          <t>Apurement pertes 129</t>
        </is>
      </c>
      <c r="G10" s="8" t="inlineStr">
        <is>
          <t>Taux dotation legale</t>
        </is>
      </c>
      <c r="H10" s="8" t="inlineStr">
        <is>
          <t>Dotation minimale par risque</t>
        </is>
      </c>
      <c r="I10" s="8" t="inlineStr">
        <is>
          <t>Écart dotation</t>
        </is>
      </c>
    </row>
    <row r="11">
      <c r="A11" s="34" t="n">
        <v>2023</v>
      </c>
      <c r="B11" s="29" t="n">
        <v>2060332677</v>
      </c>
      <c r="C11" s="29" t="n">
        <v>2083908202</v>
      </c>
      <c r="D11" s="29" t="n">
        <v>184219879</v>
      </c>
      <c r="E11" s="29" t="n">
        <v>0</v>
      </c>
      <c r="F11" s="29" t="n">
        <v>2083908202</v>
      </c>
      <c r="G11" s="32" t="n">
        <v>0.08941268614359796</v>
      </c>
      <c r="H11" s="29" t="n">
        <v>387843935.5499871</v>
      </c>
      <c r="I11" s="29" t="n">
        <v>-203624056.5499871</v>
      </c>
    </row>
    <row r="12">
      <c r="A12" s="34" t="n">
        <v>2024</v>
      </c>
      <c r="B12" s="31" t="n">
        <v>930629102</v>
      </c>
      <c r="C12" s="31" t="n">
        <v>1876112798</v>
      </c>
      <c r="D12" s="31" t="n">
        <v>335026477</v>
      </c>
      <c r="E12" s="31" t="n">
        <v>186125820</v>
      </c>
      <c r="F12" s="31" t="n">
        <v>2285589603</v>
      </c>
      <c r="G12" s="33" t="n">
        <v>0.3600000003008718</v>
      </c>
      <c r="H12" s="31" t="n">
        <v>320983342.5251392</v>
      </c>
      <c r="I12" s="31" t="n">
        <v>14043134.47486079</v>
      </c>
    </row>
    <row r="13">
      <c r="A13" s="34" t="n">
        <v>2025</v>
      </c>
      <c r="B13" s="29" t="n">
        <v>792069641</v>
      </c>
      <c r="C13" s="29" t="n">
        <v>0</v>
      </c>
      <c r="D13" s="29" t="n">
        <v>300986463</v>
      </c>
      <c r="E13" s="29" t="n">
        <v>491083178</v>
      </c>
      <c r="F13" s="29" t="n">
        <v>0</v>
      </c>
      <c r="G13" s="32" t="n">
        <v>0.3799999992677411</v>
      </c>
      <c r="H13" s="29" t="n">
        <v>300300307.919294</v>
      </c>
      <c r="I13" s="29" t="n">
        <v>686155.0807060003</v>
      </c>
    </row>
    <row r="14"/>
    <row r="15">
      <c r="A15" s="14" t="inlineStr">
        <is>
          <t>Source : balances du FPPN ; Décision n° 05/2022/COM/UEMOA, annexe ; règlement d'exécution n° 004/2022/COM/UEMOA ; calculs Adenka</t>
        </is>
      </c>
    </row>
  </sheetData>
  <mergeCells count="6">
    <mergeCell ref="B7:I7"/>
    <mergeCell ref="B6:I6"/>
    <mergeCell ref="B2:I2"/>
    <mergeCell ref="B3:I3"/>
    <mergeCell ref="B5:I5"/>
    <mergeCell ref="B4:I4"/>
  </mergeCells>
  <pageMargins left="0.75" right="0.75" top="1" bottom="1" header="0.5" footer="0.5"/>
  <pageSetup orientation="landscape" fitToHeight="0" fitToWidth="1"/>
</worksheet>
</file>

<file path=xl/worksheets/sheet41.xml><?xml version="1.0" encoding="utf-8"?>
<worksheet xmlns="http://schemas.openxmlformats.org/spreadsheetml/2006/main">
  <sheetPr>
    <tabColor rgb="00112A40"/>
    <outlinePr summaryBelow="1" summaryRight="1"/>
    <pageSetUpPr fitToPage="1"/>
  </sheetPr>
  <dimension ref="A1:M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1.95" customWidth="1" min="2" max="2"/>
    <col width="21.95" customWidth="1" min="3" max="3"/>
    <col width="15.65" customWidth="1" min="4" max="4"/>
    <col width="18.8" customWidth="1" min="5" max="5"/>
    <col width="19.85" customWidth="1" min="6" max="6"/>
    <col width="25.1" customWidth="1" min="7" max="7"/>
    <col width="15.65" customWidth="1" min="8" max="8"/>
    <col width="16.8" customWidth="1" min="9" max="9"/>
    <col width="25.1" customWidth="1" min="10" max="10"/>
    <col width="17.95" customWidth="1" min="11" max="11"/>
    <col width="25.1" customWidth="1" min="12" max="12"/>
    <col width="19.85" customWidth="1" min="13" max="13"/>
  </cols>
  <sheetData>
    <row r="1">
      <c r="A1" s="7" t="inlineStr">
        <is>
          <t>Tableau : Excédent par risque (maladie, décès)</t>
        </is>
      </c>
    </row>
    <row r="2" ht="15" customHeight="1">
      <c r="A2" s="25" t="inlineStr">
        <is>
          <t>À quoi sert cet onglet</t>
        </is>
      </c>
      <c r="B2" s="26" t="inlineStr">
        <is>
          <t>Séparer le résultat entre maladie et décès.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Excédent d'un risque = cotisations - prestations - frais ; frais répartis au prorata des cotisations de chaque risque. Les valeurs sont calculées par les scripts de la mission et collées ici ; la formule de chaque colonne est donnée dans « Comment le calcul est fait ».</t>
        </is>
      </c>
    </row>
    <row r="5" ht="15" customHeight="1">
      <c r="A5" s="25" t="inlineStr">
        <is>
          <t>Comment lire le résultat</t>
        </is>
      </c>
      <c r="B5" s="26" t="inlineStr">
        <is>
          <t>Montre quel risque produit l'excédent.</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Clé de répartition des frais choisie par Adenka.</t>
        </is>
      </c>
    </row>
    <row r="8"/>
    <row r="9"/>
    <row r="10" ht="30" customHeight="1">
      <c r="A10" s="8" t="inlineStr">
        <is>
          <t>Exercice</t>
        </is>
      </c>
      <c r="B10" s="8" t="inlineStr">
        <is>
          <t>Cotisations maladie</t>
        </is>
      </c>
      <c r="C10" s="8" t="inlineStr">
        <is>
          <t>Prestations maladie</t>
        </is>
      </c>
      <c r="D10" s="8" t="inlineStr">
        <is>
          <t>Frais maladie</t>
        </is>
      </c>
      <c r="E10" s="8" t="inlineStr">
        <is>
          <t>Excédent maladie</t>
        </is>
      </c>
      <c r="F10" s="8" t="inlineStr">
        <is>
          <t>Cotisations décès</t>
        </is>
      </c>
      <c r="G10" s="8" t="inlineStr">
        <is>
          <t>Prestations décès et prime</t>
        </is>
      </c>
      <c r="H10" s="8" t="inlineStr">
        <is>
          <t>Frais décès</t>
        </is>
      </c>
      <c r="I10" s="8" t="inlineStr">
        <is>
          <t>Excédent décès</t>
        </is>
      </c>
      <c r="J10" s="8" t="inlineStr">
        <is>
          <t>Autres éléments non affectes</t>
        </is>
      </c>
      <c r="K10" s="8" t="inlineStr">
        <is>
          <t>Résultat net</t>
        </is>
      </c>
      <c r="L10" s="8" t="inlineStr">
        <is>
          <t>Part maladie cotisations</t>
        </is>
      </c>
      <c r="M10" s="8" t="inlineStr">
        <is>
          <t>Dotation minimale</t>
        </is>
      </c>
    </row>
    <row r="11">
      <c r="A11" s="34" t="n">
        <v>2020</v>
      </c>
      <c r="B11" s="29" t="n">
        <v>1641320172</v>
      </c>
      <c r="C11" s="29" t="n">
        <v>205812056</v>
      </c>
      <c r="D11" s="29" t="n">
        <v>984951949.9744081</v>
      </c>
      <c r="E11" s="29" t="n">
        <v>450556166.0255919</v>
      </c>
      <c r="F11" s="29" t="n">
        <v>703298329</v>
      </c>
      <c r="G11" s="29" t="n">
        <v>578327196</v>
      </c>
      <c r="H11" s="29" t="n">
        <v>422047491.0255919</v>
      </c>
      <c r="I11" s="29" t="n">
        <v>-297076358.0255919</v>
      </c>
      <c r="J11" s="29" t="n">
        <v>865099891</v>
      </c>
      <c r="K11" s="29" t="n">
        <v>1018579699</v>
      </c>
      <c r="L11" s="32" t="n">
        <v>0.7000372006362497</v>
      </c>
      <c r="M11" s="29" t="n">
        <v>135166849.8076775</v>
      </c>
    </row>
    <row r="12">
      <c r="A12" s="34" t="n">
        <v>2021</v>
      </c>
      <c r="B12" s="31" t="n">
        <v>1691332910</v>
      </c>
      <c r="C12" s="31" t="n">
        <v>101453171</v>
      </c>
      <c r="D12" s="31" t="n">
        <v>814183307.2653074</v>
      </c>
      <c r="E12" s="31" t="n">
        <v>775696431.7346926</v>
      </c>
      <c r="F12" s="31" t="n">
        <v>725124908</v>
      </c>
      <c r="G12" s="31" t="n">
        <v>401856666</v>
      </c>
      <c r="H12" s="31" t="n">
        <v>349064688.7346926</v>
      </c>
      <c r="I12" s="31" t="n">
        <v>-25796446.73469257</v>
      </c>
      <c r="J12" s="31" t="n">
        <v>1334008217</v>
      </c>
      <c r="K12" s="31" t="n">
        <v>2083908202</v>
      </c>
      <c r="L12" s="33" t="n">
        <v>0.6999223811818261</v>
      </c>
      <c r="M12" s="31" t="n">
        <v>232708929.5204078</v>
      </c>
    </row>
    <row r="13">
      <c r="A13" s="34" t="n">
        <v>2022</v>
      </c>
      <c r="B13" s="29" t="n">
        <v>1781124043</v>
      </c>
      <c r="C13" s="29" t="n">
        <v>115237773</v>
      </c>
      <c r="D13" s="29" t="n">
        <v>846895737.7499354</v>
      </c>
      <c r="E13" s="29" t="n">
        <v>818990532.2500646</v>
      </c>
      <c r="F13" s="29" t="n">
        <v>763338861</v>
      </c>
      <c r="G13" s="29" t="n">
        <v>116090000</v>
      </c>
      <c r="H13" s="29" t="n">
        <v>362955309.2500646</v>
      </c>
      <c r="I13" s="29" t="n">
        <v>284293551.7499354</v>
      </c>
      <c r="J13" s="29" t="n">
        <v>957048593</v>
      </c>
      <c r="K13" s="29" t="n">
        <v>2060332677</v>
      </c>
      <c r="L13" s="32" t="n">
        <v>0.7000000040087045</v>
      </c>
      <c r="M13" s="29" t="n">
        <v>387843935.5499871</v>
      </c>
    </row>
    <row r="14">
      <c r="A14" s="34" t="n">
        <v>2023</v>
      </c>
      <c r="B14" s="31" t="n">
        <v>1935844374</v>
      </c>
      <c r="C14" s="31" t="n">
        <v>521004362</v>
      </c>
      <c r="D14" s="31" t="n">
        <v>870231164.6256965</v>
      </c>
      <c r="E14" s="31" t="n">
        <v>544608847.3743035</v>
      </c>
      <c r="F14" s="31" t="n">
        <v>829647591</v>
      </c>
      <c r="G14" s="31" t="n">
        <v>141490000</v>
      </c>
      <c r="H14" s="31" t="n">
        <v>372956214.3743036</v>
      </c>
      <c r="I14" s="31" t="n">
        <v>315201376.6256964</v>
      </c>
      <c r="J14" s="31" t="n">
        <v>70818878.00000012</v>
      </c>
      <c r="K14" s="31" t="n">
        <v>930629102</v>
      </c>
      <c r="L14" s="33" t="n">
        <v>0.6999999994576011</v>
      </c>
      <c r="M14" s="31" t="n">
        <v>320983342.5251392</v>
      </c>
    </row>
    <row r="15">
      <c r="A15" s="34" t="n">
        <v>2024</v>
      </c>
      <c r="B15" s="29" t="n">
        <v>2203312180</v>
      </c>
      <c r="C15" s="29" t="n">
        <v>1060419627</v>
      </c>
      <c r="D15" s="29" t="n">
        <v>796642107.59647</v>
      </c>
      <c r="E15" s="29" t="n">
        <v>346250445.40353</v>
      </c>
      <c r="F15" s="29" t="n">
        <v>934555069</v>
      </c>
      <c r="G15" s="29" t="n">
        <v>203801664</v>
      </c>
      <c r="H15" s="29" t="n">
        <v>337903056.4035299</v>
      </c>
      <c r="I15" s="29" t="n">
        <v>392850348.5964701</v>
      </c>
      <c r="J15" s="29" t="n">
        <v>52968846.99999994</v>
      </c>
      <c r="K15" s="29" t="n">
        <v>792069641</v>
      </c>
      <c r="L15" s="32" t="n">
        <v>0.7021687041420152</v>
      </c>
      <c r="M15" s="29" t="n">
        <v>300300307.919294</v>
      </c>
    </row>
    <row r="16">
      <c r="A16" s="34" t="n">
        <v>2025</v>
      </c>
      <c r="B16" s="31" t="n">
        <v>2409281030</v>
      </c>
      <c r="C16" s="31" t="n">
        <v>1771635361</v>
      </c>
      <c r="D16" s="31" t="n">
        <v>875420235.7458192</v>
      </c>
      <c r="E16" s="31" t="n">
        <v>-237774566.7458192</v>
      </c>
      <c r="F16" s="31" t="n">
        <v>1008860692</v>
      </c>
      <c r="G16" s="31" t="n">
        <v>193136666</v>
      </c>
      <c r="H16" s="31" t="n">
        <v>366572871.2541808</v>
      </c>
      <c r="I16" s="31" t="n">
        <v>449151154.7458192</v>
      </c>
      <c r="J16" s="31" t="n">
        <v>226523323</v>
      </c>
      <c r="K16" s="31" t="n">
        <v>437899911</v>
      </c>
      <c r="L16" s="33" t="n">
        <v>0.7048511226124052</v>
      </c>
      <c r="M16" s="31" t="n">
        <v>224575577.3729096</v>
      </c>
    </row>
    <row r="17">
      <c r="A17" s="34" t="n">
        <v>2026</v>
      </c>
      <c r="B17" s="29" t="n">
        <v>1690007290</v>
      </c>
      <c r="C17" s="29" t="n">
        <v>1646039117</v>
      </c>
      <c r="D17" s="29" t="n">
        <v>745647725.0182109</v>
      </c>
      <c r="E17" s="29" t="n">
        <v>-701679552.0182109</v>
      </c>
      <c r="F17" s="29" t="n">
        <v>702190056</v>
      </c>
      <c r="G17" s="29" t="n">
        <v>152816666</v>
      </c>
      <c r="H17" s="29" t="n">
        <v>309813111.9817892</v>
      </c>
      <c r="I17" s="29" t="n">
        <v>239560278.0182108</v>
      </c>
      <c r="J17" s="29" t="n">
        <v>20862774.00000006</v>
      </c>
      <c r="K17" s="29" t="n">
        <v>-441256500</v>
      </c>
      <c r="L17" s="32" t="n">
        <v>0.7064665015308482</v>
      </c>
      <c r="M17" s="29" t="n">
        <v>119780139.0091054</v>
      </c>
    </row>
    <row r="18"/>
    <row r="19">
      <c r="A19" s="14" t="inlineStr">
        <is>
          <t>Source : balances du FPPN ; Décision n° 05/2022/COM/UEMOA, annexe ; règlement d'exécution n° 004/2022/COM/UEMOA ; calculs Adenka</t>
        </is>
      </c>
    </row>
  </sheetData>
  <mergeCells count="6">
    <mergeCell ref="B6:M6"/>
    <mergeCell ref="B2:M2"/>
    <mergeCell ref="B7:M7"/>
    <mergeCell ref="B3:M3"/>
    <mergeCell ref="B5:M5"/>
    <mergeCell ref="B4:M4"/>
  </mergeCells>
  <pageMargins left="0.75" right="0.75" top="1" bottom="1" header="0.5" footer="0.5"/>
  <pageSetup orientation="landscape" fitToHeight="0" fitToWidth="1"/>
</worksheet>
</file>

<file path=xl/worksheets/sheet42.xml><?xml version="1.0" encoding="utf-8"?>
<worksheet xmlns="http://schemas.openxmlformats.org/spreadsheetml/2006/main">
  <sheetPr>
    <tabColor rgb="00112A40"/>
    <outlinePr summaryBelow="1" summaryRight="1"/>
    <pageSetUpPr fitToPage="1"/>
  </sheetPr>
  <dimension ref="A1:F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7" t="inlineStr">
        <is>
          <t>Tableau : Contrôle du classement des comptes selon le PCMS</t>
        </is>
      </c>
    </row>
    <row r="2" ht="15" customHeight="1">
      <c r="A2" s="25" t="inlineStr">
        <is>
          <t>À quoi sert cet onglet</t>
        </is>
      </c>
      <c r="B2" s="26" t="inlineStr">
        <is>
          <t>Contrôler que les comptes du FPPN sont classés comme le demande le PCMS.</t>
        </is>
      </c>
    </row>
    <row r="3" ht="15" customHeight="1">
      <c r="A3" s="25" t="inlineStr">
        <is>
          <t>D'où viennent les chiffres</t>
        </is>
      </c>
      <c r="B3" s="26" t="inlineStr">
        <is>
          <t>PCMS (mai 2012) et balances du FPPN.</t>
        </is>
      </c>
    </row>
    <row r="4" ht="25" customHeight="1">
      <c r="A4" s="25" t="inlineStr">
        <is>
          <t>Comment le calcul est fait</t>
        </is>
      </c>
      <c r="B4" s="26" t="inlineStr">
        <is>
          <t>Comparaison point par point. Les valeurs sont calculées par les scripts de la mission et collées ici ; la formule de chaque colonne est donnée dans « Comment le calcul est fait ».</t>
        </is>
      </c>
    </row>
    <row r="5" ht="15" customHeight="1">
      <c r="A5" s="25" t="inlineStr">
        <is>
          <t>Comment lire le résultat</t>
        </is>
      </c>
      <c r="B5" s="26" t="inlineStr">
        <is>
          <t>La colonne « Incidence » dit si l'écart change un ratio.</t>
        </is>
      </c>
    </row>
    <row r="6" ht="15" customHeight="1">
      <c r="A6" s="25" t="inlineStr">
        <is>
          <t>Valable pour</t>
        </is>
      </c>
      <c r="B6" s="26" t="inlineStr">
        <is>
          <t>Plan de comptes de 2020 à 2026.</t>
        </is>
      </c>
    </row>
    <row r="7" ht="15" customHeight="1">
      <c r="A7" s="25" t="inlineStr">
        <is>
          <t>Limites</t>
        </is>
      </c>
      <c r="B7" s="26" t="inlineStr">
        <is>
          <t>Aucune.</t>
        </is>
      </c>
    </row>
    <row r="8"/>
    <row r="9"/>
    <row r="10" ht="30" customHeight="1">
      <c r="A10" s="8" t="inlineStr">
        <is>
          <t>Point</t>
        </is>
      </c>
      <c r="B10" s="8" t="inlineStr">
        <is>
          <t>Comptes FPPN</t>
        </is>
      </c>
      <c r="C10" s="8" t="inlineStr">
        <is>
          <t>Attendu PCMS</t>
        </is>
      </c>
      <c r="D10" s="8" t="inlineStr">
        <is>
          <t>Constat</t>
        </is>
      </c>
      <c r="E10" s="8" t="inlineStr">
        <is>
          <t>Incidence</t>
        </is>
      </c>
      <c r="F10" s="8" t="inlineStr">
        <is>
          <t>Source</t>
        </is>
      </c>
    </row>
    <row r="11">
      <c r="A11" s="27" t="inlineStr">
        <is>
          <t>Provisions pour prestations à payer</t>
        </is>
      </c>
      <c r="B11" s="28" t="inlineStr">
        <is>
          <t>19011000, 19012000 (2020 à 2023) puis 15801000, 15802000 (2024 à 2026)</t>
        </is>
      </c>
      <c r="C11" s="28" t="inlineStr">
        <is>
          <t>19011 et 19012 (classe 19, provisions techniques). La rubrique 15 est réservée aux provisions réglementées à caractère fiscal.</t>
        </is>
      </c>
      <c r="D11" s="28" t="inlineStr">
        <is>
          <t>Conforme de 2020 à 2023. Depuis 2024, les provisions techniques sont classées en provisions réglementées (158), sans changement de montant.</t>
        </is>
      </c>
      <c r="E11" s="28" t="inlineStr">
        <is>
          <t>Aucune sur les montants. Les provisions techniques n'apparaissent plus comme telles dans le bilan, ce qui gêne leur lecture et le contrôle de l'article 7 du règlement d'exécution.</t>
        </is>
      </c>
      <c r="F11" s="28" t="inlineStr">
        <is>
          <t>PCMS, liste des comptes (classe 1) et fiche n° 6, rubrique 15</t>
        </is>
      </c>
    </row>
    <row r="12">
      <c r="A12" s="27" t="inlineStr">
        <is>
          <t>Réserve disponible</t>
        </is>
      </c>
      <c r="B12" s="30" t="inlineStr">
        <is>
          <t>10620000 « Réserve disponible » : 2 899 400 000 FCFA, inchangé de 2020 à 2026</t>
        </is>
      </c>
      <c r="C12" s="30" t="inlineStr">
        <is>
          <t>106 = écarts de réévaluation des immeubles (fonds mutualistes) ; les réserves vont en 11.</t>
        </is>
      </c>
      <c r="D12" s="30" t="inlineStr">
        <is>
          <t>Libellé et rubrique ne concordent pas. L'origine du montant (réévaluation ou excédents mis en réserve) n'est pas documentée.</t>
        </is>
      </c>
      <c r="E12" s="30" t="inlineStr">
        <is>
          <t>Le montant compte ou non dans la marge de solvabilité selon sa nature : à confirmer par le FPPN.</t>
        </is>
      </c>
      <c r="F12" s="30" t="inlineStr">
        <is>
          <t>PCMS, liste des comptes et fiche n° 1, rubrique 10</t>
        </is>
      </c>
    </row>
    <row r="13">
      <c r="A13" s="27" t="inlineStr">
        <is>
          <t>Réserves légales et facultatives</t>
        </is>
      </c>
      <c r="B13" s="28" t="inlineStr">
        <is>
          <t>11100000, 11880000</t>
        </is>
      </c>
      <c r="C13" s="28" t="inlineStr">
        <is>
          <t>111 réserves légales, 118 autres réserves</t>
        </is>
      </c>
      <c r="D13" s="28" t="inlineStr">
        <is>
          <t>Conforme.</t>
        </is>
      </c>
      <c r="E13" s="28" t="inlineStr">
        <is>
          <t>Base du ratio de réserve obligatoire et de la marge de solvabilité.</t>
        </is>
      </c>
      <c r="F13" s="28" t="inlineStr">
        <is>
          <t>PCMS, fiche n° 2, rubrique 11</t>
        </is>
      </c>
    </row>
    <row r="14">
      <c r="A14" s="27" t="inlineStr">
        <is>
          <t>Épargne des adhérents (PEP, EFC)</t>
        </is>
      </c>
      <c r="B14" s="30" t="inlineStr">
        <is>
          <t>41195100, 41195200</t>
        </is>
      </c>
      <c r="C14" s="30" t="inlineStr">
        <is>
          <t>41195 « Autres comptes créditeurs des adhérents » (classe 4, tiers).</t>
        </is>
      </c>
      <c r="D14" s="30" t="inlineStr">
        <is>
          <t>Compte conforme au PCMS. Le PCMS ne prévoit pas de compte propre aux risques longs ; le règlement d'exécution exige des états financiers par risque long (art. 13).</t>
        </is>
      </c>
      <c r="E14" s="30" t="inlineStr">
        <is>
          <t>Classée en dette à court terme, l'épargne pèse sur les ratios de liquidité. Son échéance réelle reste à établir avec les âges.</t>
        </is>
      </c>
      <c r="F14" s="30" t="inlineStr">
        <is>
          <t>PCMS, fiche n° 25, rubrique 41 ; règlement d'exécution n° 004/2022, art. 13</t>
        </is>
      </c>
    </row>
    <row r="15">
      <c r="A15" s="27" t="inlineStr">
        <is>
          <t>Avances au CMP, au Grenier et créance sur l'Hôpital de la Police</t>
        </is>
      </c>
      <c r="B15" s="28" t="inlineStr">
        <is>
          <t>47111100, 47111101, 47111102, 47111104, 47111105</t>
        </is>
      </c>
      <c r="C15" s="28" t="inlineStr">
        <is>
          <t>471 = comptes d'attente débiteurs (opérations à régulariser). Les prêts et placements durables relèvent des classes 26 et 27.</t>
        </is>
      </c>
      <c r="D15" s="28" t="inlineStr">
        <is>
          <t>Des emplois durables de 11 603 989 675 FCFA au 31/08/2026 sont suivis en comptes d'attente ou de tiers.</t>
        </is>
      </c>
      <c r="E15" s="28" t="inlineStr">
        <is>
          <t>Ils sont comptés en court terme dans les ratios de liquidité et absents des emplois longs du ratio d'équilibre stable.</t>
        </is>
      </c>
      <c r="F15" s="28" t="inlineStr">
        <is>
          <t>PCMS, liste des comptes (classes 2 et 4)</t>
        </is>
      </c>
    </row>
    <row r="16">
      <c r="A16" s="27" t="inlineStr">
        <is>
          <t>Cotisations et prestations</t>
        </is>
      </c>
      <c r="B16" s="30" t="inlineStr">
        <is>
          <t>70100000, 70210000 ; 601, 602, 608</t>
        </is>
      </c>
      <c r="C16" s="30" t="inlineStr">
        <is>
          <t>701 maladie, 702 décès ; 601 maladie, 602 obsèques, 608 autres prestations</t>
        </is>
      </c>
      <c r="D16" s="30" t="inlineStr">
        <is>
          <t>Conforme.</t>
        </is>
      </c>
      <c r="E16" s="30" t="inlineStr">
        <is>
          <t>Base de la sinistralité réglementaire.</t>
        </is>
      </c>
      <c r="F16" s="30" t="inlineStr">
        <is>
          <t>PCMS, liste des comptes (classes 6 et 7)</t>
        </is>
      </c>
    </row>
    <row r="17">
      <c r="A17" s="27" t="inlineStr">
        <is>
          <t>Primes, indemnités et supplément familial du personnel</t>
        </is>
      </c>
      <c r="B17" s="28" t="inlineStr">
        <is>
          <t>64130000, 64140000, 64150000</t>
        </is>
      </c>
      <c r="C17" s="28" t="inlineStr">
        <is>
          <t>641 = impôts et taxes sur salaires ; les rémunérations relèvent de 66.</t>
        </is>
      </c>
      <c r="D17" s="28" t="inlineStr">
        <is>
          <t>Ces montants sont classés en impôts et taxes.</t>
        </is>
      </c>
      <c r="E17" s="28" t="inlineStr">
        <is>
          <t>Faible (moins de 8 000 000 FCFA par an) : le taux de charges de personnel est légèrement sous-estimé.</t>
        </is>
      </c>
      <c r="F17" s="28" t="inlineStr">
        <is>
          <t>PCMS, liste des comptes (classe 6)</t>
        </is>
      </c>
    </row>
    <row r="18"/>
    <row r="19">
      <c r="A19" s="14" t="inlineStr">
        <is>
          <t>Source : PCMS (mai 2012) ; balances du FPPN</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43.xml><?xml version="1.0" encoding="utf-8"?>
<worksheet xmlns="http://schemas.openxmlformats.org/spreadsheetml/2006/main">
  <sheetPr>
    <tabColor rgb="00112A40"/>
    <outlinePr summaryBelow="1" summaryRight="1"/>
    <pageSetUpPr fitToPage="1"/>
  </sheetPr>
  <dimension ref="A1:H14"/>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17.95" customWidth="1" min="3" max="3"/>
    <col width="17.95" customWidth="1" min="4" max="4"/>
    <col width="25.1" customWidth="1" min="5" max="5"/>
    <col width="19.85" customWidth="1" min="6" max="6"/>
    <col width="25.1" customWidth="1" min="7" max="7"/>
    <col width="19.1" customWidth="1" min="8" max="8"/>
  </cols>
  <sheetData>
    <row r="1">
      <c r="A1" s="7" t="inlineStr">
        <is>
          <t>Tableau : Actif par délai de mobilisation et passif à moins d'un an</t>
        </is>
      </c>
    </row>
    <row r="2" ht="15" customHeight="1">
      <c r="A2" s="25" t="inlineStr">
        <is>
          <t>À quoi sert cet onglet</t>
        </is>
      </c>
      <c r="B2" s="26" t="inlineStr">
        <is>
          <t>Classer l'actif selon le délai pour le transformer en argent, et le passif à payer dans l'année.</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Chaque compte d'actif est classé : immédiat (banques), moins d'un an, 1 à 5 ans, plus de 5 ans ou incertain. L'épargne est à part : son échéance n'est pas connue. Les valeurs sont calculées par les scripts de la mission et collées ici ; la formule de chaque colonne est donnée dans « Comment le calcul est fait ».</t>
        </is>
      </c>
    </row>
    <row r="5" ht="15" customHeight="1">
      <c r="A5" s="25" t="inlineStr">
        <is>
          <t>Comment lire le résultat</t>
        </is>
      </c>
      <c r="B5" s="26" t="inlineStr">
        <is>
          <t>Base des écarts de liquidité des onglets 24b et 24c.</t>
        </is>
      </c>
    </row>
    <row r="6" ht="15" customHeight="1">
      <c r="A6" s="25" t="inlineStr">
        <is>
          <t>Valable pour</t>
        </is>
      </c>
      <c r="B6" s="26" t="inlineStr">
        <is>
          <t>31/12/2025 et 31/08/2026.</t>
        </is>
      </c>
    </row>
    <row r="7" ht="15" customHeight="1">
      <c r="A7" s="25" t="inlineStr">
        <is>
          <t>Limites</t>
        </is>
      </c>
      <c r="B7" s="26" t="inlineStr">
        <is>
          <t>Classement par nature comptable, sans échéancier.</t>
        </is>
      </c>
    </row>
    <row r="8"/>
    <row r="9"/>
    <row r="10" ht="30" customHeight="1">
      <c r="A10" s="8" t="inlineStr">
        <is>
          <t>Clôture</t>
        </is>
      </c>
      <c r="B10" s="8" t="inlineStr">
        <is>
          <t>Immédiat</t>
        </is>
      </c>
      <c r="C10" s="8" t="inlineStr">
        <is>
          <t>Moins 1 an</t>
        </is>
      </c>
      <c r="D10" s="8" t="inlineStr">
        <is>
          <t>1 a 5 ans</t>
        </is>
      </c>
      <c r="E10" s="8" t="inlineStr">
        <is>
          <t>Plus 5 ans ou incertain</t>
        </is>
      </c>
      <c r="F10" s="8" t="inlineStr">
        <is>
          <t>Passif moins 1 an</t>
        </is>
      </c>
      <c r="G10" s="8" t="inlineStr">
        <is>
          <t>Épargne echeance a etablir</t>
        </is>
      </c>
      <c r="H10" s="8" t="inlineStr">
        <is>
          <t>Total actif</t>
        </is>
      </c>
    </row>
    <row r="11">
      <c r="A11" s="27" t="inlineStr">
        <is>
          <t>31/12/2025</t>
        </is>
      </c>
      <c r="B11" s="29" t="n">
        <v>1464171543</v>
      </c>
      <c r="C11" s="29" t="n">
        <v>1250837284</v>
      </c>
      <c r="D11" s="29" t="n">
        <v>1198959085</v>
      </c>
      <c r="E11" s="29" t="n">
        <v>16040901123</v>
      </c>
      <c r="F11" s="29" t="n">
        <v>6535377593</v>
      </c>
      <c r="G11" s="29" t="n">
        <v>13814066964</v>
      </c>
      <c r="H11" s="29" t="n">
        <v>19954869035</v>
      </c>
    </row>
    <row r="12">
      <c r="A12" s="27" t="inlineStr">
        <is>
          <t>31/08/2026</t>
        </is>
      </c>
      <c r="B12" s="31" t="n">
        <v>2373558814</v>
      </c>
      <c r="C12" s="31" t="n">
        <v>1084308137</v>
      </c>
      <c r="D12" s="31" t="n">
        <v>1297315010</v>
      </c>
      <c r="E12" s="31" t="n">
        <v>17170238905</v>
      </c>
      <c r="F12" s="31" t="n">
        <v>7017736497</v>
      </c>
      <c r="G12" s="31" t="n">
        <v>15743516391</v>
      </c>
      <c r="H12" s="31" t="n">
        <v>21925420866</v>
      </c>
    </row>
    <row r="13"/>
    <row r="14">
      <c r="A14" s="14" t="inlineStr">
        <is>
          <t>Source : balances des comptes du FPPN (Sage 100), 2020 au 31/08/2026 (2026 provisoire) ; traitements Adenka</t>
        </is>
      </c>
    </row>
  </sheetData>
  <mergeCells count="6">
    <mergeCell ref="B4:H4"/>
    <mergeCell ref="B6:H6"/>
    <mergeCell ref="B2:H2"/>
    <mergeCell ref="B7:H7"/>
    <mergeCell ref="B3:H3"/>
    <mergeCell ref="B5:H5"/>
  </mergeCells>
  <pageMargins left="0.75" right="0.75" top="1" bottom="1" header="0.5" footer="0.5"/>
  <pageSetup orientation="landscape" fitToHeight="0" fitToWidth="1"/>
</worksheet>
</file>

<file path=xl/worksheets/sheet44.xml><?xml version="1.0" encoding="utf-8"?>
<worksheet xmlns="http://schemas.openxmlformats.org/spreadsheetml/2006/main">
  <sheetPr>
    <tabColor rgb="00112A40"/>
    <outlinePr summaryBelow="1" summaryRight="1"/>
    <pageSetUpPr fitToPage="1"/>
  </sheetPr>
  <dimension ref="A1:BC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3" customWidth="1" min="2" max="2"/>
    <col width="21.95" customWidth="1" min="3" max="3"/>
    <col width="19.85" customWidth="1" min="4" max="4"/>
    <col width="21.95" customWidth="1" min="5" max="5"/>
    <col width="21.95" customWidth="1" min="6" max="6"/>
    <col width="19.85" customWidth="1" min="7" max="7"/>
    <col width="23" customWidth="1" min="8" max="8"/>
    <col width="25.1" customWidth="1" min="9" max="9"/>
    <col width="25.1" customWidth="1" min="10" max="10"/>
    <col width="19.85" customWidth="1" min="11" max="11"/>
    <col width="24.05" customWidth="1" min="12" max="12"/>
    <col width="16.7" customWidth="1" min="13" max="13"/>
    <col width="17.95" customWidth="1" min="14" max="14"/>
    <col width="13.55" customWidth="1" min="15" max="15"/>
    <col width="17.95" customWidth="1" min="16" max="16"/>
    <col width="17.95" customWidth="1" min="17" max="17"/>
    <col width="17.95" customWidth="1" min="18" max="18"/>
    <col width="17.95" customWidth="1" min="19" max="19"/>
    <col width="17.95" customWidth="1" min="20" max="20"/>
    <col width="23" customWidth="1" min="21" max="21"/>
    <col width="25.1" customWidth="1" min="22" max="22"/>
    <col width="23" customWidth="1" min="23" max="23"/>
    <col width="25.1" customWidth="1" min="24" max="24"/>
    <col width="19.85" customWidth="1" min="25" max="25"/>
    <col width="20.25" customWidth="1" min="26" max="26"/>
    <col width="24.05" customWidth="1" min="27" max="27"/>
    <col width="24.05" customWidth="1" min="28" max="28"/>
    <col width="25.1" customWidth="1" min="29" max="29"/>
    <col width="17.95" customWidth="1" min="30" max="30"/>
    <col width="25.1" customWidth="1" min="31" max="31"/>
    <col width="15.65" customWidth="1" min="32" max="32"/>
    <col width="17.95" customWidth="1" min="33" max="33"/>
    <col width="19.1" customWidth="1" min="34" max="34"/>
    <col width="19.1" customWidth="1" min="35" max="35"/>
    <col width="17.95" customWidth="1" min="36" max="36"/>
    <col width="23" customWidth="1" min="37" max="37"/>
    <col width="21.95" customWidth="1" min="38" max="38"/>
    <col width="17.95" customWidth="1" min="39" max="39"/>
    <col width="17.95" customWidth="1" min="40" max="40"/>
    <col width="15.65" customWidth="1" min="41" max="41"/>
    <col width="18.8" customWidth="1" min="42" max="42"/>
    <col width="19.85" customWidth="1" min="43" max="43"/>
    <col width="17.95" customWidth="1" min="44" max="44"/>
    <col width="24.05" customWidth="1" min="45" max="45"/>
    <col width="23" customWidth="1" min="46" max="46"/>
    <col width="15.65" customWidth="1" min="47" max="47"/>
    <col width="19.1" customWidth="1" min="48" max="48"/>
    <col width="25.1" customWidth="1" min="49" max="49"/>
    <col width="25.1" customWidth="1" min="50" max="50"/>
    <col width="24.05" customWidth="1" min="51" max="51"/>
    <col width="15.65" customWidth="1" min="52" max="52"/>
    <col width="18.8" customWidth="1" min="53" max="53"/>
    <col width="25.1" customWidth="1" min="54" max="54"/>
    <col width="19.1" customWidth="1" min="55" max="55"/>
  </cols>
  <sheetData>
    <row r="1">
      <c r="A1" s="7" t="inlineStr">
        <is>
          <t>Tableau : Agrégats comptables utilisés par les ratios (FCFA)</t>
        </is>
      </c>
    </row>
    <row r="2" ht="15" customHeight="1">
      <c r="A2" s="25" t="inlineStr">
        <is>
          <t>À quoi sert cet onglet</t>
        </is>
      </c>
      <c r="B2" s="26" t="inlineStr">
        <is>
          <t>Donner tous les totaux comptables utilisés par les ratios.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25" customHeight="1">
      <c r="A4" s="25" t="inlineStr">
        <is>
          <t>Comment le calcul est fait</t>
        </is>
      </c>
      <c r="B4" s="26" t="inlineStr">
        <is>
          <t>Chaque colonne est la somme des comptes indiqués dans son titre. Les valeurs sont calculées par les scripts de la mission et collées ici ; la formule de chaque colonne est donnée dans « Comment le calcul est fait ».</t>
        </is>
      </c>
    </row>
    <row r="5" ht="15" customHeight="1">
      <c r="A5" s="25" t="inlineStr">
        <is>
          <t>Comment lire le résultat</t>
        </is>
      </c>
      <c r="B5" s="26" t="inlineStr">
        <is>
          <t>Permet de vérifier chaque ratio sur les balances.</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Aucune.</t>
        </is>
      </c>
    </row>
    <row r="8"/>
    <row r="9"/>
    <row r="10" ht="30" customHeight="1">
      <c r="A10" s="8" t="inlineStr">
        <is>
          <t>Exercice</t>
        </is>
      </c>
      <c r="B10" s="8" t="inlineStr">
        <is>
          <t>Cotisations acquises</t>
        </is>
      </c>
      <c r="C10" s="8" t="inlineStr">
        <is>
          <t>Cotisations maladie</t>
        </is>
      </c>
      <c r="D10" s="8" t="inlineStr">
        <is>
          <t>Cotisations décès</t>
        </is>
      </c>
      <c r="E10" s="8" t="inlineStr">
        <is>
          <t>Charges prestations</t>
        </is>
      </c>
      <c r="F10" s="8" t="inlineStr">
        <is>
          <t>Prestations maladie</t>
        </is>
      </c>
      <c r="G10" s="8" t="inlineStr">
        <is>
          <t>Prestations décès</t>
        </is>
      </c>
      <c r="H10" s="8" t="inlineStr">
        <is>
          <t>Prime assurance 6518</t>
        </is>
      </c>
      <c r="I10" s="8" t="inlineStr">
        <is>
          <t>Charges fonctionnement</t>
        </is>
      </c>
      <c r="J10" s="8" t="inlineStr">
        <is>
          <t>Charges fonctionnement brut</t>
        </is>
      </c>
      <c r="K10" s="8" t="inlineStr">
        <is>
          <t>Charges personnel</t>
        </is>
      </c>
      <c r="L10" s="8" t="inlineStr">
        <is>
          <t>Charges personnel 641</t>
        </is>
      </c>
      <c r="M10" s="8" t="inlineStr">
        <is>
          <t>Cout formation</t>
        </is>
      </c>
      <c r="N10" s="8" t="inlineStr">
        <is>
          <t>Total produits</t>
        </is>
      </c>
      <c r="O10" s="8" t="inlineStr">
        <is>
          <t>Subventions</t>
        </is>
      </c>
      <c r="P10" s="8" t="inlineStr">
        <is>
          <t>Total charges</t>
        </is>
      </c>
      <c r="Q10" s="8" t="inlineStr">
        <is>
          <t>Produits 7</t>
        </is>
      </c>
      <c r="R10" s="8" t="inlineStr">
        <is>
          <t>Charges 6</t>
        </is>
      </c>
      <c r="S10" s="8" t="inlineStr">
        <is>
          <t>Résultat HAO</t>
        </is>
      </c>
      <c r="T10" s="8" t="inlineStr">
        <is>
          <t>Résultat net</t>
        </is>
      </c>
      <c r="U10" s="8" t="inlineStr">
        <is>
          <t>Fonds mutualistes 10</t>
        </is>
      </c>
      <c r="V10" s="8" t="inlineStr">
        <is>
          <t>Réserve disponible 106</t>
        </is>
      </c>
      <c r="W10" s="8" t="inlineStr">
        <is>
          <t>Réserves legales 111</t>
        </is>
      </c>
      <c r="X10" s="8" t="inlineStr">
        <is>
          <t>Réserves facultatives 118</t>
        </is>
      </c>
      <c r="Y10" s="8" t="inlineStr">
        <is>
          <t>Ran crediteur 121</t>
        </is>
      </c>
      <c r="Z10" s="8" t="inlineStr">
        <is>
          <t>Ran debiteur 129</t>
        </is>
      </c>
      <c r="AA10" s="8" t="inlineStr">
        <is>
          <t>Subventions invest 14</t>
        </is>
      </c>
      <c r="AB10" s="8" t="inlineStr">
        <is>
          <t>Provisions techniques</t>
        </is>
      </c>
      <c r="AC10" s="8" t="inlineStr">
        <is>
          <t>Provisions reglementees 15</t>
        </is>
      </c>
      <c r="AD10" s="8" t="inlineStr">
        <is>
          <t>Provisions 190</t>
        </is>
      </c>
      <c r="AE10" s="8" t="inlineStr">
        <is>
          <t>Provision pensions 196</t>
        </is>
      </c>
      <c r="AF10" s="8" t="inlineStr">
        <is>
          <t>Emprunts 16</t>
        </is>
      </c>
      <c r="AG10" s="8" t="inlineStr">
        <is>
          <t>Épargne PEP</t>
        </is>
      </c>
      <c r="AH10" s="8" t="inlineStr">
        <is>
          <t>Épargne EFC</t>
        </is>
      </c>
      <c r="AI10" s="8" t="inlineStr">
        <is>
          <t>Épargne</t>
        </is>
      </c>
      <c r="AJ10" s="8" t="inlineStr">
        <is>
          <t>Sorties épargne</t>
        </is>
      </c>
      <c r="AK10" s="8" t="inlineStr">
        <is>
          <t>Actif immobilise net</t>
        </is>
      </c>
      <c r="AL10" s="8" t="inlineStr">
        <is>
          <t>Emplois longs tiers</t>
        </is>
      </c>
      <c r="AM10" s="8" t="inlineStr">
        <is>
          <t>Creance hopital</t>
        </is>
      </c>
      <c r="AN10" s="8" t="inlineStr">
        <is>
          <t>CMP</t>
        </is>
      </c>
      <c r="AO10" s="8" t="inlineStr">
        <is>
          <t>Grenier</t>
        </is>
      </c>
      <c r="AP10" s="8" t="inlineStr">
        <is>
          <t>Trésorerie actif</t>
        </is>
      </c>
      <c r="AQ10" s="8" t="inlineStr">
        <is>
          <t>Trésorerie passif</t>
        </is>
      </c>
      <c r="AR10" s="8" t="inlineStr">
        <is>
          <t>Disponibilites</t>
        </is>
      </c>
      <c r="AS10" s="8" t="inlineStr">
        <is>
          <t>Placements trésorerie</t>
        </is>
      </c>
      <c r="AT10" s="8" t="inlineStr">
        <is>
          <t>Comptes courants 521</t>
        </is>
      </c>
      <c r="AU10" s="8" t="inlineStr">
        <is>
          <t>Creances ct</t>
        </is>
      </c>
      <c r="AV10" s="8" t="inlineStr">
        <is>
          <t>Dettes ct PCMS</t>
        </is>
      </c>
      <c r="AW10" s="8" t="inlineStr">
        <is>
          <t>Dettes ct hors épargne</t>
        </is>
      </c>
      <c r="AX10" s="8" t="inlineStr">
        <is>
          <t>Dettes fournisseurs cliniques</t>
        </is>
      </c>
      <c r="AY10" s="8" t="inlineStr">
        <is>
          <t>Actifs dédiés épargne</t>
        </is>
      </c>
      <c r="AZ10" s="8" t="inlineStr">
        <is>
          <t>Prêts PEP</t>
        </is>
      </c>
      <c r="BA10" s="8" t="inlineStr">
        <is>
          <t>Intérêts DAT fcp</t>
        </is>
      </c>
      <c r="BB10" s="8" t="inlineStr">
        <is>
          <t>Var provisions techniques</t>
        </is>
      </c>
      <c r="BC10" s="8" t="inlineStr">
        <is>
          <t>Fonds propres</t>
        </is>
      </c>
    </row>
    <row r="11">
      <c r="A11" s="34" t="n">
        <v>2020</v>
      </c>
      <c r="B11" s="29" t="n">
        <v>2350217436</v>
      </c>
      <c r="C11" s="29" t="n">
        <v>1641320172</v>
      </c>
      <c r="D11" s="29" t="n">
        <v>703298329</v>
      </c>
      <c r="E11" s="29" t="n">
        <v>209745391</v>
      </c>
      <c r="F11" s="29" t="n">
        <v>205812056</v>
      </c>
      <c r="G11" s="29" t="n">
        <v>3933335</v>
      </c>
      <c r="H11" s="29" t="n">
        <v>574393861</v>
      </c>
      <c r="I11" s="29" t="n">
        <v>1981393302</v>
      </c>
      <c r="J11" s="29" t="n">
        <v>2010120385</v>
      </c>
      <c r="K11" s="29" t="n">
        <v>222795066</v>
      </c>
      <c r="L11" s="29" t="n">
        <v>5312935</v>
      </c>
      <c r="M11" s="29" t="n">
        <v>0</v>
      </c>
      <c r="N11" s="29" t="n">
        <v>3918571705</v>
      </c>
      <c r="O11" s="29" t="n">
        <v>0</v>
      </c>
      <c r="P11" s="29" t="n">
        <v>2899992006</v>
      </c>
      <c r="Q11" s="29" t="n">
        <v>2446772145</v>
      </c>
      <c r="R11" s="29" t="n">
        <v>2219865776</v>
      </c>
      <c r="S11" s="29" t="n">
        <v>791673330</v>
      </c>
      <c r="T11" s="29" t="n">
        <v>1018579699</v>
      </c>
      <c r="U11" s="29" t="n">
        <v>2899400000</v>
      </c>
      <c r="V11" s="29" t="n">
        <v>2899400000</v>
      </c>
      <c r="W11" s="29" t="n">
        <v>0</v>
      </c>
      <c r="X11" s="29" t="n">
        <v>0</v>
      </c>
      <c r="Y11" s="29" t="n">
        <v>730697877</v>
      </c>
      <c r="Z11" s="29" t="n">
        <v>-11391759309</v>
      </c>
      <c r="AA11" s="29" t="n">
        <v>0</v>
      </c>
      <c r="AB11" s="29" t="n">
        <v>4829298290</v>
      </c>
      <c r="AC11" s="29" t="n">
        <v>0</v>
      </c>
      <c r="AD11" s="29" t="n">
        <v>4829298290</v>
      </c>
      <c r="AE11" s="29" t="n">
        <v>24155943</v>
      </c>
      <c r="AF11" s="29" t="n">
        <v>13618401</v>
      </c>
      <c r="AG11" s="29" t="n">
        <v>7366229747</v>
      </c>
      <c r="AH11" s="29" t="n">
        <v>3461975893</v>
      </c>
      <c r="AI11" s="29" t="n">
        <v>10828205640</v>
      </c>
      <c r="AJ11" s="29" t="n">
        <v>676304209</v>
      </c>
      <c r="AK11" s="29" t="n">
        <v>5420135286</v>
      </c>
      <c r="AL11" s="29" t="n">
        <v>6822250139</v>
      </c>
      <c r="AM11" s="29" t="n">
        <v>3407519850</v>
      </c>
      <c r="AN11" s="29" t="n">
        <v>2984680712</v>
      </c>
      <c r="AO11" s="29" t="n">
        <v>0</v>
      </c>
      <c r="AP11" s="29" t="n">
        <v>881310155</v>
      </c>
      <c r="AQ11" s="29" t="n">
        <v>250847256</v>
      </c>
      <c r="AR11" s="29" t="n">
        <v>363068324</v>
      </c>
      <c r="AS11" s="29" t="n">
        <v>518241831</v>
      </c>
      <c r="AT11" s="29" t="n">
        <v>348640047</v>
      </c>
      <c r="AU11" s="29" t="n">
        <v>112009948</v>
      </c>
      <c r="AV11" s="29" t="n">
        <v>15111714627</v>
      </c>
      <c r="AW11" s="29" t="n">
        <v>4283508987</v>
      </c>
      <c r="AX11" s="29" t="n">
        <v>1394774547</v>
      </c>
      <c r="AY11" s="29" t="n">
        <v>714042784</v>
      </c>
      <c r="AZ11" s="29" t="n">
        <v>475608145</v>
      </c>
      <c r="BA11" s="29" t="n">
        <v>60847931</v>
      </c>
      <c r="BB11" s="29" t="n">
        <v>0</v>
      </c>
      <c r="BC11" s="29" t="n">
        <v>-6743081733</v>
      </c>
    </row>
    <row r="12">
      <c r="A12" s="34" t="n">
        <v>2021</v>
      </c>
      <c r="B12" s="31" t="n">
        <v>2423204233</v>
      </c>
      <c r="C12" s="31" t="n">
        <v>1691332910</v>
      </c>
      <c r="D12" s="31" t="n">
        <v>725124908</v>
      </c>
      <c r="E12" s="31" t="n">
        <v>503309837</v>
      </c>
      <c r="F12" s="31" t="n">
        <v>101453171</v>
      </c>
      <c r="G12" s="31" t="n">
        <v>401856666</v>
      </c>
      <c r="H12" s="31" t="n">
        <v>0</v>
      </c>
      <c r="I12" s="31" t="n">
        <v>1163247996</v>
      </c>
      <c r="J12" s="31" t="n">
        <v>1187281853</v>
      </c>
      <c r="K12" s="31" t="n">
        <v>204256928</v>
      </c>
      <c r="L12" s="31" t="n">
        <v>5862831</v>
      </c>
      <c r="M12" s="31" t="n">
        <v>50000</v>
      </c>
      <c r="N12" s="31" t="n">
        <v>4262031016</v>
      </c>
      <c r="O12" s="31" t="n">
        <v>0</v>
      </c>
      <c r="P12" s="31" t="n">
        <v>2178122814</v>
      </c>
      <c r="Q12" s="31" t="n">
        <v>2750007516</v>
      </c>
      <c r="R12" s="31" t="n">
        <v>1690591690</v>
      </c>
      <c r="S12" s="31" t="n">
        <v>1024492376</v>
      </c>
      <c r="T12" s="31" t="n">
        <v>2083908202</v>
      </c>
      <c r="U12" s="31" t="n">
        <v>2899400000</v>
      </c>
      <c r="V12" s="31" t="n">
        <v>2899400000</v>
      </c>
      <c r="W12" s="31" t="n">
        <v>0</v>
      </c>
      <c r="X12" s="31" t="n">
        <v>0</v>
      </c>
      <c r="Y12" s="31" t="n">
        <v>0</v>
      </c>
      <c r="Z12" s="31" t="n">
        <v>-9642481733</v>
      </c>
      <c r="AA12" s="31" t="n">
        <v>0</v>
      </c>
      <c r="AB12" s="31" t="n">
        <v>4829298290</v>
      </c>
      <c r="AC12" s="31" t="n">
        <v>0</v>
      </c>
      <c r="AD12" s="31" t="n">
        <v>4829298290</v>
      </c>
      <c r="AE12" s="31" t="n">
        <v>22542542</v>
      </c>
      <c r="AF12" s="31" t="n">
        <v>169727579</v>
      </c>
      <c r="AG12" s="31" t="n">
        <v>6362356294</v>
      </c>
      <c r="AH12" s="31" t="n">
        <v>3785064982</v>
      </c>
      <c r="AI12" s="31" t="n">
        <v>10147421276</v>
      </c>
      <c r="AJ12" s="31" t="n">
        <v>1652904458</v>
      </c>
      <c r="AK12" s="31" t="n">
        <v>4916701524</v>
      </c>
      <c r="AL12" s="31" t="n">
        <v>7111906099</v>
      </c>
      <c r="AM12" s="31" t="n">
        <v>3407519850</v>
      </c>
      <c r="AN12" s="31" t="n">
        <v>3521598249</v>
      </c>
      <c r="AO12" s="31" t="n">
        <v>27030000</v>
      </c>
      <c r="AP12" s="31" t="n">
        <v>2809574473</v>
      </c>
      <c r="AQ12" s="31" t="n">
        <v>509242530</v>
      </c>
      <c r="AR12" s="31" t="n">
        <v>2282035850</v>
      </c>
      <c r="AS12" s="31" t="n">
        <v>527538623</v>
      </c>
      <c r="AT12" s="31" t="n">
        <v>2274615536</v>
      </c>
      <c r="AU12" s="31" t="n">
        <v>95656982</v>
      </c>
      <c r="AV12" s="31" t="n">
        <v>14571444198</v>
      </c>
      <c r="AW12" s="31" t="n">
        <v>4424022922</v>
      </c>
      <c r="AX12" s="31" t="n">
        <v>875220557</v>
      </c>
      <c r="AY12" s="31" t="n">
        <v>1957211038</v>
      </c>
      <c r="AZ12" s="31" t="n">
        <v>445741196</v>
      </c>
      <c r="BA12" s="31" t="n">
        <v>32409354</v>
      </c>
      <c r="BB12" s="31" t="n">
        <v>0</v>
      </c>
      <c r="BC12" s="31" t="n">
        <v>-4659173531</v>
      </c>
    </row>
    <row r="13">
      <c r="A13" s="34" t="n">
        <v>2022</v>
      </c>
      <c r="B13" s="29" t="n">
        <v>2555040142</v>
      </c>
      <c r="C13" s="29" t="n">
        <v>1781124043</v>
      </c>
      <c r="D13" s="29" t="n">
        <v>763338861</v>
      </c>
      <c r="E13" s="29" t="n">
        <v>231427773</v>
      </c>
      <c r="F13" s="29" t="n">
        <v>115237773</v>
      </c>
      <c r="G13" s="29" t="n">
        <v>116090000</v>
      </c>
      <c r="H13" s="29" t="n">
        <v>0</v>
      </c>
      <c r="I13" s="29" t="n">
        <v>1209851047</v>
      </c>
      <c r="J13" s="29" t="n">
        <v>1238176841</v>
      </c>
      <c r="K13" s="29" t="n">
        <v>238533699</v>
      </c>
      <c r="L13" s="29" t="n">
        <v>5022515</v>
      </c>
      <c r="M13" s="29" t="n">
        <v>300000</v>
      </c>
      <c r="N13" s="29" t="n">
        <v>3529937291</v>
      </c>
      <c r="O13" s="29" t="n">
        <v>0</v>
      </c>
      <c r="P13" s="29" t="n">
        <v>1469604614</v>
      </c>
      <c r="Q13" s="29" t="n">
        <v>3528937291</v>
      </c>
      <c r="R13" s="29" t="n">
        <v>1469604614</v>
      </c>
      <c r="S13" s="29" t="n">
        <v>1000000</v>
      </c>
      <c r="T13" s="29" t="n">
        <v>2060332677</v>
      </c>
      <c r="U13" s="29" t="n">
        <v>2899400000</v>
      </c>
      <c r="V13" s="29" t="n">
        <v>2899400000</v>
      </c>
      <c r="W13" s="29" t="n">
        <v>0</v>
      </c>
      <c r="X13" s="29" t="n">
        <v>0</v>
      </c>
      <c r="Y13" s="29" t="n">
        <v>2083908202</v>
      </c>
      <c r="Z13" s="29" t="n">
        <v>-9642481733</v>
      </c>
      <c r="AA13" s="29" t="n">
        <v>0</v>
      </c>
      <c r="AB13" s="29" t="n">
        <v>4829298290</v>
      </c>
      <c r="AC13" s="29" t="n">
        <v>0</v>
      </c>
      <c r="AD13" s="29" t="n">
        <v>4829298290</v>
      </c>
      <c r="AE13" s="29" t="n">
        <v>28325794</v>
      </c>
      <c r="AF13" s="29" t="n">
        <v>35946854</v>
      </c>
      <c r="AG13" s="29" t="n">
        <v>4910897006</v>
      </c>
      <c r="AH13" s="29" t="n">
        <v>4453948287</v>
      </c>
      <c r="AI13" s="29" t="n">
        <v>9364845293</v>
      </c>
      <c r="AJ13" s="29" t="n">
        <v>2317974441</v>
      </c>
      <c r="AK13" s="29" t="n">
        <v>4888463485</v>
      </c>
      <c r="AL13" s="29" t="n">
        <v>7842289971</v>
      </c>
      <c r="AM13" s="29" t="n">
        <v>3407519850</v>
      </c>
      <c r="AN13" s="29" t="n">
        <v>3785598221</v>
      </c>
      <c r="AO13" s="29" t="n">
        <v>458483900</v>
      </c>
      <c r="AP13" s="29" t="n">
        <v>1233051977</v>
      </c>
      <c r="AQ13" s="29" t="n">
        <v>0</v>
      </c>
      <c r="AR13" s="29" t="n">
        <v>646001618</v>
      </c>
      <c r="AS13" s="29" t="n">
        <v>587050359</v>
      </c>
      <c r="AT13" s="29" t="n">
        <v>638155842</v>
      </c>
      <c r="AU13" s="29" t="n">
        <v>137181115</v>
      </c>
      <c r="AV13" s="29" t="n">
        <v>11806256464</v>
      </c>
      <c r="AW13" s="29" t="n">
        <v>2441411171</v>
      </c>
      <c r="AX13" s="29" t="n">
        <v>533144348</v>
      </c>
      <c r="AY13" s="29" t="n">
        <v>888844233</v>
      </c>
      <c r="AZ13" s="29" t="n">
        <v>422686851</v>
      </c>
      <c r="BA13" s="29" t="n">
        <v>7258416</v>
      </c>
      <c r="BB13" s="29" t="n">
        <v>0</v>
      </c>
      <c r="BC13" s="29" t="n">
        <v>-2598840854</v>
      </c>
    </row>
    <row r="14">
      <c r="A14" s="34" t="n">
        <v>2023</v>
      </c>
      <c r="B14" s="31" t="n">
        <v>2773482848</v>
      </c>
      <c r="C14" s="31" t="n">
        <v>1935844374</v>
      </c>
      <c r="D14" s="31" t="n">
        <v>829647591</v>
      </c>
      <c r="E14" s="31" t="n">
        <v>681244362</v>
      </c>
      <c r="F14" s="31" t="n">
        <v>521004362</v>
      </c>
      <c r="G14" s="31" t="n">
        <v>141490000</v>
      </c>
      <c r="H14" s="31" t="n">
        <v>0</v>
      </c>
      <c r="I14" s="31" t="n">
        <v>1243187379</v>
      </c>
      <c r="J14" s="31" t="n">
        <v>1278499558</v>
      </c>
      <c r="K14" s="31" t="n">
        <v>296787650</v>
      </c>
      <c r="L14" s="31" t="n">
        <v>6366826</v>
      </c>
      <c r="M14" s="31" t="n">
        <v>5565000</v>
      </c>
      <c r="N14" s="31" t="n">
        <v>2918180096</v>
      </c>
      <c r="O14" s="31" t="n">
        <v>0</v>
      </c>
      <c r="P14" s="31" t="n">
        <v>1987550994</v>
      </c>
      <c r="Q14" s="31" t="n">
        <v>2868219278</v>
      </c>
      <c r="R14" s="31" t="n">
        <v>1959743920</v>
      </c>
      <c r="S14" s="31" t="n">
        <v>22153744</v>
      </c>
      <c r="T14" s="31" t="n">
        <v>930629102</v>
      </c>
      <c r="U14" s="31" t="n">
        <v>2899400000</v>
      </c>
      <c r="V14" s="31" t="n">
        <v>2899400000</v>
      </c>
      <c r="W14" s="31" t="n">
        <v>184219879</v>
      </c>
      <c r="X14" s="31" t="n">
        <v>0</v>
      </c>
      <c r="Y14" s="31" t="n">
        <v>1876112798</v>
      </c>
      <c r="Z14" s="31" t="n">
        <v>-7558573531</v>
      </c>
      <c r="AA14" s="31" t="n">
        <v>0</v>
      </c>
      <c r="AB14" s="31" t="n">
        <v>4829298290</v>
      </c>
      <c r="AC14" s="31" t="n">
        <v>0</v>
      </c>
      <c r="AD14" s="31" t="n">
        <v>4829298290</v>
      </c>
      <c r="AE14" s="31" t="n">
        <v>35312179</v>
      </c>
      <c r="AF14" s="31" t="n">
        <v>785930</v>
      </c>
      <c r="AG14" s="31" t="n">
        <v>3560105617</v>
      </c>
      <c r="AH14" s="31" t="n">
        <v>5561470959</v>
      </c>
      <c r="AI14" s="31" t="n">
        <v>9121576576</v>
      </c>
      <c r="AJ14" s="31" t="n">
        <v>2579886392</v>
      </c>
      <c r="AK14" s="31" t="n">
        <v>5151329261</v>
      </c>
      <c r="AL14" s="31" t="n">
        <v>8171896279</v>
      </c>
      <c r="AM14" s="31" t="n">
        <v>3407519850</v>
      </c>
      <c r="AN14" s="31" t="n">
        <v>4069396329</v>
      </c>
      <c r="AO14" s="31" t="n">
        <v>504192100</v>
      </c>
      <c r="AP14" s="31" t="n">
        <v>1242945485</v>
      </c>
      <c r="AQ14" s="31" t="n">
        <v>126678382</v>
      </c>
      <c r="AR14" s="31" t="n">
        <v>713421868</v>
      </c>
      <c r="AS14" s="31" t="n">
        <v>529523617</v>
      </c>
      <c r="AT14" s="31" t="n">
        <v>695388139</v>
      </c>
      <c r="AU14" s="31" t="n">
        <v>70036262</v>
      </c>
      <c r="AV14" s="31" t="n">
        <v>11439022640</v>
      </c>
      <c r="AW14" s="31" t="n">
        <v>2317446064</v>
      </c>
      <c r="AX14" s="31" t="n">
        <v>271270756</v>
      </c>
      <c r="AY14" s="31" t="n">
        <v>839212069</v>
      </c>
      <c r="AZ14" s="31" t="n">
        <v>393398194</v>
      </c>
      <c r="BA14" s="31" t="n">
        <v>7124778</v>
      </c>
      <c r="BB14" s="31" t="n">
        <v>0</v>
      </c>
      <c r="BC14" s="31" t="n">
        <v>-1668211752</v>
      </c>
    </row>
    <row r="15">
      <c r="A15" s="34" t="n">
        <v>2024</v>
      </c>
      <c r="B15" s="29" t="n">
        <v>3145610249</v>
      </c>
      <c r="C15" s="29" t="n">
        <v>2203312180</v>
      </c>
      <c r="D15" s="29" t="n">
        <v>934555069</v>
      </c>
      <c r="E15" s="29" t="n">
        <v>1269021291</v>
      </c>
      <c r="F15" s="29" t="n">
        <v>1060419627</v>
      </c>
      <c r="G15" s="29" t="n">
        <v>203801664</v>
      </c>
      <c r="H15" s="29" t="n">
        <v>0</v>
      </c>
      <c r="I15" s="29" t="n">
        <v>1134545164</v>
      </c>
      <c r="J15" s="29" t="n">
        <v>1169298711</v>
      </c>
      <c r="K15" s="29" t="n">
        <v>290312103</v>
      </c>
      <c r="L15" s="29" t="n">
        <v>6385762</v>
      </c>
      <c r="M15" s="29" t="n">
        <v>1200000</v>
      </c>
      <c r="N15" s="29" t="n">
        <v>3230389643</v>
      </c>
      <c r="O15" s="29" t="n">
        <v>0</v>
      </c>
      <c r="P15" s="29" t="n">
        <v>2438320002</v>
      </c>
      <c r="Q15" s="29" t="n">
        <v>3221346253</v>
      </c>
      <c r="R15" s="29" t="n">
        <v>2438320002</v>
      </c>
      <c r="S15" s="29" t="n">
        <v>9043390</v>
      </c>
      <c r="T15" s="29" t="n">
        <v>792069641</v>
      </c>
      <c r="U15" s="29" t="n">
        <v>2899400000</v>
      </c>
      <c r="V15" s="29" t="n">
        <v>2899400000</v>
      </c>
      <c r="W15" s="29" t="n">
        <v>519246356</v>
      </c>
      <c r="X15" s="29" t="n">
        <v>186125820</v>
      </c>
      <c r="Y15" s="29" t="n">
        <v>0</v>
      </c>
      <c r="Z15" s="29" t="n">
        <v>-5272983928</v>
      </c>
      <c r="AA15" s="29" t="n">
        <v>0</v>
      </c>
      <c r="AB15" s="29" t="n">
        <v>4829298290</v>
      </c>
      <c r="AC15" s="29" t="n">
        <v>4829298290</v>
      </c>
      <c r="AD15" s="29" t="n">
        <v>0</v>
      </c>
      <c r="AE15" s="29" t="n">
        <v>34753547</v>
      </c>
      <c r="AF15" s="29" t="n">
        <v>785930</v>
      </c>
      <c r="AG15" s="29" t="n">
        <v>3830323779</v>
      </c>
      <c r="AH15" s="29" t="n">
        <v>6954740653</v>
      </c>
      <c r="AI15" s="29" t="n">
        <v>10785064432</v>
      </c>
      <c r="AJ15" s="29" t="n">
        <v>1634861234</v>
      </c>
      <c r="AK15" s="29" t="n">
        <v>6790107498</v>
      </c>
      <c r="AL15" s="29" t="n">
        <v>9214516879</v>
      </c>
      <c r="AM15" s="29" t="n">
        <v>3407519850</v>
      </c>
      <c r="AN15" s="29" t="n">
        <v>4944656429</v>
      </c>
      <c r="AO15" s="29" t="n">
        <v>650882600</v>
      </c>
      <c r="AP15" s="29" t="n">
        <v>979838445</v>
      </c>
      <c r="AQ15" s="29" t="n">
        <v>0</v>
      </c>
      <c r="AR15" s="29" t="n">
        <v>449256601</v>
      </c>
      <c r="AS15" s="29" t="n">
        <v>530581844</v>
      </c>
      <c r="AT15" s="29" t="n">
        <v>438360275</v>
      </c>
      <c r="AU15" s="29" t="n">
        <v>767335669</v>
      </c>
      <c r="AV15" s="29" t="n">
        <v>13763102835</v>
      </c>
      <c r="AW15" s="29" t="n">
        <v>2978038403</v>
      </c>
      <c r="AX15" s="29" t="n">
        <v>236353873</v>
      </c>
      <c r="AY15" s="29" t="n">
        <v>699925787</v>
      </c>
      <c r="AZ15" s="29" t="n">
        <v>383307725</v>
      </c>
      <c r="BA15" s="29" t="n">
        <v>9176280</v>
      </c>
      <c r="BB15" s="29" t="n">
        <v>0</v>
      </c>
      <c r="BC15" s="29" t="n">
        <v>-876142111</v>
      </c>
    </row>
    <row r="16">
      <c r="A16" s="34" t="n">
        <v>2025</v>
      </c>
      <c r="B16" s="31" t="n">
        <v>3418141722</v>
      </c>
      <c r="C16" s="31" t="n">
        <v>2409281030</v>
      </c>
      <c r="D16" s="31" t="n">
        <v>1008860692</v>
      </c>
      <c r="E16" s="31" t="n">
        <v>1964772027</v>
      </c>
      <c r="F16" s="31" t="n">
        <v>1771635361</v>
      </c>
      <c r="G16" s="31" t="n">
        <v>193136666</v>
      </c>
      <c r="H16" s="31" t="n">
        <v>0</v>
      </c>
      <c r="I16" s="31" t="n">
        <v>1241993107</v>
      </c>
      <c r="J16" s="31" t="n">
        <v>1285659785</v>
      </c>
      <c r="K16" s="31" t="n">
        <v>341642998</v>
      </c>
      <c r="L16" s="31" t="n">
        <v>7482381</v>
      </c>
      <c r="M16" s="31" t="n">
        <v>27480000</v>
      </c>
      <c r="N16" s="31" t="n">
        <v>3688331723</v>
      </c>
      <c r="O16" s="31" t="n">
        <v>0</v>
      </c>
      <c r="P16" s="31" t="n">
        <v>3250431812</v>
      </c>
      <c r="Q16" s="31" t="n">
        <v>3671499865</v>
      </c>
      <c r="R16" s="31" t="n">
        <v>3250431812</v>
      </c>
      <c r="S16" s="31" t="n">
        <v>16831858</v>
      </c>
      <c r="T16" s="31" t="n">
        <v>437899911</v>
      </c>
      <c r="U16" s="31" t="n">
        <v>2899400000</v>
      </c>
      <c r="V16" s="31" t="n">
        <v>2899400000</v>
      </c>
      <c r="W16" s="31" t="n">
        <v>820232819</v>
      </c>
      <c r="X16" s="31" t="n">
        <v>677208998</v>
      </c>
      <c r="Y16" s="31" t="n">
        <v>0</v>
      </c>
      <c r="Z16" s="31" t="n">
        <v>-5272983928</v>
      </c>
      <c r="AA16" s="31" t="n">
        <v>0</v>
      </c>
      <c r="AB16" s="31" t="n">
        <v>4829298290</v>
      </c>
      <c r="AC16" s="31" t="n">
        <v>4829298290</v>
      </c>
      <c r="AD16" s="31" t="n">
        <v>0</v>
      </c>
      <c r="AE16" s="31" t="n">
        <v>43666678</v>
      </c>
      <c r="AF16" s="31" t="n">
        <v>0</v>
      </c>
      <c r="AG16" s="31" t="n">
        <v>4965221920</v>
      </c>
      <c r="AH16" s="31" t="n">
        <v>8848845044</v>
      </c>
      <c r="AI16" s="31" t="n">
        <v>13814066964</v>
      </c>
      <c r="AJ16" s="31" t="n">
        <v>1358821103</v>
      </c>
      <c r="AK16" s="31" t="n">
        <v>6814784076</v>
      </c>
      <c r="AL16" s="31" t="n">
        <v>10425076132</v>
      </c>
      <c r="AM16" s="31" t="n">
        <v>3407519850</v>
      </c>
      <c r="AN16" s="31" t="n">
        <v>6002976947</v>
      </c>
      <c r="AO16" s="31" t="n">
        <v>817121335</v>
      </c>
      <c r="AP16" s="31" t="n">
        <v>1964171543</v>
      </c>
      <c r="AQ16" s="31" t="n">
        <v>0</v>
      </c>
      <c r="AR16" s="31" t="n">
        <v>1464171543</v>
      </c>
      <c r="AS16" s="31" t="n">
        <v>500000000</v>
      </c>
      <c r="AT16" s="31" t="n">
        <v>1449586812</v>
      </c>
      <c r="AU16" s="31" t="n">
        <v>750837284</v>
      </c>
      <c r="AV16" s="31" t="n">
        <v>15520146267</v>
      </c>
      <c r="AW16" s="31" t="n">
        <v>1706079303</v>
      </c>
      <c r="AX16" s="31" t="n">
        <v>242140869</v>
      </c>
      <c r="AY16" s="31" t="n">
        <v>1608155525</v>
      </c>
      <c r="AZ16" s="31" t="n">
        <v>381837750</v>
      </c>
      <c r="BA16" s="31" t="n">
        <v>117912488</v>
      </c>
      <c r="BB16" s="31" t="n">
        <v>0</v>
      </c>
      <c r="BC16" s="31" t="n">
        <v>-438242200</v>
      </c>
    </row>
    <row r="17">
      <c r="A17" s="34" t="n">
        <v>2026</v>
      </c>
      <c r="B17" s="29" t="n">
        <v>2392197346</v>
      </c>
      <c r="C17" s="29" t="n">
        <v>1690007290</v>
      </c>
      <c r="D17" s="29" t="n">
        <v>702190056</v>
      </c>
      <c r="E17" s="29" t="n">
        <v>1798855783</v>
      </c>
      <c r="F17" s="29" t="n">
        <v>1646039117</v>
      </c>
      <c r="G17" s="29" t="n">
        <v>152816666</v>
      </c>
      <c r="H17" s="29" t="n">
        <v>0</v>
      </c>
      <c r="I17" s="29" t="n">
        <v>1055460837</v>
      </c>
      <c r="J17" s="29" t="n">
        <v>1055460837</v>
      </c>
      <c r="K17" s="29" t="n">
        <v>272578469</v>
      </c>
      <c r="L17" s="29" t="n">
        <v>5596745</v>
      </c>
      <c r="M17" s="29" t="n">
        <v>1000000</v>
      </c>
      <c r="N17" s="29" t="n">
        <v>2413060120</v>
      </c>
      <c r="O17" s="29" t="n">
        <v>0</v>
      </c>
      <c r="P17" s="29" t="n">
        <v>2854316620</v>
      </c>
      <c r="Q17" s="29" t="n">
        <v>2413060120</v>
      </c>
      <c r="R17" s="29" t="n">
        <v>2854316620</v>
      </c>
      <c r="S17" s="29" t="n">
        <v>0</v>
      </c>
      <c r="T17" s="29" t="n">
        <v>-441256500</v>
      </c>
      <c r="U17" s="29" t="n">
        <v>2899400000</v>
      </c>
      <c r="V17" s="29" t="n">
        <v>2899400000</v>
      </c>
      <c r="W17" s="29" t="n">
        <v>820232819</v>
      </c>
      <c r="X17" s="29" t="n">
        <v>677208998</v>
      </c>
      <c r="Y17" s="29" t="n">
        <v>437899911</v>
      </c>
      <c r="Z17" s="29" t="n">
        <v>-5272983928</v>
      </c>
      <c r="AA17" s="29" t="n">
        <v>0</v>
      </c>
      <c r="AB17" s="29" t="n">
        <v>4829298290</v>
      </c>
      <c r="AC17" s="29" t="n">
        <v>4829298290</v>
      </c>
      <c r="AD17" s="29" t="n">
        <v>0</v>
      </c>
      <c r="AE17" s="29" t="n">
        <v>43666678</v>
      </c>
      <c r="AF17" s="29" t="n">
        <v>0</v>
      </c>
      <c r="AG17" s="29" t="n">
        <v>5229245425</v>
      </c>
      <c r="AH17" s="29" t="n">
        <v>10514270966</v>
      </c>
      <c r="AI17" s="29" t="n">
        <v>15743516391</v>
      </c>
      <c r="AJ17" s="29" t="n">
        <v>1475233557</v>
      </c>
      <c r="AK17" s="29" t="n">
        <v>6863564240</v>
      </c>
      <c r="AL17" s="29" t="n">
        <v>11603989675</v>
      </c>
      <c r="AM17" s="29" t="n">
        <v>3407519850</v>
      </c>
      <c r="AN17" s="29" t="n">
        <v>7083534565</v>
      </c>
      <c r="AO17" s="29" t="n">
        <v>915477260</v>
      </c>
      <c r="AP17" s="29" t="n">
        <v>3359100618</v>
      </c>
      <c r="AQ17" s="29" t="n">
        <v>0</v>
      </c>
      <c r="AR17" s="29" t="n">
        <v>2373558814</v>
      </c>
      <c r="AS17" s="29" t="n">
        <v>985541804</v>
      </c>
      <c r="AT17" s="29" t="n">
        <v>2356399123</v>
      </c>
      <c r="AU17" s="29" t="n">
        <v>98766333</v>
      </c>
      <c r="AV17" s="29" t="n">
        <v>17931954598</v>
      </c>
      <c r="AW17" s="29" t="n">
        <v>2188438207</v>
      </c>
      <c r="AX17" s="29" t="n">
        <v>690234451</v>
      </c>
      <c r="AY17" s="29" t="n">
        <v>2562885661</v>
      </c>
      <c r="AZ17" s="29" t="n">
        <v>381837750</v>
      </c>
      <c r="BA17" s="29" t="n">
        <v>5541804</v>
      </c>
      <c r="BB17" s="29" t="n">
        <v>0</v>
      </c>
      <c r="BC17" s="29" t="n">
        <v>-879498700</v>
      </c>
    </row>
    <row r="18"/>
    <row r="19">
      <c r="A19" s="14" t="inlineStr">
        <is>
          <t>Source : balances des comptes du FPPN (Sage 100), 2020 au 31/08/2026 (2026 provisoire) ; traitements Adenka</t>
        </is>
      </c>
    </row>
  </sheetData>
  <mergeCells count="6">
    <mergeCell ref="B7:BC7"/>
    <mergeCell ref="B3:BC3"/>
    <mergeCell ref="B5:BC5"/>
    <mergeCell ref="B4:BC4"/>
    <mergeCell ref="B6:BC6"/>
    <mergeCell ref="B2:BC2"/>
  </mergeCells>
  <pageMargins left="0.75" right="0.75" top="1" bottom="1" header="0.5" footer="0.5"/>
  <pageSetup orientation="landscape" fitToHeight="0" fitToWidth="1"/>
</worksheet>
</file>

<file path=xl/worksheets/sheet45.xml><?xml version="1.0" encoding="utf-8"?>
<worksheet xmlns="http://schemas.openxmlformats.org/spreadsheetml/2006/main">
  <sheetPr>
    <tabColor rgb="00112A40"/>
    <outlinePr summaryBelow="1" summaryRight="1"/>
    <pageSetUpPr fitToPage="1"/>
  </sheetPr>
  <dimension ref="A1:I18"/>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43.25" customWidth="1" min="2" max="2"/>
    <col width="17.95" customWidth="1" min="3" max="3"/>
    <col width="17.95" customWidth="1" min="4" max="4"/>
    <col width="17.95" customWidth="1" min="5" max="5"/>
    <col width="17.95" customWidth="1" min="6" max="6"/>
    <col width="17.95" customWidth="1" min="7" max="7"/>
    <col width="17.95" customWidth="1" min="8" max="8"/>
    <col width="17.95" customWidth="1" min="9" max="9"/>
  </cols>
  <sheetData>
    <row r="1">
      <c r="A1" s="7" t="inlineStr">
        <is>
          <t>Tableau : Inventaire des provisions et dépréciations (FCFA)</t>
        </is>
      </c>
    </row>
    <row r="2" ht="15" customHeight="1">
      <c r="A2" s="25" t="inlineStr">
        <is>
          <t>À quoi sert cet onglet</t>
        </is>
      </c>
      <c r="B2" s="26" t="inlineStr">
        <is>
          <t>Lister toutes les provisions et dépréciations du bilan, année par année.</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25" customHeight="1">
      <c r="A4" s="25" t="inlineStr">
        <is>
          <t>Comment le calcul est fait</t>
        </is>
      </c>
      <c r="B4" s="26" t="inlineStr">
        <is>
          <t>Solde de chaque compte de provision (15, 19, 29, 39, 49). Les valeurs sont calculées par les scripts de la mission et collées ici ; la formule de chaque colonne est donnée dans « Comment le calcul est fait ».</t>
        </is>
      </c>
    </row>
    <row r="5" ht="15" customHeight="1">
      <c r="A5" s="25" t="inlineStr">
        <is>
          <t>Comment lire le résultat</t>
        </is>
      </c>
      <c r="B5" s="26" t="inlineStr">
        <is>
          <t>Les provisions maladie et obsèques ont le même montant de 2020 à 2026 : elles ne sont pas recalculées.</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Aucune.</t>
        </is>
      </c>
    </row>
    <row r="8"/>
    <row r="9"/>
    <row r="10" ht="30" customHeight="1">
      <c r="A10" s="8" t="inlineStr">
        <is>
          <t>Compte</t>
        </is>
      </c>
      <c r="B10" s="8" t="inlineStr">
        <is>
          <t>Intitulé</t>
        </is>
      </c>
      <c r="C10" s="8" t="inlineStr">
        <is>
          <t>2020</t>
        </is>
      </c>
      <c r="D10" s="8" t="inlineStr">
        <is>
          <t>2021</t>
        </is>
      </c>
      <c r="E10" s="8" t="inlineStr">
        <is>
          <t>2022</t>
        </is>
      </c>
      <c r="F10" s="8" t="inlineStr">
        <is>
          <t>2023</t>
        </is>
      </c>
      <c r="G10" s="8" t="inlineStr">
        <is>
          <t>2024</t>
        </is>
      </c>
      <c r="H10" s="8" t="inlineStr">
        <is>
          <t>2025</t>
        </is>
      </c>
      <c r="I10" s="8" t="inlineStr">
        <is>
          <t>2026</t>
        </is>
      </c>
    </row>
    <row r="11">
      <c r="A11" s="27" t="inlineStr">
        <is>
          <t>15801000</t>
        </is>
      </c>
      <c r="B11" s="28" t="inlineStr">
        <is>
          <t>Prov pr prestations à payer-maladie</t>
        </is>
      </c>
      <c r="C11" s="29" t="n">
        <v>0</v>
      </c>
      <c r="D11" s="29" t="n">
        <v>0</v>
      </c>
      <c r="E11" s="29" t="n">
        <v>0</v>
      </c>
      <c r="F11" s="29" t="n">
        <v>0</v>
      </c>
      <c r="G11" s="29" t="n">
        <v>2867602878</v>
      </c>
      <c r="H11" s="29" t="n">
        <v>2867602878</v>
      </c>
      <c r="I11" s="29" t="n">
        <v>2867602878</v>
      </c>
    </row>
    <row r="12">
      <c r="A12" s="27" t="inlineStr">
        <is>
          <t>15802000</t>
        </is>
      </c>
      <c r="B12" s="30" t="inlineStr">
        <is>
          <t>Provision pr prestation à payer obs</t>
        </is>
      </c>
      <c r="C12" s="31" t="n">
        <v>0</v>
      </c>
      <c r="D12" s="31" t="n">
        <v>0</v>
      </c>
      <c r="E12" s="31" t="n">
        <v>0</v>
      </c>
      <c r="F12" s="31" t="n">
        <v>0</v>
      </c>
      <c r="G12" s="31" t="n">
        <v>1961695412</v>
      </c>
      <c r="H12" s="31" t="n">
        <v>1961695412</v>
      </c>
      <c r="I12" s="31" t="n">
        <v>1961695412</v>
      </c>
    </row>
    <row r="13">
      <c r="A13" s="27" t="inlineStr">
        <is>
          <t>19011000</t>
        </is>
      </c>
      <c r="B13" s="28" t="inlineStr">
        <is>
          <t>Prov pr prestations à payer-maladie</t>
        </is>
      </c>
      <c r="C13" s="29" t="n">
        <v>2867602878</v>
      </c>
      <c r="D13" s="29" t="n">
        <v>2867602878</v>
      </c>
      <c r="E13" s="29" t="n">
        <v>2867602878</v>
      </c>
      <c r="F13" s="29" t="n">
        <v>2867602878</v>
      </c>
      <c r="G13" s="29" t="n">
        <v>0</v>
      </c>
      <c r="H13" s="29" t="n">
        <v>0</v>
      </c>
      <c r="I13" s="29" t="n">
        <v>0</v>
      </c>
    </row>
    <row r="14">
      <c r="A14" s="27" t="inlineStr">
        <is>
          <t>19012000</t>
        </is>
      </c>
      <c r="B14" s="30" t="inlineStr">
        <is>
          <t>Prov. pr prestat°à payer-obsèques</t>
        </is>
      </c>
      <c r="C14" s="31" t="n">
        <v>1961695412</v>
      </c>
      <c r="D14" s="31" t="n">
        <v>1961695412</v>
      </c>
      <c r="E14" s="31" t="n">
        <v>1961695412</v>
      </c>
      <c r="F14" s="31" t="n">
        <v>1961695412</v>
      </c>
      <c r="G14" s="31" t="n">
        <v>0</v>
      </c>
      <c r="H14" s="31" t="n">
        <v>0</v>
      </c>
      <c r="I14" s="31" t="n">
        <v>0</v>
      </c>
    </row>
    <row r="15">
      <c r="A15" s="27" t="inlineStr">
        <is>
          <t>19600000</t>
        </is>
      </c>
      <c r="B15" s="28" t="inlineStr">
        <is>
          <t>Prov pr pensions &amp; oblig. similaire</t>
        </is>
      </c>
      <c r="C15" s="29" t="n">
        <v>24155943</v>
      </c>
      <c r="D15" s="29" t="n">
        <v>22542542</v>
      </c>
      <c r="E15" s="29" t="n">
        <v>28325794</v>
      </c>
      <c r="F15" s="29" t="n">
        <v>35312179</v>
      </c>
      <c r="G15" s="29" t="n">
        <v>34753547</v>
      </c>
      <c r="H15" s="29" t="n">
        <v>43666678</v>
      </c>
      <c r="I15" s="29" t="n">
        <v>43666678</v>
      </c>
    </row>
    <row r="16">
      <c r="A16" s="27" t="inlineStr">
        <is>
          <t>49711017</t>
        </is>
      </c>
      <c r="B16" s="30" t="inlineStr">
        <is>
          <t>PROV POUR DEPRECIATION DEBIT. SOMAV</t>
        </is>
      </c>
      <c r="C16" s="31" t="n">
        <v>0</v>
      </c>
      <c r="D16" s="31" t="n">
        <v>55711080</v>
      </c>
      <c r="E16" s="31" t="n">
        <v>0</v>
      </c>
      <c r="F16" s="31" t="n">
        <v>0</v>
      </c>
      <c r="G16" s="31" t="n">
        <v>0</v>
      </c>
      <c r="H16" s="31" t="n">
        <v>0</v>
      </c>
      <c r="I16" s="31" t="n">
        <v>0</v>
      </c>
    </row>
    <row r="17"/>
    <row r="18">
      <c r="A18" s="14" t="inlineStr">
        <is>
          <t>Source : balances des comptes du FPPN (Sage 100), 2020 au 31/08/2026 (2026 provisoire) ; traitements Adenka</t>
        </is>
      </c>
    </row>
  </sheetData>
  <mergeCells count="6">
    <mergeCell ref="B7:I7"/>
    <mergeCell ref="B6:I6"/>
    <mergeCell ref="B2:I2"/>
    <mergeCell ref="B3:I3"/>
    <mergeCell ref="B5:I5"/>
    <mergeCell ref="B4:I4"/>
  </mergeCells>
  <pageMargins left="0.75" right="0.75" top="1" bottom="1" header="0.5" footer="0.5"/>
  <pageSetup orientation="landscape" fitToHeight="0" fitToWidth="1"/>
</worksheet>
</file>

<file path=xl/worksheets/sheet46.xml><?xml version="1.0" encoding="utf-8"?>
<worksheet xmlns="http://schemas.openxmlformats.org/spreadsheetml/2006/main">
  <sheetPr>
    <tabColor rgb="00112A40"/>
    <outlinePr summaryBelow="1" summaryRight="1"/>
    <pageSetUpPr fitToPage="1"/>
  </sheetPr>
  <dimension ref="A1:J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25.1" customWidth="1" min="3" max="3"/>
    <col width="21.95" customWidth="1" min="4" max="4"/>
    <col width="10" customWidth="1" min="5" max="5"/>
    <col width="25.1" customWidth="1" min="6" max="6"/>
    <col width="25.1" customWidth="1" min="7" max="7"/>
    <col width="25.1" customWidth="1" min="8" max="8"/>
    <col width="19.85" customWidth="1" min="9" max="9"/>
    <col width="20.9" customWidth="1" min="10" max="10"/>
  </cols>
  <sheetData>
    <row r="1">
      <c r="A1" s="7" t="inlineStr">
        <is>
          <t>Tableau : Provision maladie, dettes envers les cliniques et prestations</t>
        </is>
      </c>
    </row>
    <row r="2" ht="15" customHeight="1">
      <c r="A2" s="25" t="inlineStr">
        <is>
          <t>À quoi sert cet onglet</t>
        </is>
      </c>
      <c r="B2" s="26" t="inlineStr">
        <is>
          <t>Comparer la provision maladie aux dettes envers les cliniques et aux prestations.</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Provision en mois de prestations = provision / (prestations / nombre de mois). Rapport provision / dettes cliniques (40110000). Les valeurs sont calculées par les scripts de la mission et collées ici ; la formule de chaque colonne est donnée dans « Comment le calcul est fait ».</t>
        </is>
      </c>
    </row>
    <row r="5" ht="15" customHeight="1">
      <c r="A5" s="25" t="inlineStr">
        <is>
          <t>Comment lire le résultat</t>
        </is>
      </c>
      <c r="B5" s="26" t="inlineStr">
        <is>
          <t>Le calcul du besoin réel est dans les onglets 18a à 18c.</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Aucune.</t>
        </is>
      </c>
    </row>
    <row r="8"/>
    <row r="9"/>
    <row r="10" ht="30" customHeight="1">
      <c r="A10" s="8" t="inlineStr">
        <is>
          <t>Exercice</t>
        </is>
      </c>
      <c r="B10" s="8" t="inlineStr">
        <is>
          <t>PSAP maladie</t>
        </is>
      </c>
      <c r="C10" s="8" t="inlineStr">
        <is>
          <t>Dettes cliniques 40110000</t>
        </is>
      </c>
      <c r="D10" s="8" t="inlineStr">
        <is>
          <t>Prestations maladie</t>
        </is>
      </c>
      <c r="E10" s="8" t="inlineStr">
        <is>
          <t>Mois</t>
        </is>
      </c>
      <c r="F10" s="8" t="inlineStr">
        <is>
          <t>PSAP en mois de prestations</t>
        </is>
      </c>
      <c r="G10" s="8" t="inlineStr">
        <is>
          <t>Dettes cliniques en mois</t>
        </is>
      </c>
      <c r="H10" s="8" t="inlineStr">
        <is>
          <t>PSAP sur dettes cliniques</t>
        </is>
      </c>
      <c r="I10" s="8" t="inlineStr">
        <is>
          <t>Prestations décès</t>
        </is>
      </c>
      <c r="J10" s="8" t="inlineStr">
        <is>
          <t>PSAP décès en mois</t>
        </is>
      </c>
    </row>
    <row r="11">
      <c r="A11" s="34" t="n">
        <v>2020</v>
      </c>
      <c r="B11" s="29" t="n">
        <v>2867602878</v>
      </c>
      <c r="C11" s="29" t="n">
        <v>1394774547</v>
      </c>
      <c r="D11" s="29" t="n">
        <v>205812056</v>
      </c>
      <c r="E11" s="35" t="n">
        <v>12</v>
      </c>
      <c r="F11" s="37" t="n">
        <v>167.1973702842753</v>
      </c>
      <c r="G11" s="37" t="n">
        <v>81.32319791800728</v>
      </c>
      <c r="H11" s="32" t="n">
        <v>2.055961577566701</v>
      </c>
      <c r="I11" s="29" t="n">
        <v>3933335</v>
      </c>
      <c r="J11" s="29" t="n">
        <v>5984.830924393676</v>
      </c>
    </row>
    <row r="12">
      <c r="A12" s="34" t="n">
        <v>2021</v>
      </c>
      <c r="B12" s="31" t="n">
        <v>2867602878</v>
      </c>
      <c r="C12" s="31" t="n">
        <v>875220557</v>
      </c>
      <c r="D12" s="31" t="n">
        <v>101453171</v>
      </c>
      <c r="E12" s="36" t="n">
        <v>12</v>
      </c>
      <c r="F12" s="38" t="n">
        <v>339.1834301167383</v>
      </c>
      <c r="G12" s="38" t="n">
        <v>103.5221135079159</v>
      </c>
      <c r="H12" s="33" t="n">
        <v>3.276434557055314</v>
      </c>
      <c r="I12" s="31" t="n">
        <v>401856666</v>
      </c>
      <c r="J12" s="31" t="n">
        <v>58.5789584587854</v>
      </c>
    </row>
    <row r="13">
      <c r="A13" s="34" t="n">
        <v>2022</v>
      </c>
      <c r="B13" s="29" t="n">
        <v>2867602878</v>
      </c>
      <c r="C13" s="29" t="n">
        <v>533144348</v>
      </c>
      <c r="D13" s="29" t="n">
        <v>115237773</v>
      </c>
      <c r="E13" s="35" t="n">
        <v>12</v>
      </c>
      <c r="F13" s="37" t="n">
        <v>298.6107214689059</v>
      </c>
      <c r="G13" s="37" t="n">
        <v>55.51766586117557</v>
      </c>
      <c r="H13" s="32" t="n">
        <v>5.378661311439055</v>
      </c>
      <c r="I13" s="29" t="n">
        <v>116090000</v>
      </c>
      <c r="J13" s="29" t="n">
        <v>202.7766814023603</v>
      </c>
    </row>
    <row r="14">
      <c r="A14" s="34" t="n">
        <v>2023</v>
      </c>
      <c r="B14" s="31" t="n">
        <v>2867602878</v>
      </c>
      <c r="C14" s="31" t="n">
        <v>271270756</v>
      </c>
      <c r="D14" s="31" t="n">
        <v>521004362</v>
      </c>
      <c r="E14" s="36" t="n">
        <v>12</v>
      </c>
      <c r="F14" s="38" t="n">
        <v>66.04788183328108</v>
      </c>
      <c r="G14" s="38" t="n">
        <v>6.248026522280825</v>
      </c>
      <c r="H14" s="33" t="n">
        <v>10.57099895426988</v>
      </c>
      <c r="I14" s="31" t="n">
        <v>141490000</v>
      </c>
      <c r="J14" s="31" t="n">
        <v>166.374619718708</v>
      </c>
    </row>
    <row r="15">
      <c r="A15" s="34" t="n">
        <v>2024</v>
      </c>
      <c r="B15" s="29" t="n">
        <v>2867602878</v>
      </c>
      <c r="C15" s="29" t="n">
        <v>236353873</v>
      </c>
      <c r="D15" s="29" t="n">
        <v>1060419627</v>
      </c>
      <c r="E15" s="35" t="n">
        <v>12</v>
      </c>
      <c r="F15" s="37" t="n">
        <v>32.45058244852724</v>
      </c>
      <c r="G15" s="37" t="n">
        <v>2.674645398655942</v>
      </c>
      <c r="H15" s="32" t="n">
        <v>12.13266718079124</v>
      </c>
      <c r="I15" s="29" t="n">
        <v>203801664</v>
      </c>
      <c r="J15" s="29" t="n">
        <v>115.5061469174265</v>
      </c>
    </row>
    <row r="16">
      <c r="A16" s="34" t="n">
        <v>2025</v>
      </c>
      <c r="B16" s="31" t="n">
        <v>2867602878</v>
      </c>
      <c r="C16" s="31" t="n">
        <v>242140869</v>
      </c>
      <c r="D16" s="31" t="n">
        <v>1771635361</v>
      </c>
      <c r="E16" s="36" t="n">
        <v>12</v>
      </c>
      <c r="F16" s="38" t="n">
        <v>19.42342950107779</v>
      </c>
      <c r="G16" s="38" t="n">
        <v>1.640117651727093</v>
      </c>
      <c r="H16" s="33" t="n">
        <v>11.84270499169638</v>
      </c>
      <c r="I16" s="31" t="n">
        <v>193136666</v>
      </c>
      <c r="J16" s="31" t="n">
        <v>121.8843911492187</v>
      </c>
    </row>
    <row r="17">
      <c r="A17" s="34" t="n">
        <v>2026</v>
      </c>
      <c r="B17" s="29" t="n">
        <v>2867602878</v>
      </c>
      <c r="C17" s="29" t="n">
        <v>690234451</v>
      </c>
      <c r="D17" s="29" t="n">
        <v>1646039117</v>
      </c>
      <c r="E17" s="35" t="n">
        <v>8</v>
      </c>
      <c r="F17" s="37" t="n">
        <v>13.9369853286421</v>
      </c>
      <c r="G17" s="37" t="n">
        <v>3.35464421894416</v>
      </c>
      <c r="H17" s="32" t="n">
        <v>4.154534555389789</v>
      </c>
      <c r="I17" s="29" t="n">
        <v>152816666</v>
      </c>
      <c r="J17" s="29" t="n">
        <v>102.6953650199383</v>
      </c>
    </row>
    <row r="18"/>
    <row r="19">
      <c r="A19" s="14" t="inlineStr">
        <is>
          <t>Source : balances des comptes du FPPN (Sage 100), 2020 au 31/08/2026 (2026 provisoire) ; traitements Adenka</t>
        </is>
      </c>
    </row>
  </sheetData>
  <mergeCells count="6">
    <mergeCell ref="B7:J7"/>
    <mergeCell ref="B3:J3"/>
    <mergeCell ref="B5:J5"/>
    <mergeCell ref="B4:J4"/>
    <mergeCell ref="B6:J6"/>
    <mergeCell ref="B2:J2"/>
  </mergeCells>
  <pageMargins left="0.75" right="0.75" top="1" bottom="1" header="0.5" footer="0.5"/>
  <pageSetup orientation="landscape" fitToHeight="0" fitToWidth="1"/>
</worksheet>
</file>

<file path=xl/worksheets/sheet47.xml><?xml version="1.0" encoding="utf-8"?>
<worksheet xmlns="http://schemas.openxmlformats.org/spreadsheetml/2006/main">
  <sheetPr>
    <tabColor rgb="00112A40"/>
    <outlinePr summaryBelow="1" summaryRight="1"/>
    <pageSetUpPr fitToPage="1"/>
  </sheetPr>
  <dimension ref="A1:F24"/>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22.55" customWidth="1" min="2" max="2"/>
    <col width="10" customWidth="1" min="3" max="3"/>
    <col width="17.95" customWidth="1" min="4" max="4"/>
    <col width="11.05" customWidth="1" min="5" max="5"/>
  </cols>
  <sheetData>
    <row r="1">
      <c r="A1" s="7" t="inlineStr">
        <is>
          <t>Tableau : Encours du Grenier par tranche de retard</t>
        </is>
      </c>
    </row>
    <row r="2" ht="15" customHeight="1">
      <c r="A2" s="25" t="inlineStr">
        <is>
          <t>À quoi sert cet onglet</t>
        </is>
      </c>
      <c r="B2" s="26" t="inlineStr">
        <is>
          <t>Encours du Grenier par tranche de retard, aux deux arrêtés retenus.</t>
        </is>
      </c>
    </row>
    <row r="3" ht="25" customHeight="1">
      <c r="A3" s="25" t="inlineStr">
        <is>
          <t>D'où viennent les chiffres</t>
        </is>
      </c>
      <c r="B3" s="26" t="inlineStr">
        <is>
          <t>Exports du logiciel de prêts du Grenier reçus le 15/10/2026 : « BalanceAgeeDetaille … .xls » (encours et retards par prêt) et « production_de_la_periode … .xls » (prêts débloqués).</t>
        </is>
      </c>
    </row>
    <row r="4" ht="25" customHeight="1">
      <c r="A4" s="25" t="inlineStr">
        <is>
          <t>Comment le calcul est fait</t>
        </is>
      </c>
      <c r="B4" s="26" t="inlineStr">
        <is>
          <t>Comme l'onglet 5_grenier_retards. Les valeurs sont calculées par les scripts de la mission et collées ici ; la formule de chaque colonne est donnée dans « Comment le calcul est fait ».</t>
        </is>
      </c>
    </row>
    <row r="5" ht="15" customHeight="1">
      <c r="A5" s="25" t="inlineStr">
        <is>
          <t>Comment lire le résultat</t>
        </is>
      </c>
      <c r="B5" s="26" t="inlineStr">
        <is>
          <t>Base de la dépréciation de l'onglet 23.</t>
        </is>
      </c>
    </row>
    <row r="6" ht="15" customHeight="1">
      <c r="A6" s="25" t="inlineStr">
        <is>
          <t>Valable pour</t>
        </is>
      </c>
      <c r="B6" s="26" t="inlineStr">
        <is>
          <t>31/12/2025 et 31/08/2026.</t>
        </is>
      </c>
    </row>
    <row r="7" ht="15" customHeight="1">
      <c r="A7" s="25" t="inlineStr">
        <is>
          <t>Limites</t>
        </is>
      </c>
      <c r="B7" s="26" t="inlineStr">
        <is>
          <t>Aucune.</t>
        </is>
      </c>
    </row>
    <row r="8"/>
    <row r="9"/>
    <row r="10" ht="30" customHeight="1">
      <c r="A10" s="8" t="inlineStr">
        <is>
          <t>Arrêté</t>
        </is>
      </c>
      <c r="B10" s="8" t="inlineStr">
        <is>
          <t>Tranche</t>
        </is>
      </c>
      <c r="C10" s="8" t="inlineStr">
        <is>
          <t>Prêts</t>
        </is>
      </c>
      <c r="D10" s="8" t="inlineStr">
        <is>
          <t>Encours</t>
        </is>
      </c>
      <c r="E10" s="8" t="inlineStr">
        <is>
          <t>Part</t>
        </is>
      </c>
    </row>
    <row r="11">
      <c r="A11" s="27" t="inlineStr">
        <is>
          <t>2025-12-31</t>
        </is>
      </c>
      <c r="B11" s="28" t="inlineStr">
        <is>
          <t>À jour</t>
        </is>
      </c>
      <c r="C11" s="29" t="n">
        <v>672</v>
      </c>
      <c r="D11" s="29" t="n">
        <v>232132444</v>
      </c>
      <c r="E11" s="32" t="n">
        <v>0.279804627815675</v>
      </c>
    </row>
    <row r="12">
      <c r="A12" s="27" t="inlineStr">
        <is>
          <t>2025-12-31</t>
        </is>
      </c>
      <c r="B12" s="30" t="inlineStr">
        <is>
          <t>1 à 30 jours</t>
        </is>
      </c>
      <c r="C12" s="31" t="n">
        <v>1793</v>
      </c>
      <c r="D12" s="31" t="n">
        <v>566005320</v>
      </c>
      <c r="E12" s="33" t="n">
        <v>0.6822437448868286</v>
      </c>
    </row>
    <row r="13">
      <c r="A13" s="27" t="inlineStr">
        <is>
          <t>2025-12-31</t>
        </is>
      </c>
      <c r="B13" s="28" t="inlineStr">
        <is>
          <t>31 à 90 jours</t>
        </is>
      </c>
      <c r="C13" s="29" t="n">
        <v>94</v>
      </c>
      <c r="D13" s="29" t="n">
        <v>24441213</v>
      </c>
      <c r="E13" s="32" t="n">
        <v>0.02946061476365034</v>
      </c>
    </row>
    <row r="14">
      <c r="A14" s="27" t="inlineStr">
        <is>
          <t>2025-12-31</t>
        </is>
      </c>
      <c r="B14" s="30" t="inlineStr">
        <is>
          <t>91 à 180 jours</t>
        </is>
      </c>
      <c r="C14" s="31" t="n">
        <v>21</v>
      </c>
      <c r="D14" s="31" t="n">
        <v>2683220</v>
      </c>
      <c r="E14" s="33" t="n">
        <v>0.003234262994480752</v>
      </c>
    </row>
    <row r="15">
      <c r="A15" s="27" t="inlineStr">
        <is>
          <t>2025-12-31</t>
        </is>
      </c>
      <c r="B15" s="28" t="inlineStr">
        <is>
          <t>181 à 365 jours</t>
        </is>
      </c>
      <c r="C15" s="29" t="n">
        <v>22</v>
      </c>
      <c r="D15" s="29" t="n">
        <v>3441406</v>
      </c>
      <c r="E15" s="32" t="n">
        <v>0.004148154856770606</v>
      </c>
    </row>
    <row r="16">
      <c r="A16" s="27" t="inlineStr">
        <is>
          <t>2025-12-31</t>
        </is>
      </c>
      <c r="B16" s="30" t="inlineStr">
        <is>
          <t>Plus de 365 jours</t>
        </is>
      </c>
      <c r="C16" s="31" t="n">
        <v>7</v>
      </c>
      <c r="D16" s="31" t="n">
        <v>919716</v>
      </c>
      <c r="E16" s="33" t="n">
        <v>0.00110859468259474</v>
      </c>
    </row>
    <row r="17">
      <c r="A17" s="27" t="inlineStr">
        <is>
          <t>2026-08-31</t>
        </is>
      </c>
      <c r="B17" s="28" t="inlineStr">
        <is>
          <t>À jour</t>
        </is>
      </c>
      <c r="C17" s="29" t="n">
        <v>2793</v>
      </c>
      <c r="D17" s="29" t="n">
        <v>1018427306</v>
      </c>
      <c r="E17" s="32" t="n">
        <v>0.9752228777222988</v>
      </c>
    </row>
    <row r="18">
      <c r="A18" s="27" t="inlineStr">
        <is>
          <t>2026-08-31</t>
        </is>
      </c>
      <c r="B18" s="30" t="inlineStr">
        <is>
          <t>1 à 30 jours</t>
        </is>
      </c>
      <c r="C18" s="31" t="n">
        <v>16</v>
      </c>
      <c r="D18" s="31" t="n">
        <v>6712196</v>
      </c>
      <c r="E18" s="33" t="n">
        <v>0.00642744657413585</v>
      </c>
    </row>
    <row r="19">
      <c r="A19" s="27" t="inlineStr">
        <is>
          <t>2026-08-31</t>
        </is>
      </c>
      <c r="B19" s="28" t="inlineStr">
        <is>
          <t>31 à 90 jours</t>
        </is>
      </c>
      <c r="C19" s="29" t="n">
        <v>7</v>
      </c>
      <c r="D19" s="29" t="n">
        <v>1317345</v>
      </c>
      <c r="E19" s="32" t="n">
        <v>0.001261459678353402</v>
      </c>
    </row>
    <row r="20">
      <c r="A20" s="27" t="inlineStr">
        <is>
          <t>2026-08-31</t>
        </is>
      </c>
      <c r="B20" s="30" t="inlineStr">
        <is>
          <t>91 à 180 jours</t>
        </is>
      </c>
      <c r="C20" s="31" t="n">
        <v>17</v>
      </c>
      <c r="D20" s="31" t="n">
        <v>3018448</v>
      </c>
      <c r="E20" s="33" t="n">
        <v>0.002890397309138054</v>
      </c>
    </row>
    <row r="21">
      <c r="A21" s="27" t="inlineStr">
        <is>
          <t>2026-08-31</t>
        </is>
      </c>
      <c r="B21" s="28" t="inlineStr">
        <is>
          <t>181 à 365 jours</t>
        </is>
      </c>
      <c r="C21" s="29" t="n">
        <v>99</v>
      </c>
      <c r="D21" s="29" t="n">
        <v>10088997</v>
      </c>
      <c r="E21" s="32" t="n">
        <v>0.009660994584204167</v>
      </c>
    </row>
    <row r="22">
      <c r="A22" s="27" t="inlineStr">
        <is>
          <t>2026-08-31</t>
        </is>
      </c>
      <c r="B22" s="30" t="inlineStr">
        <is>
          <t>Plus de 365 jours</t>
        </is>
      </c>
      <c r="C22" s="31" t="n">
        <v>27</v>
      </c>
      <c r="D22" s="31" t="n">
        <v>4737815</v>
      </c>
      <c r="E22" s="33" t="n">
        <v>0.004536824131869725</v>
      </c>
    </row>
    <row r="23"/>
    <row r="24">
      <c r="A24" s="14" t="inlineStr">
        <is>
          <t>Source : exports du logiciel de prêts du Grenier du Policier reçus le 15/10/2026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48.xml><?xml version="1.0" encoding="utf-8"?>
<worksheet xmlns="http://schemas.openxmlformats.org/spreadsheetml/2006/main">
  <sheetPr>
    <tabColor rgb="00112A40"/>
    <outlinePr summaryBelow="1" summaryRight="1"/>
    <pageSetUpPr fitToPage="1"/>
  </sheetPr>
  <dimension ref="A1:F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6.7" customWidth="1" min="2" max="2"/>
    <col width="18.8" customWidth="1" min="3" max="3"/>
    <col width="19.85" customWidth="1" min="4" max="4"/>
  </cols>
  <sheetData>
    <row r="1">
      <c r="A1" s="7" t="inlineStr">
        <is>
          <t>Tableau : Compte de tiers GNA (47111106)</t>
        </is>
      </c>
    </row>
    <row r="2" ht="15" customHeight="1">
      <c r="A2" s="25" t="inlineStr">
        <is>
          <t>À quoi sert cet onglet</t>
        </is>
      </c>
      <c r="B2" s="26" t="inlineStr">
        <is>
          <t>Suivre le compte de tiers GNA (flotte automobile).</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25" customHeight="1">
      <c r="A4" s="25" t="inlineStr">
        <is>
          <t>Comment le calcul est fait</t>
        </is>
      </c>
      <c r="B4" s="26" t="inlineStr">
        <is>
          <t>Solde et mouvements du compte 47111106. Les valeurs sont calculées par les scripts de la mission et collées ici ; la formule de chaque colonne est donnée dans « Comment le calcul est fait ».</t>
        </is>
      </c>
    </row>
    <row r="5" ht="15" customHeight="1">
      <c r="A5" s="25" t="inlineStr">
        <is>
          <t>Comment lire le résultat</t>
        </is>
      </c>
      <c r="B5" s="26" t="inlineStr">
        <is>
          <t>Le risque automobile est porté par GNA, non par le FPPN.</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Convention GNA non reçue.</t>
        </is>
      </c>
    </row>
    <row r="8"/>
    <row r="9"/>
    <row r="10" ht="30" customHeight="1">
      <c r="A10" s="8" t="inlineStr">
        <is>
          <t>Exercice</t>
        </is>
      </c>
      <c r="B10" s="8" t="inlineStr">
        <is>
          <t>Solde debiteur</t>
        </is>
      </c>
      <c r="C10" s="8" t="inlineStr">
        <is>
          <t>Mouvements débit</t>
        </is>
      </c>
      <c r="D10" s="8" t="inlineStr">
        <is>
          <t>Mouvements crédit</t>
        </is>
      </c>
    </row>
    <row r="11">
      <c r="A11" s="34" t="n">
        <v>2020</v>
      </c>
      <c r="B11" s="29" t="n">
        <v>0</v>
      </c>
      <c r="C11" s="29" t="n">
        <v>0</v>
      </c>
      <c r="D11" s="29" t="n">
        <v>0</v>
      </c>
    </row>
    <row r="12">
      <c r="A12" s="34" t="n">
        <v>2021</v>
      </c>
      <c r="B12" s="31" t="n">
        <v>0</v>
      </c>
      <c r="C12" s="31" t="n">
        <v>0</v>
      </c>
      <c r="D12" s="31" t="n">
        <v>0</v>
      </c>
    </row>
    <row r="13">
      <c r="A13" s="34" t="n">
        <v>2022</v>
      </c>
      <c r="B13" s="29" t="n">
        <v>0</v>
      </c>
      <c r="C13" s="29" t="n">
        <v>0</v>
      </c>
      <c r="D13" s="29" t="n">
        <v>0</v>
      </c>
    </row>
    <row r="14">
      <c r="A14" s="34" t="n">
        <v>2023</v>
      </c>
      <c r="B14" s="31" t="n">
        <v>1024011</v>
      </c>
      <c r="C14" s="31" t="n">
        <v>1024011</v>
      </c>
      <c r="D14" s="31" t="n">
        <v>0</v>
      </c>
    </row>
    <row r="15">
      <c r="A15" s="34" t="n">
        <v>2024</v>
      </c>
      <c r="B15" s="29" t="n">
        <v>4700492</v>
      </c>
      <c r="C15" s="29" t="n">
        <v>3676481</v>
      </c>
      <c r="D15" s="29" t="n">
        <v>0</v>
      </c>
    </row>
    <row r="16">
      <c r="A16" s="34" t="n">
        <v>2025</v>
      </c>
      <c r="B16" s="31" t="n">
        <v>2457312</v>
      </c>
      <c r="C16" s="31" t="n">
        <v>837513</v>
      </c>
      <c r="D16" s="31" t="n">
        <v>3080693</v>
      </c>
    </row>
    <row r="17">
      <c r="A17" s="34" t="n">
        <v>2026</v>
      </c>
      <c r="B17" s="29" t="n">
        <v>3057898</v>
      </c>
      <c r="C17" s="29" t="n">
        <v>600586</v>
      </c>
      <c r="D17" s="29" t="n">
        <v>0</v>
      </c>
    </row>
    <row r="18"/>
    <row r="19">
      <c r="A19" s="14" t="inlineStr">
        <is>
          <t>Source : balances des comptes du FPPN (Sage 100), 2020 au 31/08/2026 (2026 provisoire)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49.xml><?xml version="1.0" encoding="utf-8"?>
<worksheet xmlns="http://schemas.openxmlformats.org/spreadsheetml/2006/main">
  <sheetPr>
    <tabColor rgb="00112A40"/>
    <outlinePr summaryBelow="1" summaryRight="1"/>
    <pageSetUpPr fitToPage="1"/>
  </sheetPr>
  <dimension ref="A1:F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5.65" customWidth="1" min="2" max="2"/>
    <col width="15.65" customWidth="1" min="3" max="3"/>
    <col width="14.6" customWidth="1" min="4" max="4"/>
  </cols>
  <sheetData>
    <row r="1">
      <c r="A1" s="7" t="inlineStr">
        <is>
          <t>Tableau : Provision pour départ à la retraite du personnel (compte 196)</t>
        </is>
      </c>
    </row>
    <row r="2" ht="15" customHeight="1">
      <c r="A2" s="25" t="inlineStr">
        <is>
          <t>À quoi sert cet onglet</t>
        </is>
      </c>
      <c r="B2" s="26" t="inlineStr">
        <is>
          <t>Suivre la provision pour départ à la retraite du personnel du FPPN (compte 196).</t>
        </is>
      </c>
    </row>
    <row r="3" ht="50" customHeight="1">
      <c r="A3" s="25" t="inlineStr">
        <is>
          <t>D'où viennent les chiffres</t>
        </is>
      </c>
      <c r="B3" s="26" t="inlineStr">
        <is>
          <t>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25" customHeight="1">
      <c r="A4" s="25" t="inlineStr">
        <is>
          <t>Comment le calcul est fait</t>
        </is>
      </c>
      <c r="B4" s="26" t="inlineStr">
        <is>
          <t>Solde du compte 196, dotation (6911) et reprise (7911). Les valeurs sont calculées par les scripts de la mission et collées ici ; la formule de chaque colonne est donnée dans « Comment le calcul est fait ».</t>
        </is>
      </c>
    </row>
    <row r="5" ht="15" customHeight="1">
      <c r="A5" s="25" t="inlineStr">
        <is>
          <t>Comment lire le résultat</t>
        </is>
      </c>
      <c r="B5" s="26" t="inlineStr">
        <is>
          <t>Le recalcul agent par agent est dans les onglets 14a à 14c.</t>
        </is>
      </c>
    </row>
    <row r="6" ht="15" customHeight="1">
      <c r="A6" s="25" t="inlineStr">
        <is>
          <t>Valable pour</t>
        </is>
      </c>
      <c r="B6" s="26" t="inlineStr">
        <is>
          <t>2020 à 2025.</t>
        </is>
      </c>
    </row>
    <row r="7" ht="15" customHeight="1">
      <c r="A7" s="25" t="inlineStr">
        <is>
          <t>Limites</t>
        </is>
      </c>
      <c r="B7" s="26" t="inlineStr">
        <is>
          <t>Aucune.</t>
        </is>
      </c>
    </row>
    <row r="8"/>
    <row r="9"/>
    <row r="10" ht="30" customHeight="1">
      <c r="A10" s="8" t="inlineStr">
        <is>
          <t>Exercice</t>
        </is>
      </c>
      <c r="B10" s="8" t="inlineStr">
        <is>
          <t>Provision 196</t>
        </is>
      </c>
      <c r="C10" s="8" t="inlineStr">
        <is>
          <t>Dotation 6911</t>
        </is>
      </c>
      <c r="D10" s="8" t="inlineStr">
        <is>
          <t>Reprise 7911</t>
        </is>
      </c>
    </row>
    <row r="11">
      <c r="A11" s="34" t="n">
        <v>2020</v>
      </c>
      <c r="B11" s="29" t="n">
        <v>24155943</v>
      </c>
      <c r="C11" s="29" t="n">
        <v>24155943</v>
      </c>
      <c r="D11" s="29" t="n">
        <v>21855876</v>
      </c>
    </row>
    <row r="12">
      <c r="A12" s="34" t="n">
        <v>2021</v>
      </c>
      <c r="B12" s="31" t="n">
        <v>22542542</v>
      </c>
      <c r="C12" s="31" t="n">
        <v>22542542</v>
      </c>
      <c r="D12" s="31" t="n">
        <v>24155943</v>
      </c>
    </row>
    <row r="13">
      <c r="A13" s="34" t="n">
        <v>2022</v>
      </c>
      <c r="B13" s="29" t="n">
        <v>28325794</v>
      </c>
      <c r="C13" s="29" t="n">
        <v>28325794</v>
      </c>
      <c r="D13" s="29" t="n">
        <v>22542542</v>
      </c>
    </row>
    <row r="14">
      <c r="A14" s="34" t="n">
        <v>2023</v>
      </c>
      <c r="B14" s="31" t="n">
        <v>35312179</v>
      </c>
      <c r="C14" s="31" t="n">
        <v>35312179</v>
      </c>
      <c r="D14" s="31" t="n">
        <v>28325794</v>
      </c>
    </row>
    <row r="15">
      <c r="A15" s="34" t="n">
        <v>2024</v>
      </c>
      <c r="B15" s="29" t="n">
        <v>34753547</v>
      </c>
      <c r="C15" s="29" t="n">
        <v>34753547</v>
      </c>
      <c r="D15" s="29" t="n">
        <v>35312179</v>
      </c>
    </row>
    <row r="16">
      <c r="A16" s="34" t="n">
        <v>2025</v>
      </c>
      <c r="B16" s="31" t="n">
        <v>43666678</v>
      </c>
      <c r="C16" s="31" t="n">
        <v>43666678</v>
      </c>
      <c r="D16" s="31" t="n">
        <v>34753547</v>
      </c>
    </row>
    <row r="17">
      <c r="A17" s="34" t="n">
        <v>2026</v>
      </c>
      <c r="B17" s="29" t="n">
        <v>43666678</v>
      </c>
      <c r="C17" s="29" t="n">
        <v>0</v>
      </c>
      <c r="D17" s="29" t="n">
        <v>0</v>
      </c>
    </row>
    <row r="18"/>
    <row r="19">
      <c r="A19" s="14" t="inlineStr">
        <is>
          <t>Source : balances des comptes du FPPN (Sage 100), 2020 au 31/08/2026 (2026 provisoire) ; traitements Adenka</t>
        </is>
      </c>
    </row>
  </sheetData>
  <mergeCells count="6">
    <mergeCell ref="B4:F4"/>
    <mergeCell ref="B7:F7"/>
    <mergeCell ref="B6:F6"/>
    <mergeCell ref="B2:F2"/>
    <mergeCell ref="B3:F3"/>
    <mergeCell ref="B5:F5"/>
  </mergeCells>
  <pageMargins left="0.75" right="0.75" top="1" bottom="1" header="0.5" footer="0.5"/>
  <pageSetup orientation="landscape" fitToHeight="0" fitToWidth="1"/>
</worksheet>
</file>

<file path=xl/worksheets/sheet50.xml><?xml version="1.0" encoding="utf-8"?>
<worksheet xmlns="http://schemas.openxmlformats.org/spreadsheetml/2006/main">
  <sheetPr>
    <tabColor rgb="00112A40"/>
    <outlinePr summaryBelow="1" summaryRight="1"/>
    <pageSetUpPr fitToPage="1"/>
  </sheetPr>
  <dimension ref="A1:S19"/>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17.95" customWidth="1" min="2" max="2"/>
    <col width="19.85" customWidth="1" min="3" max="3"/>
    <col width="17.95" customWidth="1" min="4" max="4"/>
    <col width="19.85" customWidth="1" min="5" max="5"/>
    <col width="17.95" customWidth="1" min="6" max="6"/>
    <col width="17.95" customWidth="1" min="7" max="7"/>
    <col width="12.5" customWidth="1" min="8" max="8"/>
    <col width="25.1" customWidth="1" min="9" max="9"/>
    <col width="17.75" customWidth="1" min="10" max="10"/>
    <col width="25.1" customWidth="1" min="11" max="11"/>
    <col width="16.7" customWidth="1" min="12" max="12"/>
    <col width="19.85" customWidth="1" min="13" max="13"/>
    <col width="25.1" customWidth="1" min="14" max="14"/>
    <col width="21.95" customWidth="1" min="15" max="15"/>
    <col width="14.6" customWidth="1" min="16" max="16"/>
    <col width="25.1" customWidth="1" min="17" max="17"/>
    <col width="19.85" customWidth="1" min="18" max="18"/>
    <col width="12.5" customWidth="1" min="19" max="19"/>
  </cols>
  <sheetData>
    <row r="1">
      <c r="A1" s="7" t="inlineStr">
        <is>
          <t>Tableau : Sinistralité : formule du texte et variantes</t>
        </is>
      </c>
    </row>
    <row r="2" ht="15" customHeight="1">
      <c r="A2" s="25" t="inlineStr">
        <is>
          <t>À quoi sert cet onglet</t>
        </is>
      </c>
      <c r="B2" s="26" t="inlineStr">
        <is>
          <t>Calculer la sinistralité selon la formule du texte et selon des variantes.</t>
        </is>
      </c>
    </row>
    <row r="3" ht="62.5" customHeight="1">
      <c r="A3" s="25" t="inlineStr">
        <is>
          <t>D'où viennent les chiffres</t>
        </is>
      </c>
      <c r="B3" s="26" t="inlineStr">
        <is>
          <t>Décision n° 05/2022/COM/UEMOA du 1er juin 2022 (annexe) et règlement d'exécution n° 004/2022/COM/UEMOA, appliqués aux balances du FPPN. Balances des comptes du FPPN : « BALANCE FORMAT EXCEL DE 09-2020 AU 31-12-2020.xlsx » (à-nouveaux au 01/09/2020 et mouvements jusqu'au 31/12/2020), « BALANCE FPPN FORMAT EXCEL DU 01-01-2021 AU 31-12-2026.xlsx » (exercice 2021), « BALANCE FPPN 2022.xlsx » à « BALANCE FPPN 2025.xlsx », « BALANCE FPPN DU 01-01-2026 AU 31-08-2026.xlsx » (provisoire).</t>
        </is>
      </c>
    </row>
    <row r="4" ht="37.5" customHeight="1">
      <c r="A4" s="25" t="inlineStr">
        <is>
          <t>Comment le calcul est fait</t>
        </is>
      </c>
      <c r="B4" s="26" t="inlineStr">
        <is>
          <t>Taux du texte = (prestations + dotations - reprises de provisions) / (cotisations ± variations). Variantes sans MEDOC (7022), sans bons (60800007, 60800008), par garantie. Les valeurs sont calculées par les scripts de la mission et collées ici ; la formule de chaque colonne est donnée dans « Comment le calcul est fait ».</t>
        </is>
      </c>
    </row>
    <row r="5" ht="15" customHeight="1">
      <c r="A5" s="25" t="inlineStr">
        <is>
          <t>Comment lire le résultat</t>
        </is>
      </c>
      <c r="B5" s="26" t="inlineStr">
        <is>
          <t>Montre l'effet de chaque choix de calcul.</t>
        </is>
      </c>
    </row>
    <row r="6" ht="25" customHeight="1">
      <c r="A6" s="25" t="inlineStr">
        <is>
          <t>Valable pour</t>
        </is>
      </c>
      <c r="B6" s="26" t="inlineStr">
        <is>
          <t>Exercices 2020 à 2025 et du 01/01 au 31/08/2026 (huit mois, provisoire). Pour 2020, le solde de l'année = à-nouveaux au 01/09/2020 (janvier à août) + mouvements du 01/09 au 31/12/2020.</t>
        </is>
      </c>
    </row>
    <row r="7" ht="15" customHeight="1">
      <c r="A7" s="25" t="inlineStr">
        <is>
          <t>Limites</t>
        </is>
      </c>
      <c r="B7" s="26" t="inlineStr">
        <is>
          <t>Aucune.</t>
        </is>
      </c>
    </row>
    <row r="8"/>
    <row r="9"/>
    <row r="10" ht="30" customHeight="1">
      <c r="A10" s="8" t="inlineStr">
        <is>
          <t>Exercice</t>
        </is>
      </c>
      <c r="B10" s="8" t="inlineStr">
        <is>
          <t>Charges 60</t>
        </is>
      </c>
      <c r="C10" s="8" t="inlineStr">
        <is>
          <t>Dot rep 6901 7901</t>
        </is>
      </c>
      <c r="D10" s="8" t="inlineStr">
        <is>
          <t>Cotisations 70</t>
        </is>
      </c>
      <c r="E10" s="8" t="inlineStr">
        <is>
          <t>Dot rep 7906 6906</t>
        </is>
      </c>
      <c r="F10" s="8" t="inlineStr">
        <is>
          <t>Numérateur</t>
        </is>
      </c>
      <c r="G10" s="8" t="inlineStr">
        <is>
          <t>Dénominateur</t>
        </is>
      </c>
      <c r="H10" s="8" t="inlineStr">
        <is>
          <t>Taux texte</t>
        </is>
      </c>
      <c r="I10" s="8" t="inlineStr">
        <is>
          <t>Cotisations MEDOC 7022</t>
        </is>
      </c>
      <c r="J10" s="8" t="inlineStr">
        <is>
          <t>Taux sans MEDOC</t>
        </is>
      </c>
      <c r="K10" s="8" t="inlineStr">
        <is>
          <t>Bons 60800007 60800008</t>
        </is>
      </c>
      <c r="L10" s="8" t="inlineStr">
        <is>
          <t>Taux sans bons</t>
        </is>
      </c>
      <c r="M10" s="8" t="inlineStr">
        <is>
          <t>Autres charges 60</t>
        </is>
      </c>
      <c r="N10" s="8" t="inlineStr">
        <is>
          <t>Cotisations maladie 7010</t>
        </is>
      </c>
      <c r="O10" s="8" t="inlineStr">
        <is>
          <t>Prestations maladie</t>
        </is>
      </c>
      <c r="P10" s="8" t="inlineStr">
        <is>
          <t>Taux maladie</t>
        </is>
      </c>
      <c r="Q10" s="8" t="inlineStr">
        <is>
          <t>Cotisations décès 7021</t>
        </is>
      </c>
      <c r="R10" s="8" t="inlineStr">
        <is>
          <t>Prestations décès</t>
        </is>
      </c>
      <c r="S10" s="8" t="inlineStr">
        <is>
          <t>Taux décès</t>
        </is>
      </c>
    </row>
    <row r="11">
      <c r="A11" s="34" t="n">
        <v>2020</v>
      </c>
      <c r="B11" s="29" t="n">
        <v>209745391</v>
      </c>
      <c r="C11" s="29" t="n">
        <v>0</v>
      </c>
      <c r="D11" s="29" t="n">
        <v>2350217436</v>
      </c>
      <c r="E11" s="29" t="n">
        <v>0</v>
      </c>
      <c r="F11" s="29" t="n">
        <v>209745391</v>
      </c>
      <c r="G11" s="29" t="n">
        <v>2350217436</v>
      </c>
      <c r="H11" s="32" t="n">
        <v>0.08924510038397997</v>
      </c>
      <c r="I11" s="29" t="n">
        <v>0</v>
      </c>
      <c r="J11" s="32" t="n">
        <v>0.08924510038397997</v>
      </c>
      <c r="K11" s="29" t="n">
        <v>0</v>
      </c>
      <c r="L11" s="32" t="n">
        <v>0.08924510038397997</v>
      </c>
      <c r="M11" s="29" t="n">
        <v>0</v>
      </c>
      <c r="N11" s="29" t="n">
        <v>1641320172</v>
      </c>
      <c r="O11" s="29" t="n">
        <v>205812056</v>
      </c>
      <c r="P11" s="32" t="n">
        <v>0.1253942158946426</v>
      </c>
      <c r="Q11" s="29" t="n">
        <v>703298329</v>
      </c>
      <c r="R11" s="29" t="n">
        <v>3933335</v>
      </c>
      <c r="S11" s="32" t="n">
        <v>0.005592697775341935</v>
      </c>
    </row>
    <row r="12">
      <c r="A12" s="34" t="n">
        <v>2021</v>
      </c>
      <c r="B12" s="31" t="n">
        <v>503309837</v>
      </c>
      <c r="C12" s="31" t="n">
        <v>0</v>
      </c>
      <c r="D12" s="31" t="n">
        <v>2423204233</v>
      </c>
      <c r="E12" s="31" t="n">
        <v>0</v>
      </c>
      <c r="F12" s="31" t="n">
        <v>503309837</v>
      </c>
      <c r="G12" s="31" t="n">
        <v>2423204233</v>
      </c>
      <c r="H12" s="33" t="n">
        <v>0.2077042579184039</v>
      </c>
      <c r="I12" s="31" t="n">
        <v>0</v>
      </c>
      <c r="J12" s="33" t="n">
        <v>0.2077042579184039</v>
      </c>
      <c r="K12" s="31" t="n">
        <v>0</v>
      </c>
      <c r="L12" s="33" t="n">
        <v>0.2077042579184039</v>
      </c>
      <c r="M12" s="31" t="n">
        <v>0</v>
      </c>
      <c r="N12" s="31" t="n">
        <v>1691332910</v>
      </c>
      <c r="O12" s="31" t="n">
        <v>101453171</v>
      </c>
      <c r="P12" s="33" t="n">
        <v>0.05998415238073976</v>
      </c>
      <c r="Q12" s="31" t="n">
        <v>725124908</v>
      </c>
      <c r="R12" s="31" t="n">
        <v>401856666</v>
      </c>
      <c r="S12" s="33" t="n">
        <v>0.5541895769494102</v>
      </c>
    </row>
    <row r="13">
      <c r="A13" s="34" t="n">
        <v>2022</v>
      </c>
      <c r="B13" s="29" t="n">
        <v>231427773</v>
      </c>
      <c r="C13" s="29" t="n">
        <v>0</v>
      </c>
      <c r="D13" s="29" t="n">
        <v>2555040142</v>
      </c>
      <c r="E13" s="29" t="n">
        <v>0</v>
      </c>
      <c r="F13" s="29" t="n">
        <v>231427773</v>
      </c>
      <c r="G13" s="29" t="n">
        <v>2555040142</v>
      </c>
      <c r="H13" s="32" t="n">
        <v>0.09057696166716429</v>
      </c>
      <c r="I13" s="29" t="n">
        <v>0</v>
      </c>
      <c r="J13" s="32" t="n">
        <v>0.09057696166716429</v>
      </c>
      <c r="K13" s="29" t="n">
        <v>12830000</v>
      </c>
      <c r="L13" s="32" t="n">
        <v>0.08555551414111599</v>
      </c>
      <c r="M13" s="29" t="n">
        <v>100000</v>
      </c>
      <c r="N13" s="29" t="n">
        <v>1781124043</v>
      </c>
      <c r="O13" s="29" t="n">
        <v>115237773</v>
      </c>
      <c r="P13" s="32" t="n">
        <v>0.06469946517924804</v>
      </c>
      <c r="Q13" s="29" t="n">
        <v>763338861</v>
      </c>
      <c r="R13" s="29" t="n">
        <v>116090000</v>
      </c>
      <c r="S13" s="32" t="n">
        <v>0.1520818681337907</v>
      </c>
    </row>
    <row r="14">
      <c r="A14" s="34" t="n">
        <v>2023</v>
      </c>
      <c r="B14" s="31" t="n">
        <v>681244362</v>
      </c>
      <c r="C14" s="31" t="n">
        <v>0</v>
      </c>
      <c r="D14" s="31" t="n">
        <v>2773482848</v>
      </c>
      <c r="E14" s="31" t="n">
        <v>0</v>
      </c>
      <c r="F14" s="31" t="n">
        <v>681244362</v>
      </c>
      <c r="G14" s="31" t="n">
        <v>2773482848</v>
      </c>
      <c r="H14" s="33" t="n">
        <v>0.2456277537433684</v>
      </c>
      <c r="I14" s="31" t="n">
        <v>0</v>
      </c>
      <c r="J14" s="33" t="n">
        <v>0.2456277537433684</v>
      </c>
      <c r="K14" s="31" t="n">
        <v>36975000</v>
      </c>
      <c r="L14" s="33" t="n">
        <v>0.2322961407403663</v>
      </c>
      <c r="M14" s="31" t="n">
        <v>18750000</v>
      </c>
      <c r="N14" s="31" t="n">
        <v>1935844374</v>
      </c>
      <c r="O14" s="31" t="n">
        <v>521004362</v>
      </c>
      <c r="P14" s="33" t="n">
        <v>0.2691354578898603</v>
      </c>
      <c r="Q14" s="31" t="n">
        <v>829647591</v>
      </c>
      <c r="R14" s="31" t="n">
        <v>141490000</v>
      </c>
      <c r="S14" s="33" t="n">
        <v>0.1705422899251207</v>
      </c>
    </row>
    <row r="15">
      <c r="A15" s="34" t="n">
        <v>2024</v>
      </c>
      <c r="B15" s="29" t="n">
        <v>1269021291</v>
      </c>
      <c r="C15" s="29" t="n">
        <v>0</v>
      </c>
      <c r="D15" s="29" t="n">
        <v>3145610249</v>
      </c>
      <c r="E15" s="29" t="n">
        <v>0</v>
      </c>
      <c r="F15" s="29" t="n">
        <v>1269021291</v>
      </c>
      <c r="G15" s="29" t="n">
        <v>3145610249</v>
      </c>
      <c r="H15" s="32" t="n">
        <v>0.4034261051264778</v>
      </c>
      <c r="I15" s="29" t="n">
        <v>0</v>
      </c>
      <c r="J15" s="32" t="n">
        <v>0.4034261051264778</v>
      </c>
      <c r="K15" s="29" t="n">
        <v>46200000</v>
      </c>
      <c r="L15" s="32" t="n">
        <v>0.3887389708845013</v>
      </c>
      <c r="M15" s="29" t="n">
        <v>4800000</v>
      </c>
      <c r="N15" s="29" t="n">
        <v>2203312180</v>
      </c>
      <c r="O15" s="29" t="n">
        <v>1060419627</v>
      </c>
      <c r="P15" s="32" t="n">
        <v>0.4812843303031166</v>
      </c>
      <c r="Q15" s="29" t="n">
        <v>934555069</v>
      </c>
      <c r="R15" s="29" t="n">
        <v>203801664</v>
      </c>
      <c r="S15" s="32" t="n">
        <v>0.218073467000798</v>
      </c>
    </row>
    <row r="16">
      <c r="A16" s="34" t="n">
        <v>2025</v>
      </c>
      <c r="B16" s="31" t="n">
        <v>1964772027</v>
      </c>
      <c r="C16" s="31" t="n">
        <v>0</v>
      </c>
      <c r="D16" s="31" t="n">
        <v>3418141722</v>
      </c>
      <c r="E16" s="31" t="n">
        <v>0</v>
      </c>
      <c r="F16" s="31" t="n">
        <v>1964772027</v>
      </c>
      <c r="G16" s="31" t="n">
        <v>3418141722</v>
      </c>
      <c r="H16" s="33" t="n">
        <v>0.574807069687674</v>
      </c>
      <c r="I16" s="31" t="n">
        <v>590000</v>
      </c>
      <c r="J16" s="33" t="n">
        <v>0.5749063033492841</v>
      </c>
      <c r="K16" s="31" t="n">
        <v>31950000</v>
      </c>
      <c r="L16" s="33" t="n">
        <v>0.5654598855746333</v>
      </c>
      <c r="M16" s="31" t="n">
        <v>0</v>
      </c>
      <c r="N16" s="31" t="n">
        <v>2409281030</v>
      </c>
      <c r="O16" s="31" t="n">
        <v>1771635361</v>
      </c>
      <c r="P16" s="33" t="n">
        <v>0.7353377787563454</v>
      </c>
      <c r="Q16" s="31" t="n">
        <v>1008270692</v>
      </c>
      <c r="R16" s="31" t="n">
        <v>193136666</v>
      </c>
      <c r="S16" s="33" t="n">
        <v>0.1915523951379517</v>
      </c>
    </row>
    <row r="17">
      <c r="A17" s="34" t="n">
        <v>2026</v>
      </c>
      <c r="B17" s="29" t="n">
        <v>1798855783</v>
      </c>
      <c r="C17" s="29" t="n">
        <v>0</v>
      </c>
      <c r="D17" s="29" t="n">
        <v>2392197346</v>
      </c>
      <c r="E17" s="29" t="n">
        <v>0</v>
      </c>
      <c r="F17" s="29" t="n">
        <v>1798855783</v>
      </c>
      <c r="G17" s="29" t="n">
        <v>2392197346</v>
      </c>
      <c r="H17" s="32" t="n">
        <v>0.7519679703716217</v>
      </c>
      <c r="I17" s="29" t="n">
        <v>0</v>
      </c>
      <c r="J17" s="32" t="n">
        <v>0.7519679703716217</v>
      </c>
      <c r="K17" s="29" t="n">
        <v>0</v>
      </c>
      <c r="L17" s="32" t="n">
        <v>0.7519679703716217</v>
      </c>
      <c r="M17" s="29" t="n">
        <v>0</v>
      </c>
      <c r="N17" s="29" t="n">
        <v>1690007290</v>
      </c>
      <c r="O17" s="29" t="n">
        <v>1646039117</v>
      </c>
      <c r="P17" s="32" t="n">
        <v>0.9739834418110705</v>
      </c>
      <c r="Q17" s="29" t="n">
        <v>702190056</v>
      </c>
      <c r="R17" s="29" t="n">
        <v>152816666</v>
      </c>
      <c r="S17" s="32" t="n">
        <v>0.217628638705758</v>
      </c>
    </row>
    <row r="18"/>
    <row r="19">
      <c r="A19" s="14" t="inlineStr">
        <is>
          <t>Source : balances du FPPN ; Décision n° 05/2022/COM/UEMOA, annexe ; règlement d'exécution n° 004/2022/COM/UEMOA ; calculs Adenka</t>
        </is>
      </c>
    </row>
  </sheetData>
  <mergeCells count="6">
    <mergeCell ref="B6:S6"/>
    <mergeCell ref="B7:S7"/>
    <mergeCell ref="B3:S3"/>
    <mergeCell ref="B2:S2"/>
    <mergeCell ref="B5:S5"/>
    <mergeCell ref="B4:S4"/>
  </mergeCells>
  <pageMargins left="0.75" right="0.75" top="1" bottom="1" header="0.5" footer="0.5"/>
  <pageSetup orientation="landscape" fitToHeight="0" fitToWidth="1"/>
</worksheet>
</file>

<file path=xl/worksheets/sheet51.xml><?xml version="1.0" encoding="utf-8"?>
<worksheet xmlns="http://schemas.openxmlformats.org/spreadsheetml/2006/main">
  <sheetPr>
    <outlinePr summaryBelow="1" summaryRight="1"/>
    <pageSetUpPr fitToPage="1"/>
  </sheetPr>
  <dimension ref="A1:E2321"/>
  <sheetViews>
    <sheetView showGridLines="0" workbookViewId="0">
      <pane ySplit="3" topLeftCell="A4" activePane="bottomLeft" state="frozen"/>
      <selection pane="bottomLeft" activeCell="A1" sqref="A1"/>
    </sheetView>
  </sheetViews>
  <sheetFormatPr baseColWidth="8" defaultRowHeight="15"/>
  <cols>
    <col width="13.55" customWidth="1" min="1" max="1"/>
    <col width="48" customWidth="1" min="2" max="2"/>
    <col width="22.55" customWidth="1" min="3" max="3"/>
    <col width="30" customWidth="1" min="4" max="4"/>
    <col width="11" customWidth="1" min="5" max="5"/>
  </cols>
  <sheetData>
    <row r="1">
      <c r="A1" s="7" t="inlineStr">
        <is>
          <t>Tableau : Traçabilité : chaque chiffre du rapport, sa diapositive et sa valeur exacte</t>
        </is>
      </c>
    </row>
    <row r="2"/>
    <row r="3" ht="30" customHeight="1">
      <c r="A3" s="8" t="inlineStr">
        <is>
          <t>Diapositive</t>
        </is>
      </c>
      <c r="B3" s="8" t="inlineStr">
        <is>
          <t>Indicateur</t>
        </is>
      </c>
      <c r="C3" s="8" t="inlineStr">
        <is>
          <t>Valeur exacte</t>
        </is>
      </c>
      <c r="D3" s="8" t="inlineStr">
        <is>
          <t>Texte affiché</t>
        </is>
      </c>
      <c r="E3" s="8" t="inlineStr">
        <is>
          <t>Retrouvé</t>
        </is>
      </c>
    </row>
    <row r="4">
      <c r="A4" s="42" t="n">
        <v>5</v>
      </c>
      <c r="B4" s="28" t="inlineStr">
        <is>
          <t>V1 épargne 2026</t>
        </is>
      </c>
      <c r="C4" s="43" t="n">
        <v>15743516391</v>
      </c>
      <c r="D4" s="28" t="inlineStr">
        <is>
          <t>15 743 516 391 FCFA</t>
        </is>
      </c>
      <c r="E4" s="44" t="inlineStr">
        <is>
          <t>Oui</t>
        </is>
      </c>
    </row>
    <row r="5">
      <c r="A5" s="42" t="n">
        <v>5</v>
      </c>
      <c r="B5" s="30" t="inlineStr">
        <is>
          <t>V1 engagement réel</t>
        </is>
      </c>
      <c r="C5" s="45" t="n">
        <v>19022429628.58916</v>
      </c>
      <c r="D5" s="30" t="inlineStr">
        <is>
          <t>19 022 429 629 FCFA</t>
        </is>
      </c>
      <c r="E5" s="46" t="inlineStr">
        <is>
          <t>Oui</t>
        </is>
      </c>
    </row>
    <row r="6">
      <c r="A6" s="42" t="n">
        <v>5</v>
      </c>
      <c r="B6" s="28" t="inlineStr">
        <is>
          <t>V1 épargne (t)</t>
        </is>
      </c>
      <c r="C6" s="43" t="n">
        <v>15743516391</v>
      </c>
      <c r="D6" s="28" t="inlineStr">
        <is>
          <t>15 743 516 391 FCFA</t>
        </is>
      </c>
      <c r="E6" s="44" t="inlineStr">
        <is>
          <t>Oui</t>
        </is>
      </c>
    </row>
    <row r="7">
      <c r="A7" s="42" t="n">
        <v>5</v>
      </c>
      <c r="B7" s="30" t="inlineStr">
        <is>
          <t>V1 intérêts 5,5</t>
        </is>
      </c>
      <c r="C7" s="45" t="n">
        <v>3278913237.589167</v>
      </c>
      <c r="D7" s="30" t="inlineStr">
        <is>
          <t>3 278 913 238 FCFA</t>
        </is>
      </c>
      <c r="E7" s="46" t="inlineStr">
        <is>
          <t>Oui</t>
        </is>
      </c>
    </row>
    <row r="8">
      <c r="A8" s="42" t="n">
        <v>5</v>
      </c>
      <c r="B8" s="28" t="inlineStr">
        <is>
          <t>V1 intérêts 3,5</t>
        </is>
      </c>
      <c r="C8" s="43" t="n">
        <v>2541799541.8725</v>
      </c>
      <c r="D8" s="28" t="inlineStr">
        <is>
          <t>2 541 799 542 FCFA</t>
        </is>
      </c>
      <c r="E8" s="44" t="inlineStr">
        <is>
          <t>Oui</t>
        </is>
      </c>
    </row>
    <row r="9">
      <c r="A9" s="42" t="n">
        <v>5</v>
      </c>
      <c r="B9" s="30" t="inlineStr">
        <is>
          <t>V1 dette décès</t>
        </is>
      </c>
      <c r="C9" s="45" t="n">
        <v>489419669</v>
      </c>
      <c r="D9" s="30" t="inlineStr">
        <is>
          <t>489 419 669 FCFA</t>
        </is>
      </c>
      <c r="E9" s="46" t="inlineStr">
        <is>
          <t>Oui</t>
        </is>
      </c>
    </row>
    <row r="10">
      <c r="A10" s="42" t="n">
        <v>5</v>
      </c>
      <c r="B10" s="28" t="inlineStr">
        <is>
          <t>V1 décès tardifs</t>
        </is>
      </c>
      <c r="C10" s="43" t="n">
        <v>7100000</v>
      </c>
      <c r="D10" s="28" t="inlineStr">
        <is>
          <t>7 100 000 FCFA</t>
        </is>
      </c>
      <c r="E10" s="44" t="inlineStr">
        <is>
          <t>Oui</t>
        </is>
      </c>
    </row>
    <row r="11">
      <c r="A11" s="42" t="n">
        <v>5</v>
      </c>
      <c r="B11" s="30" t="inlineStr">
        <is>
          <t>V1 maladie tardive</t>
        </is>
      </c>
      <c r="C11" s="45" t="n">
        <v>12481391.51090365</v>
      </c>
      <c r="D11" s="30" t="inlineStr">
        <is>
          <t>12 481 392 FCFA</t>
        </is>
      </c>
      <c r="E11" s="46" t="inlineStr">
        <is>
          <t>Oui</t>
        </is>
      </c>
    </row>
    <row r="12">
      <c r="A12" s="42" t="n">
        <v>5</v>
      </c>
      <c r="B12" s="28" t="inlineStr">
        <is>
          <t>V1 PIDR</t>
        </is>
      </c>
      <c r="C12" s="43" t="n">
        <v>24446566.18199894</v>
      </c>
      <c r="D12" s="28" t="inlineStr">
        <is>
          <t>24 446 566 FCFA</t>
        </is>
      </c>
      <c r="E12" s="44" t="inlineStr">
        <is>
          <t>Oui</t>
        </is>
      </c>
    </row>
    <row r="13">
      <c r="A13" s="42" t="n">
        <v>5</v>
      </c>
      <c r="B13" s="30" t="inlineStr">
        <is>
          <t>V1 PIDR 196</t>
        </is>
      </c>
      <c r="C13" s="45" t="n">
        <v>43666678</v>
      </c>
      <c r="D13" s="30" t="inlineStr">
        <is>
          <t>43 666 678 FCFA</t>
        </is>
      </c>
      <c r="E13" s="46" t="inlineStr">
        <is>
          <t>Oui</t>
        </is>
      </c>
    </row>
    <row r="14">
      <c r="A14" s="42" t="n">
        <v>5</v>
      </c>
      <c r="B14" s="28" t="inlineStr">
        <is>
          <t>V1 retraités</t>
        </is>
      </c>
      <c r="C14" s="43" t="n">
        <v>610</v>
      </c>
      <c r="D14" s="28" t="inlineStr">
        <is>
          <t>610</t>
        </is>
      </c>
      <c r="E14" s="44" t="inlineStr">
        <is>
          <t>Oui</t>
        </is>
      </c>
    </row>
    <row r="15">
      <c r="A15" s="42" t="n">
        <v>5</v>
      </c>
      <c r="B15" s="30" t="inlineStr">
        <is>
          <t>V1 ret dn</t>
        </is>
      </c>
      <c r="C15" s="45" t="n">
        <v>105</v>
      </c>
      <c r="D15" s="30" t="inlineStr">
        <is>
          <t>105</t>
        </is>
      </c>
      <c r="E15" s="46" t="inlineStr">
        <is>
          <t>Oui</t>
        </is>
      </c>
    </row>
    <row r="16">
      <c r="A16" s="42" t="n">
        <v>5</v>
      </c>
      <c r="B16" s="28" t="inlineStr">
        <is>
          <t>V1 épargne (a)</t>
        </is>
      </c>
      <c r="C16" s="43" t="n">
        <v>15743516391</v>
      </c>
      <c r="D16" s="28" t="inlineStr">
        <is>
          <t>15 743 516 391 FCFA</t>
        </is>
      </c>
      <c r="E16" s="44" t="inlineStr">
        <is>
          <t>Oui</t>
        </is>
      </c>
    </row>
    <row r="17">
      <c r="A17" s="42" t="n">
        <v>5</v>
      </c>
      <c r="B17" s="30" t="inlineStr">
        <is>
          <t>V1 intérêts (a)</t>
        </is>
      </c>
      <c r="C17" s="45" t="n">
        <v>3278913237.589167</v>
      </c>
      <c r="D17" s="30" t="inlineStr">
        <is>
          <t>3 278 913 238 FCFA</t>
        </is>
      </c>
      <c r="E17" s="46" t="inlineStr">
        <is>
          <t>Oui</t>
        </is>
      </c>
    </row>
    <row r="18">
      <c r="A18" s="42" t="n">
        <v>6</v>
      </c>
      <c r="B18" s="28" t="inlineStr">
        <is>
          <t>V2 prov tech</t>
        </is>
      </c>
      <c r="C18" s="43" t="n">
        <v>4829298290</v>
      </c>
      <c r="D18" s="28" t="inlineStr">
        <is>
          <t>4 829 298 290 FCFA</t>
        </is>
      </c>
      <c r="E18" s="44" t="inlineStr">
        <is>
          <t>Oui</t>
        </is>
      </c>
    </row>
    <row r="19">
      <c r="A19" s="42" t="n">
        <v>6</v>
      </c>
      <c r="B19" s="30" t="inlineStr">
        <is>
          <t>V2 intérêts</t>
        </is>
      </c>
      <c r="C19" s="45" t="n">
        <v>3278913237.589167</v>
      </c>
      <c r="D19" s="30" t="inlineStr">
        <is>
          <t>3 278 913 238 FCFA</t>
        </is>
      </c>
      <c r="E19" s="46" t="inlineStr">
        <is>
          <t>Oui</t>
        </is>
      </c>
    </row>
    <row r="20">
      <c r="A20" s="42" t="n">
        <v>6</v>
      </c>
      <c r="B20" s="28" t="inlineStr">
        <is>
          <t>V2 prov mal</t>
        </is>
      </c>
      <c r="C20" s="43" t="n">
        <v>2867602878</v>
      </c>
      <c r="D20" s="28" t="inlineStr">
        <is>
          <t>2 867 602 878 FCFA</t>
        </is>
      </c>
      <c r="E20" s="44" t="inlineStr">
        <is>
          <t>Oui</t>
        </is>
      </c>
    </row>
    <row r="21">
      <c r="A21" s="42" t="n">
        <v>6</v>
      </c>
      <c r="B21" s="30" t="inlineStr">
        <is>
          <t>V2 besoin mal</t>
        </is>
      </c>
      <c r="C21" s="45" t="n">
        <v>12481391.51090365</v>
      </c>
      <c r="D21" s="30" t="inlineStr">
        <is>
          <t>12 481 392 FCFA</t>
        </is>
      </c>
      <c r="E21" s="46" t="inlineStr">
        <is>
          <t>Oui</t>
        </is>
      </c>
    </row>
    <row r="22">
      <c r="A22" s="42" t="n">
        <v>6</v>
      </c>
      <c r="B22" s="28" t="inlineStr">
        <is>
          <t>V2 prov obs</t>
        </is>
      </c>
      <c r="C22" s="43" t="n">
        <v>1961695412</v>
      </c>
      <c r="D22" s="28" t="inlineStr">
        <is>
          <t>1 961 695 412 FCFA</t>
        </is>
      </c>
      <c r="E22" s="44" t="inlineStr">
        <is>
          <t>Oui</t>
        </is>
      </c>
    </row>
    <row r="23">
      <c r="A23" s="42" t="n">
        <v>6</v>
      </c>
      <c r="B23" s="30" t="inlineStr">
        <is>
          <t>V2 dette déc</t>
        </is>
      </c>
      <c r="C23" s="45" t="n">
        <v>489419669</v>
      </c>
      <c r="D23" s="30" t="inlineStr">
        <is>
          <t>489 419 669 FCFA</t>
        </is>
      </c>
      <c r="E23" s="46" t="inlineStr">
        <is>
          <t>Oui</t>
        </is>
      </c>
    </row>
    <row r="24">
      <c r="A24" s="42" t="n">
        <v>6</v>
      </c>
      <c r="B24" s="28" t="inlineStr">
        <is>
          <t>V2 délai 2025</t>
        </is>
      </c>
      <c r="C24" s="43" t="n">
        <v>2.622797716643295</v>
      </c>
      <c r="D24" s="28" t="inlineStr">
        <is>
          <t>2,62</t>
        </is>
      </c>
      <c r="E24" s="44" t="inlineStr">
        <is>
          <t>Oui</t>
        </is>
      </c>
    </row>
    <row r="25">
      <c r="A25" s="42" t="n">
        <v>6</v>
      </c>
      <c r="B25" s="30" t="inlineStr">
        <is>
          <t>V2 délai 2026</t>
        </is>
      </c>
      <c r="C25" s="45" t="n">
        <v>4.998658237389605</v>
      </c>
      <c r="D25" s="30" t="inlineStr">
        <is>
          <t>5,00</t>
        </is>
      </c>
      <c r="E25" s="46" t="inlineStr">
        <is>
          <t>Oui</t>
        </is>
      </c>
    </row>
    <row r="26">
      <c r="A26" s="42" t="n">
        <v>6</v>
      </c>
      <c r="B26" s="28" t="inlineStr">
        <is>
          <t>V2 risques courts</t>
        </is>
      </c>
      <c r="C26" s="43" t="n">
        <v>0</v>
      </c>
      <c r="D26" s="28" t="inlineStr">
        <is>
          <t>0 FCFA</t>
        </is>
      </c>
      <c r="E26" s="44" t="inlineStr">
        <is>
          <t>Oui</t>
        </is>
      </c>
    </row>
    <row r="27">
      <c r="A27" s="42" t="n">
        <v>6</v>
      </c>
      <c r="B27" s="30" t="inlineStr">
        <is>
          <t>V2 int (t)</t>
        </is>
      </c>
      <c r="C27" s="45" t="n">
        <v>3278913237.589167</v>
      </c>
      <c r="D27" s="30" t="inlineStr">
        <is>
          <t>3 278 913 238 FCFA</t>
        </is>
      </c>
      <c r="E27" s="46" t="inlineStr">
        <is>
          <t>Oui</t>
        </is>
      </c>
    </row>
    <row r="28">
      <c r="A28" s="42" t="n">
        <v>6</v>
      </c>
      <c r="B28" s="28" t="inlineStr">
        <is>
          <t>V2 Grenier</t>
        </is>
      </c>
      <c r="C28" s="43" t="n">
        <v>14016391.8</v>
      </c>
      <c r="D28" s="28" t="inlineStr">
        <is>
          <t>14 016 392 FCFA</t>
        </is>
      </c>
      <c r="E28" s="44" t="inlineStr">
        <is>
          <t>Oui</t>
        </is>
      </c>
    </row>
    <row r="29">
      <c r="A29" s="42" t="n">
        <v>6</v>
      </c>
      <c r="B29" s="30" t="inlineStr">
        <is>
          <t>V2 PIDR 196</t>
        </is>
      </c>
      <c r="C29" s="45" t="n">
        <v>43666678</v>
      </c>
      <c r="D29" s="30" t="inlineStr">
        <is>
          <t>43 666 678 FCFA</t>
        </is>
      </c>
      <c r="E29" s="46" t="inlineStr">
        <is>
          <t>Oui</t>
        </is>
      </c>
    </row>
    <row r="30">
      <c r="A30" s="42" t="n">
        <v>6</v>
      </c>
      <c r="B30" s="28" t="inlineStr">
        <is>
          <t>V2 PIDR</t>
        </is>
      </c>
      <c r="C30" s="43" t="n">
        <v>24446566.18199894</v>
      </c>
      <c r="D30" s="28" t="inlineStr">
        <is>
          <t>24 446 566 FCFA</t>
        </is>
      </c>
      <c r="E30" s="44" t="inlineStr">
        <is>
          <t>Oui</t>
        </is>
      </c>
    </row>
    <row r="31">
      <c r="A31" s="42" t="n">
        <v>6</v>
      </c>
      <c r="B31" s="30" t="inlineStr">
        <is>
          <t>V2 excédent</t>
        </is>
      </c>
      <c r="C31" s="45" t="n">
        <v>4327397229.489097</v>
      </c>
      <c r="D31" s="30" t="inlineStr">
        <is>
          <t>4 327 397 229 FCFA</t>
        </is>
      </c>
      <c r="E31" s="46" t="inlineStr">
        <is>
          <t>Oui</t>
        </is>
      </c>
    </row>
    <row r="32">
      <c r="A32" s="42" t="n">
        <v>6</v>
      </c>
      <c r="B32" s="28" t="inlineStr">
        <is>
          <t>V2 int (a)</t>
        </is>
      </c>
      <c r="C32" s="43" t="n">
        <v>3278913237.589167</v>
      </c>
      <c r="D32" s="28" t="inlineStr">
        <is>
          <t>3 278 913 238 FCFA</t>
        </is>
      </c>
      <c r="E32" s="44" t="inlineStr">
        <is>
          <t>Oui</t>
        </is>
      </c>
    </row>
    <row r="33">
      <c r="A33" s="42" t="n">
        <v>7</v>
      </c>
      <c r="B33" s="30" t="inlineStr">
        <is>
          <t>V3 couverture</t>
        </is>
      </c>
      <c r="C33" s="45" t="n">
        <v>0.3441994816800494</v>
      </c>
      <c r="D33" s="30" t="inlineStr">
        <is>
          <t>34,42 %</t>
        </is>
      </c>
      <c r="E33" s="46" t="inlineStr">
        <is>
          <t>Oui</t>
        </is>
      </c>
    </row>
    <row r="34">
      <c r="A34" s="42" t="n">
        <v>7</v>
      </c>
      <c r="B34" s="28" t="inlineStr">
        <is>
          <t>V3 actif</t>
        </is>
      </c>
      <c r="C34" s="43" t="n">
        <v>3457866951</v>
      </c>
      <c r="D34" s="28" t="inlineStr">
        <is>
          <t>3 457 866 951 FCFA</t>
        </is>
      </c>
      <c r="E34" s="44" t="inlineStr">
        <is>
          <t>Oui</t>
        </is>
      </c>
    </row>
    <row r="35">
      <c r="A35" s="42" t="n">
        <v>7</v>
      </c>
      <c r="B35" s="30" t="inlineStr">
        <is>
          <t>V3 besoin</t>
        </is>
      </c>
      <c r="C35" s="45" t="n">
        <v>10046113184.48835</v>
      </c>
      <c r="D35" s="30" t="inlineStr">
        <is>
          <t>10 046 113 184 FCFA</t>
        </is>
      </c>
      <c r="E35" s="46" t="inlineStr">
        <is>
          <t>Oui</t>
        </is>
      </c>
    </row>
    <row r="36">
      <c r="A36" s="42" t="n">
        <v>7</v>
      </c>
      <c r="B36" s="28" t="inlineStr">
        <is>
          <t>V3 RL1</t>
        </is>
      </c>
      <c r="C36" s="43" t="n">
        <v>0.1627899128345373</v>
      </c>
      <c r="D36" s="28" t="inlineStr">
        <is>
          <t>16,28 %</t>
        </is>
      </c>
      <c r="E36" s="44" t="inlineStr">
        <is>
          <t>Oui</t>
        </is>
      </c>
    </row>
    <row r="37">
      <c r="A37" s="42" t="n">
        <v>7</v>
      </c>
      <c r="B37" s="30" t="inlineStr">
        <is>
          <t>V3 taux moyen</t>
        </is>
      </c>
      <c r="C37" s="45" t="n">
        <v>0.192357070191737</v>
      </c>
      <c r="D37" s="30" t="inlineStr">
        <is>
          <t>19,24 %</t>
        </is>
      </c>
      <c r="E37" s="46" t="inlineStr">
        <is>
          <t>Oui</t>
        </is>
      </c>
    </row>
    <row r="38">
      <c r="A38" s="42" t="n">
        <v>7</v>
      </c>
      <c r="B38" s="28" t="inlineStr">
        <is>
          <t>V3 taux max</t>
        </is>
      </c>
      <c r="C38" s="43" t="n">
        <v>0.2754862799419019</v>
      </c>
      <c r="D38" s="28" t="inlineStr">
        <is>
          <t>27,55 %</t>
        </is>
      </c>
      <c r="E38" s="44" t="inlineStr">
        <is>
          <t>Oui</t>
        </is>
      </c>
    </row>
    <row r="39">
      <c r="A39" s="42" t="n">
        <v>7</v>
      </c>
      <c r="B39" s="30" t="inlineStr">
        <is>
          <t>V3 couv (t)</t>
        </is>
      </c>
      <c r="C39" s="45" t="n">
        <v>0.3441994816800494</v>
      </c>
      <c r="D39" s="30" t="inlineStr">
        <is>
          <t>34,42 %</t>
        </is>
      </c>
      <c r="E39" s="46" t="inlineStr">
        <is>
          <t>Oui</t>
        </is>
      </c>
    </row>
    <row r="40">
      <c r="A40" s="42" t="n">
        <v>7</v>
      </c>
      <c r="B40" s="28" t="inlineStr">
        <is>
          <t>V3 couv sévère</t>
        </is>
      </c>
      <c r="C40" s="43" t="n">
        <v>0.2621761216492758</v>
      </c>
      <c r="D40" s="28" t="inlineStr">
        <is>
          <t>26,22 %</t>
        </is>
      </c>
      <c r="E40" s="44" t="inlineStr">
        <is>
          <t>Oui</t>
        </is>
      </c>
    </row>
    <row r="41">
      <c r="A41" s="42" t="n">
        <v>7</v>
      </c>
      <c r="B41" s="30" t="inlineStr">
        <is>
          <t>V3 LIQ</t>
        </is>
      </c>
      <c r="C41" s="45" t="n">
        <v>0.1873248451328696</v>
      </c>
      <c r="D41" s="30" t="inlineStr">
        <is>
          <t>0,19</t>
        </is>
      </c>
      <c r="E41" s="46" t="inlineStr">
        <is>
          <t>Oui</t>
        </is>
      </c>
    </row>
    <row r="42">
      <c r="A42" s="42" t="n">
        <v>7</v>
      </c>
      <c r="B42" s="28" t="inlineStr">
        <is>
          <t>V3 EQS</t>
        </is>
      </c>
      <c r="C42" s="43" t="n">
        <v>1.718698438746898</v>
      </c>
      <c r="D42" s="28" t="inlineStr">
        <is>
          <t>1,72</t>
        </is>
      </c>
      <c r="E42" s="44" t="inlineStr">
        <is>
          <t>Oui</t>
        </is>
      </c>
    </row>
    <row r="43">
      <c r="A43" s="42" t="n">
        <v>7</v>
      </c>
      <c r="B43" s="30" t="inlineStr">
        <is>
          <t>V3 RL4</t>
        </is>
      </c>
      <c r="C43" s="45" t="n">
        <v>0</v>
      </c>
      <c r="D43" s="30" t="inlineStr">
        <is>
          <t>0,00</t>
        </is>
      </c>
      <c r="E43" s="46" t="inlineStr">
        <is>
          <t>Oui</t>
        </is>
      </c>
    </row>
    <row r="44">
      <c r="A44" s="42" t="n">
        <v>8</v>
      </c>
      <c r="B44" s="28" t="inlineStr">
        <is>
          <t>V4 part st</t>
        </is>
      </c>
      <c r="C44" s="43" t="n">
        <v>0.0373018983723525</v>
      </c>
      <c r="D44" s="28" t="inlineStr">
        <is>
          <t>3,73 %</t>
        </is>
      </c>
      <c r="E44" s="44" t="inlineStr">
        <is>
          <t>Oui</t>
        </is>
      </c>
    </row>
    <row r="45">
      <c r="A45" s="42" t="n">
        <v>8</v>
      </c>
      <c r="B45" s="30" t="inlineStr">
        <is>
          <t>V4 RDM</t>
        </is>
      </c>
      <c r="C45" s="45" t="n">
        <v>0.06478885197869323</v>
      </c>
      <c r="D45" s="30" t="inlineStr">
        <is>
          <t>6,48 %</t>
        </is>
      </c>
      <c r="E45" s="46" t="inlineStr">
        <is>
          <t>Oui</t>
        </is>
      </c>
    </row>
    <row r="46">
      <c r="A46" s="42" t="n">
        <v>8</v>
      </c>
      <c r="B46" s="28" t="inlineStr">
        <is>
          <t>V4 pf 2025</t>
        </is>
      </c>
      <c r="C46" s="43" t="n">
        <v>117912488</v>
      </c>
      <c r="D46" s="28" t="inlineStr">
        <is>
          <t>117 912 488 FCFA</t>
        </is>
      </c>
      <c r="E46" s="44" t="inlineStr">
        <is>
          <t>Oui</t>
        </is>
      </c>
    </row>
    <row r="47">
      <c r="A47" s="42" t="n">
        <v>8</v>
      </c>
      <c r="B47" s="30" t="inlineStr">
        <is>
          <t>V4 pm (t)</t>
        </is>
      </c>
      <c r="C47" s="45" t="n">
        <v>515290922</v>
      </c>
      <c r="D47" s="30" t="inlineStr">
        <is>
          <t>515 290 922 FCFA</t>
        </is>
      </c>
      <c r="E47" s="46" t="inlineStr">
        <is>
          <t>Oui</t>
        </is>
      </c>
    </row>
    <row r="48">
      <c r="A48" s="42" t="n">
        <v>8</v>
      </c>
      <c r="B48" s="28" t="inlineStr">
        <is>
          <t>V4 part placements</t>
        </is>
      </c>
      <c r="C48" s="43" t="n">
        <v>0.0373018983723525</v>
      </c>
      <c r="D48" s="28" t="inlineStr">
        <is>
          <t>3,73 %</t>
        </is>
      </c>
      <c r="E48" s="44" t="inlineStr">
        <is>
          <t>Oui</t>
        </is>
      </c>
    </row>
    <row r="49">
      <c r="A49" s="42" t="n">
        <v>8</v>
      </c>
      <c r="B49" s="30" t="inlineStr">
        <is>
          <t>V4 pf (t)</t>
        </is>
      </c>
      <c r="C49" s="45" t="n">
        <v>117912488</v>
      </c>
      <c r="D49" s="30" t="inlineStr">
        <is>
          <t>117 912 488 FCFA</t>
        </is>
      </c>
      <c r="E49" s="46" t="inlineStr">
        <is>
          <t>Oui</t>
        </is>
      </c>
    </row>
    <row r="50">
      <c r="A50" s="42" t="n">
        <v>8</v>
      </c>
      <c r="B50" s="28" t="inlineStr">
        <is>
          <t>V4 int EFC</t>
        </is>
      </c>
      <c r="C50" s="43" t="n">
        <v>309709576.54</v>
      </c>
      <c r="D50" s="28" t="inlineStr">
        <is>
          <t>309 709 577 FCFA</t>
        </is>
      </c>
      <c r="E50" s="44" t="inlineStr">
        <is>
          <t>Oui</t>
        </is>
      </c>
    </row>
    <row r="51">
      <c r="A51" s="42" t="n">
        <v>8</v>
      </c>
      <c r="B51" s="30" t="inlineStr">
        <is>
          <t>V4 immobilisé</t>
        </is>
      </c>
      <c r="C51" s="45" t="n">
        <v>15736951165</v>
      </c>
      <c r="D51" s="30" t="inlineStr">
        <is>
          <t>15 736 951 165 FCFA</t>
        </is>
      </c>
      <c r="E51" s="46" t="inlineStr">
        <is>
          <t>Oui</t>
        </is>
      </c>
    </row>
    <row r="52">
      <c r="A52" s="42" t="n">
        <v>8</v>
      </c>
      <c r="B52" s="28" t="inlineStr">
        <is>
          <t>V4 Grenier</t>
        </is>
      </c>
      <c r="C52" s="43" t="n">
        <v>915477260</v>
      </c>
      <c r="D52" s="28" t="inlineStr">
        <is>
          <t>915 477 260 FCFA</t>
        </is>
      </c>
      <c r="E52" s="44" t="inlineStr">
        <is>
          <t>Oui</t>
        </is>
      </c>
    </row>
    <row r="53">
      <c r="A53" s="42" t="n">
        <v>9</v>
      </c>
      <c r="B53" s="30" t="inlineStr">
        <is>
          <t>Couverture épargne 31/08/2026</t>
        </is>
      </c>
      <c r="C53" s="45" t="n">
        <v>0.1627899128345373</v>
      </c>
      <c r="D53" s="30" t="inlineStr">
        <is>
          <t>16,28 %</t>
        </is>
      </c>
      <c r="E53" s="46" t="inlineStr">
        <is>
          <t>Oui</t>
        </is>
      </c>
    </row>
    <row r="54">
      <c r="A54" s="42" t="n">
        <v>9</v>
      </c>
      <c r="B54" s="28" t="inlineStr">
        <is>
          <t>Lignes de précomptes contrôlées</t>
        </is>
      </c>
      <c r="C54" s="43" t="n">
        <v>4454416</v>
      </c>
      <c r="D54" s="28" t="inlineStr">
        <is>
          <t>4 454 416</t>
        </is>
      </c>
      <c r="E54" s="44" t="inlineStr">
        <is>
          <t>Oui</t>
        </is>
      </c>
    </row>
    <row r="55">
      <c r="A55" s="42" t="n">
        <v>9</v>
      </c>
      <c r="B55" s="30" t="inlineStr">
        <is>
          <t>Taux total observé</t>
        </is>
      </c>
      <c r="C55" s="45" t="n">
        <v>5</v>
      </c>
      <c r="D55" s="30" t="inlineStr">
        <is>
          <t>5,00 %</t>
        </is>
      </c>
      <c r="E55" s="46" t="inlineStr">
        <is>
          <t>Oui</t>
        </is>
      </c>
    </row>
    <row r="56">
      <c r="A56" s="42" t="n">
        <v>9</v>
      </c>
      <c r="B56" s="28" t="inlineStr">
        <is>
          <t>Taux maladie observé</t>
        </is>
      </c>
      <c r="C56" s="43" t="n">
        <v>3.770074672667758</v>
      </c>
      <c r="D56" s="28" t="inlineStr">
        <is>
          <t>3,77 %</t>
        </is>
      </c>
      <c r="E56" s="44" t="inlineStr">
        <is>
          <t>Oui</t>
        </is>
      </c>
    </row>
    <row r="57">
      <c r="A57" s="42" t="n">
        <v>9</v>
      </c>
      <c r="B57" s="30" t="inlineStr">
        <is>
          <t>S/C maladie 2021</t>
        </is>
      </c>
      <c r="C57" s="45" t="n">
        <v>0.05998415238073976</v>
      </c>
      <c r="D57" s="30" t="inlineStr">
        <is>
          <t>6,00 %</t>
        </is>
      </c>
      <c r="E57" s="46" t="inlineStr">
        <is>
          <t>Oui</t>
        </is>
      </c>
    </row>
    <row r="58">
      <c r="A58" s="42" t="n">
        <v>9</v>
      </c>
      <c r="B58" s="28" t="inlineStr">
        <is>
          <t>S/C maladie 2025</t>
        </is>
      </c>
      <c r="C58" s="43" t="n">
        <v>0.7353377787563454</v>
      </c>
      <c r="D58" s="28" t="inlineStr">
        <is>
          <t>73,53 %</t>
        </is>
      </c>
      <c r="E58" s="44" t="inlineStr">
        <is>
          <t>Oui</t>
        </is>
      </c>
    </row>
    <row r="59">
      <c r="A59" s="42" t="n">
        <v>9</v>
      </c>
      <c r="B59" s="30" t="inlineStr">
        <is>
          <t>Provisions techniques</t>
        </is>
      </c>
      <c r="C59" s="45" t="n">
        <v>4829298290</v>
      </c>
      <c r="D59" s="30" t="inlineStr">
        <is>
          <t>4 829 298 290 FCFA</t>
        </is>
      </c>
      <c r="E59" s="46" t="inlineStr">
        <is>
          <t>Oui</t>
        </is>
      </c>
    </row>
    <row r="60">
      <c r="A60" s="42" t="n">
        <v>9</v>
      </c>
      <c r="B60" s="28" t="inlineStr">
        <is>
          <t>Épargne totale 31/08/2026</t>
        </is>
      </c>
      <c r="C60" s="43" t="n">
        <v>15743516391</v>
      </c>
      <c r="D60" s="28" t="inlineStr">
        <is>
          <t>15 743 516 391 FCFA</t>
        </is>
      </c>
      <c r="E60" s="44" t="inlineStr">
        <is>
          <t>Oui</t>
        </is>
      </c>
    </row>
    <row r="61">
      <c r="A61" s="42" t="n">
        <v>9</v>
      </c>
      <c r="B61" s="30" t="inlineStr">
        <is>
          <t>Fonds propres 2025</t>
        </is>
      </c>
      <c r="C61" s="45" t="n">
        <v>-438242200</v>
      </c>
      <c r="D61" s="30" t="inlineStr">
        <is>
          <t>-438 242 200 FCFA</t>
        </is>
      </c>
      <c r="E61" s="46" t="inlineStr">
        <is>
          <t>Oui</t>
        </is>
      </c>
    </row>
    <row r="62">
      <c r="A62" s="42" t="n">
        <v>9</v>
      </c>
      <c r="B62" s="28" t="inlineStr">
        <is>
          <t>Encours Grenier 31/08/2026</t>
        </is>
      </c>
      <c r="C62" s="43" t="n">
        <v>1044302107</v>
      </c>
      <c r="D62" s="28" t="inlineStr">
        <is>
          <t>1 044 302 107 FCFA</t>
        </is>
      </c>
      <c r="E62" s="44" t="inlineStr">
        <is>
          <t>Oui</t>
        </is>
      </c>
    </row>
    <row r="63">
      <c r="A63" s="42" t="n">
        <v>10</v>
      </c>
      <c r="B63" s="30" t="inlineStr">
        <is>
          <t>S/C maladie 2025 (gab)</t>
        </is>
      </c>
      <c r="C63" s="45" t="n">
        <v>0.7353377787563454</v>
      </c>
      <c r="D63" s="30" t="inlineStr">
        <is>
          <t>73,53 %</t>
        </is>
      </c>
      <c r="E63" s="46" t="inlineStr">
        <is>
          <t>Oui</t>
        </is>
      </c>
    </row>
    <row r="64">
      <c r="A64" s="42" t="n">
        <v>10</v>
      </c>
      <c r="B64" s="28" t="inlineStr">
        <is>
          <t>Couverture épargne (gab)</t>
        </is>
      </c>
      <c r="C64" s="43" t="n">
        <v>0.1627899128345373</v>
      </c>
      <c r="D64" s="28" t="inlineStr">
        <is>
          <t>16,28 %</t>
        </is>
      </c>
      <c r="E64" s="44" t="inlineStr">
        <is>
          <t>Oui</t>
        </is>
      </c>
    </row>
    <row r="65">
      <c r="A65" s="42" t="n">
        <v>10</v>
      </c>
      <c r="B65" s="30" t="inlineStr">
        <is>
          <t>Précomptes / échéances août 2026</t>
        </is>
      </c>
      <c r="C65" s="45" t="n">
        <v>0.8455209407392865</v>
      </c>
      <c r="D65" s="30" t="inlineStr">
        <is>
          <t>84,55 %</t>
        </is>
      </c>
      <c r="E65" s="46" t="inlineStr">
        <is>
          <t>Oui</t>
        </is>
      </c>
    </row>
    <row r="66">
      <c r="A66" s="42" t="n">
        <v>10</v>
      </c>
      <c r="B66" s="28" t="inlineStr">
        <is>
          <t>Taux total (gab)</t>
        </is>
      </c>
      <c r="C66" s="43" t="n">
        <v>5</v>
      </c>
      <c r="D66" s="28" t="inlineStr">
        <is>
          <t>5,00 %</t>
        </is>
      </c>
      <c r="E66" s="44" t="inlineStr">
        <is>
          <t>Oui</t>
        </is>
      </c>
    </row>
    <row r="67">
      <c r="A67" s="42" t="n">
        <v>10</v>
      </c>
      <c r="B67" s="30" t="inlineStr">
        <is>
          <t>S/C 2021 (gab)</t>
        </is>
      </c>
      <c r="C67" s="45" t="n">
        <v>0.05998415238073976</v>
      </c>
      <c r="D67" s="30" t="inlineStr">
        <is>
          <t>6,00 %</t>
        </is>
      </c>
      <c r="E67" s="46" t="inlineStr">
        <is>
          <t>Oui</t>
        </is>
      </c>
    </row>
    <row r="68">
      <c r="A68" s="42" t="n">
        <v>10</v>
      </c>
      <c r="B68" s="28" t="inlineStr">
        <is>
          <t>Lignes taux</t>
        </is>
      </c>
      <c r="C68" s="43" t="n">
        <v>209670</v>
      </c>
      <c r="D68" s="28" t="inlineStr">
        <is>
          <t>209 670</t>
        </is>
      </c>
      <c r="E68" s="44" t="inlineStr">
        <is>
          <t>Oui</t>
        </is>
      </c>
    </row>
    <row r="69">
      <c r="A69" s="42" t="n">
        <v>11</v>
      </c>
      <c r="B69" s="30" t="inlineStr">
        <is>
          <t>Cotisations 2025</t>
        </is>
      </c>
      <c r="C69" s="45" t="n">
        <v>3417551722</v>
      </c>
      <c r="D69" s="30" t="inlineStr">
        <is>
          <t>3 417 551 722 FCFA</t>
        </is>
      </c>
      <c r="E69" s="46" t="inlineStr">
        <is>
          <t>Oui</t>
        </is>
      </c>
    </row>
    <row r="70">
      <c r="A70" s="42" t="n">
        <v>11</v>
      </c>
      <c r="B70" s="28" t="inlineStr">
        <is>
          <t>Prestations 2025</t>
        </is>
      </c>
      <c r="C70" s="43" t="n">
        <v>1964772027</v>
      </c>
      <c r="D70" s="28" t="inlineStr">
        <is>
          <t>1 964 772 027 FCFA</t>
        </is>
      </c>
      <c r="E70" s="44" t="inlineStr">
        <is>
          <t>Oui</t>
        </is>
      </c>
    </row>
    <row r="71">
      <c r="A71" s="42" t="n">
        <v>11</v>
      </c>
      <c r="B71" s="30" t="inlineStr">
        <is>
          <t>Épargne (schéma texte)</t>
        </is>
      </c>
      <c r="C71" s="45" t="n">
        <v>15743516391</v>
      </c>
      <c r="D71" s="30" t="inlineStr">
        <is>
          <t>15 743 516 391 FCFA</t>
        </is>
      </c>
      <c r="E71" s="46" t="inlineStr">
        <is>
          <t>Oui</t>
        </is>
      </c>
    </row>
    <row r="72">
      <c r="A72" s="42" t="n">
        <v>12</v>
      </c>
      <c r="B72" s="28" t="inlineStr">
        <is>
          <t>S/C 2021 (6c)</t>
        </is>
      </c>
      <c r="C72" s="43" t="n">
        <v>0.05998415238073976</v>
      </c>
      <c r="D72" s="28" t="inlineStr">
        <is>
          <t>6,00 %</t>
        </is>
      </c>
      <c r="E72" s="44" t="inlineStr">
        <is>
          <t>Oui</t>
        </is>
      </c>
    </row>
    <row r="73">
      <c r="A73" s="42" t="n">
        <v>12</v>
      </c>
      <c r="B73" s="30" t="inlineStr">
        <is>
          <t>S/C 2025 (6c)</t>
        </is>
      </c>
      <c r="C73" s="45" t="n">
        <v>0.7353377787563454</v>
      </c>
      <c r="D73" s="30" t="inlineStr">
        <is>
          <t>73,53 %</t>
        </is>
      </c>
      <c r="E73" s="46" t="inlineStr">
        <is>
          <t>Oui</t>
        </is>
      </c>
    </row>
    <row r="74">
      <c r="A74" s="42" t="n">
        <v>12</v>
      </c>
      <c r="B74" s="28" t="inlineStr">
        <is>
          <t>Multiplicateur prestations</t>
        </is>
      </c>
      <c r="C74" s="43" t="n">
        <v>3.903702813978579</v>
      </c>
      <c r="D74" s="28" t="inlineStr">
        <is>
          <t>3,90</t>
        </is>
      </c>
      <c r="E74" s="44" t="inlineStr">
        <is>
          <t>Oui</t>
        </is>
      </c>
    </row>
    <row r="75">
      <c r="A75" s="42" t="n">
        <v>12</v>
      </c>
      <c r="B75" s="30" t="inlineStr">
        <is>
          <t>Couverture (6c)</t>
        </is>
      </c>
      <c r="C75" s="45" t="n">
        <v>0.1627899128345373</v>
      </c>
      <c r="D75" s="30" t="inlineStr">
        <is>
          <t>16,28 %</t>
        </is>
      </c>
      <c r="E75" s="46" t="inlineStr">
        <is>
          <t>Oui</t>
        </is>
      </c>
    </row>
    <row r="76">
      <c r="A76" s="42" t="n">
        <v>12</v>
      </c>
      <c r="B76" s="28" t="inlineStr">
        <is>
          <t>FP 2025 (6c)</t>
        </is>
      </c>
      <c r="C76" s="43" t="n">
        <v>-438242200</v>
      </c>
      <c r="D76" s="28" t="inlineStr">
        <is>
          <t>-438 242 200 FCFA</t>
        </is>
      </c>
      <c r="E76" s="44" t="inlineStr">
        <is>
          <t>Oui</t>
        </is>
      </c>
    </row>
    <row r="77">
      <c r="A77" s="42" t="n">
        <v>13</v>
      </c>
      <c r="B77" s="30" t="inlineStr">
        <is>
          <t>S/C 2025 (gc)</t>
        </is>
      </c>
      <c r="C77" s="45" t="n">
        <v>0.7353377787563454</v>
      </c>
      <c r="D77" s="30" t="inlineStr">
        <is>
          <t>73,53 %</t>
        </is>
      </c>
      <c r="E77" s="46" t="inlineStr">
        <is>
          <t>Oui</t>
        </is>
      </c>
    </row>
    <row r="78">
      <c r="A78" s="42" t="n">
        <v>13</v>
      </c>
      <c r="B78" s="28" t="inlineStr">
        <is>
          <t>Couverture (gc)</t>
        </is>
      </c>
      <c r="C78" s="43" t="n">
        <v>0.1627899128345373</v>
      </c>
      <c r="D78" s="28" t="inlineStr">
        <is>
          <t>16,28 %</t>
        </is>
      </c>
      <c r="E78" s="44" t="inlineStr">
        <is>
          <t>Oui</t>
        </is>
      </c>
    </row>
    <row r="79">
      <c r="A79" s="42" t="n">
        <v>14</v>
      </c>
      <c r="B79" s="30" t="inlineStr">
        <is>
          <t>FP 2025 (gc)</t>
        </is>
      </c>
      <c r="C79" s="45" t="n">
        <v>-438242200</v>
      </c>
      <c r="D79" s="30" t="inlineStr">
        <is>
          <t>-438 242 200 FCFA</t>
        </is>
      </c>
      <c r="E79" s="46" t="inlineStr">
        <is>
          <t>Oui</t>
        </is>
      </c>
    </row>
    <row r="80">
      <c r="A80" s="42" t="n">
        <v>14</v>
      </c>
      <c r="B80" s="28" t="inlineStr">
        <is>
          <t>Encours (gc)</t>
        </is>
      </c>
      <c r="C80" s="43" t="n">
        <v>1044302107</v>
      </c>
      <c r="D80" s="28" t="inlineStr">
        <is>
          <t>1 044 302 107 FCFA</t>
        </is>
      </c>
      <c r="E80" s="44" t="inlineStr">
        <is>
          <t>Oui</t>
        </is>
      </c>
    </row>
    <row r="81">
      <c r="A81" s="42" t="n">
        <v>15</v>
      </c>
      <c r="B81" s="30" t="inlineStr">
        <is>
          <t>SIN 2025</t>
        </is>
      </c>
      <c r="C81" s="45" t="n">
        <v>0.574807069687674</v>
      </c>
      <c r="D81" s="30" t="inlineStr">
        <is>
          <t>57,48 %</t>
        </is>
      </c>
      <c r="E81" s="46" t="inlineStr">
        <is>
          <t>Oui</t>
        </is>
      </c>
    </row>
    <row r="82">
      <c r="A82" s="42" t="n">
        <v>15</v>
      </c>
      <c r="B82" s="28" t="inlineStr">
        <is>
          <t>MSE 2025</t>
        </is>
      </c>
      <c r="C82" s="43" t="n">
        <v>7.765392737736256</v>
      </c>
      <c r="D82" s="28" t="inlineStr">
        <is>
          <t>7,77</t>
        </is>
      </c>
      <c r="E82" s="44" t="inlineStr">
        <is>
          <t>Oui</t>
        </is>
      </c>
    </row>
    <row r="83">
      <c r="A83" s="42" t="n">
        <v>15</v>
      </c>
      <c r="B83" s="30" t="inlineStr">
        <is>
          <t>MSE 2025 retraité</t>
        </is>
      </c>
      <c r="C83" s="45" t="n">
        <v>-0.7739925471259136</v>
      </c>
      <c r="D83" s="30" t="inlineStr">
        <is>
          <t>-0,77</t>
        </is>
      </c>
      <c r="E83" s="46" t="inlineStr">
        <is>
          <t>Oui</t>
        </is>
      </c>
    </row>
    <row r="84">
      <c r="A84" s="42" t="n">
        <v>15</v>
      </c>
      <c r="B84" s="28" t="inlineStr">
        <is>
          <t>ROB 2025</t>
        </is>
      </c>
      <c r="C84" s="43" t="n">
        <v>5.00963658518129</v>
      </c>
      <c r="D84" s="28" t="inlineStr">
        <is>
          <t>5,01</t>
        </is>
      </c>
      <c r="E84" s="44" t="inlineStr">
        <is>
          <t>Oui</t>
        </is>
      </c>
    </row>
    <row r="85">
      <c r="A85" s="42" t="n">
        <v>15</v>
      </c>
      <c r="B85" s="30" t="inlineStr">
        <is>
          <t>FEP 2025</t>
        </is>
      </c>
      <c r="C85" s="45" t="n">
        <v>0.2153205579766456</v>
      </c>
      <c r="D85" s="30" t="inlineStr">
        <is>
          <t>0,22</t>
        </is>
      </c>
      <c r="E85" s="46" t="inlineStr">
        <is>
          <t>Oui</t>
        </is>
      </c>
    </row>
    <row r="86">
      <c r="A86" s="42" t="n">
        <v>15</v>
      </c>
      <c r="B86" s="28" t="inlineStr">
        <is>
          <t>LIQ 2025</t>
        </is>
      </c>
      <c r="C86" s="43" t="n">
        <v>0.1265562520616417</v>
      </c>
      <c r="D86" s="28" t="inlineStr">
        <is>
          <t>0,13</t>
        </is>
      </c>
      <c r="E86" s="44" t="inlineStr">
        <is>
          <t>Oui</t>
        </is>
      </c>
    </row>
    <row r="87">
      <c r="A87" s="42" t="n">
        <v>15</v>
      </c>
      <c r="B87" s="30" t="inlineStr">
        <is>
          <t>LIQ 2025 retraité</t>
        </is>
      </c>
      <c r="C87" s="45" t="n">
        <v>1.151277985464196</v>
      </c>
      <c r="D87" s="30" t="inlineStr">
        <is>
          <t>1,15</t>
        </is>
      </c>
      <c r="E87" s="46" t="inlineStr">
        <is>
          <t>Oui</t>
        </is>
      </c>
    </row>
    <row r="88">
      <c r="A88" s="42" t="n">
        <v>15</v>
      </c>
      <c r="B88" s="28" t="inlineStr">
        <is>
          <t>EQS 2025</t>
        </is>
      </c>
      <c r="C88" s="43" t="n">
        <v>1.536687732810269</v>
      </c>
      <c r="D88" s="28" t="inlineStr">
        <is>
          <t>1,54</t>
        </is>
      </c>
      <c r="E88" s="44" t="inlineStr">
        <is>
          <t>Oui</t>
        </is>
      </c>
    </row>
    <row r="89">
      <c r="A89" s="42" t="n">
        <v>15</v>
      </c>
      <c r="B89" s="30" t="inlineStr">
        <is>
          <t>EQS 2025 retraité</t>
        </is>
      </c>
      <c r="C89" s="45" t="n">
        <v>0.9447125240184668</v>
      </c>
      <c r="D89" s="30" t="inlineStr">
        <is>
          <t>0,94</t>
        </is>
      </c>
      <c r="E89" s="46" t="inlineStr">
        <is>
          <t>Oui</t>
        </is>
      </c>
    </row>
    <row r="90">
      <c r="A90" s="42" t="n">
        <v>15</v>
      </c>
      <c r="B90" s="28" t="inlineStr">
        <is>
          <t>CHF 2025</t>
        </is>
      </c>
      <c r="C90" s="43" t="n">
        <v>0.3633533094915952</v>
      </c>
      <c r="D90" s="28" t="inlineStr">
        <is>
          <t>36,34 %</t>
        </is>
      </c>
      <c r="E90" s="44" t="inlineStr">
        <is>
          <t>Oui</t>
        </is>
      </c>
    </row>
    <row r="91">
      <c r="A91" s="42" t="n">
        <v>15</v>
      </c>
      <c r="B91" s="30" t="inlineStr">
        <is>
          <t>RL1 2025</t>
        </is>
      </c>
      <c r="C91" s="45" t="n">
        <v>0.1164143426545503</v>
      </c>
      <c r="D91" s="30" t="inlineStr">
        <is>
          <t>0,12</t>
        </is>
      </c>
      <c r="E91" s="46" t="inlineStr">
        <is>
          <t>Oui</t>
        </is>
      </c>
    </row>
    <row r="92">
      <c r="A92" s="42" t="n">
        <v>15</v>
      </c>
      <c r="B92" s="28" t="inlineStr">
        <is>
          <t>LIQ 2025</t>
        </is>
      </c>
      <c r="C92" s="43" t="n">
        <v>0.1265562520616417</v>
      </c>
      <c r="D92" s="28" t="inlineStr">
        <is>
          <t>0,13</t>
        </is>
      </c>
      <c r="E92" s="44" t="inlineStr">
        <is>
          <t>Oui</t>
        </is>
      </c>
    </row>
    <row r="93">
      <c r="A93" s="42" t="n">
        <v>15</v>
      </c>
      <c r="B93" s="30" t="inlineStr">
        <is>
          <t>LIQ 2025 retraité</t>
        </is>
      </c>
      <c r="C93" s="45" t="n">
        <v>1.151277985464196</v>
      </c>
      <c r="D93" s="30" t="inlineStr">
        <is>
          <t>1,15</t>
        </is>
      </c>
      <c r="E93" s="46" t="inlineStr">
        <is>
          <t>Oui</t>
        </is>
      </c>
    </row>
    <row r="94">
      <c r="A94" s="42" t="n">
        <v>22</v>
      </c>
      <c r="B94" s="28" t="inlineStr">
        <is>
          <t>S8 dotation 2023</t>
        </is>
      </c>
      <c r="C94" s="43" t="n">
        <v>184219879</v>
      </c>
      <c r="D94" s="28" t="inlineStr">
        <is>
          <t>184 219 879 FCFA</t>
        </is>
      </c>
      <c r="E94" s="44" t="inlineStr">
        <is>
          <t>Oui</t>
        </is>
      </c>
    </row>
    <row r="95">
      <c r="A95" s="42" t="n">
        <v>22</v>
      </c>
      <c r="B95" s="30" t="inlineStr">
        <is>
          <t>S8 taux dotation 2023</t>
        </is>
      </c>
      <c r="C95" s="45" t="n">
        <v>0.08941268614359796</v>
      </c>
      <c r="D95" s="30" t="inlineStr">
        <is>
          <t>8,94 %</t>
        </is>
      </c>
      <c r="E95" s="46" t="inlineStr">
        <is>
          <t>Oui</t>
        </is>
      </c>
    </row>
    <row r="96">
      <c r="A96" s="42" t="n">
        <v>22</v>
      </c>
      <c r="B96" s="28" t="inlineStr">
        <is>
          <t>S8 taux dotation 2024</t>
        </is>
      </c>
      <c r="C96" s="43" t="n">
        <v>0.3600000003008718</v>
      </c>
      <c r="D96" s="28" t="inlineStr">
        <is>
          <t>36,00 %</t>
        </is>
      </c>
      <c r="E96" s="44" t="inlineStr">
        <is>
          <t>Oui</t>
        </is>
      </c>
    </row>
    <row r="97">
      <c r="A97" s="42" t="n">
        <v>22</v>
      </c>
      <c r="B97" s="30" t="inlineStr">
        <is>
          <t>S8 taux dotation 2025</t>
        </is>
      </c>
      <c r="C97" s="45" t="n">
        <v>0.3799999992677411</v>
      </c>
      <c r="D97" s="30" t="inlineStr">
        <is>
          <t>38,00 %</t>
        </is>
      </c>
      <c r="E97" s="46" t="inlineStr">
        <is>
          <t>Oui</t>
        </is>
      </c>
    </row>
    <row r="98">
      <c r="A98" s="42" t="n">
        <v>24</v>
      </c>
      <c r="B98" s="28" t="inlineStr">
        <is>
          <t>Moyen 936 août 2026</t>
        </is>
      </c>
      <c r="C98" s="43" t="n">
        <v>7194.712962369383</v>
      </c>
      <c r="D98" s="28" t="inlineStr">
        <is>
          <t>7 195 FCFA</t>
        </is>
      </c>
      <c r="E98" s="44" t="inlineStr">
        <is>
          <t>Oui</t>
        </is>
      </c>
    </row>
    <row r="99">
      <c r="A99" s="42" t="n">
        <v>24</v>
      </c>
      <c r="B99" s="30" t="inlineStr">
        <is>
          <t>Moyen EFC</t>
        </is>
      </c>
      <c r="C99" s="45" t="n">
        <v>8131.858421070461</v>
      </c>
      <c r="D99" s="30" t="inlineStr">
        <is>
          <t>8 132 FCFA</t>
        </is>
      </c>
      <c r="E99" s="46" t="inlineStr">
        <is>
          <t>Oui</t>
        </is>
      </c>
    </row>
    <row r="100">
      <c r="A100" s="42" t="n">
        <v>24</v>
      </c>
      <c r="B100" s="28" t="inlineStr">
        <is>
          <t>Moyen CGRAE</t>
        </is>
      </c>
      <c r="C100" s="43" t="n">
        <v>11939.99518818191</v>
      </c>
      <c r="D100" s="28" t="inlineStr">
        <is>
          <t>11 940 FCFA</t>
        </is>
      </c>
      <c r="E100" s="44" t="inlineStr">
        <is>
          <t>Oui</t>
        </is>
      </c>
    </row>
    <row r="101">
      <c r="A101" s="42" t="n">
        <v>27</v>
      </c>
      <c r="B101" s="30" t="inlineStr">
        <is>
          <t>Produits 2025</t>
        </is>
      </c>
      <c r="C101" s="45" t="n">
        <v>3671499865</v>
      </c>
      <c r="D101" s="30" t="inlineStr">
        <is>
          <t>3 671 499 865 FCFA</t>
        </is>
      </c>
      <c r="E101" s="46" t="inlineStr">
        <is>
          <t>Oui</t>
        </is>
      </c>
    </row>
    <row r="102">
      <c r="A102" s="42" t="n">
        <v>27</v>
      </c>
      <c r="B102" s="28" t="inlineStr">
        <is>
          <t>Charges 2025</t>
        </is>
      </c>
      <c r="C102" s="43" t="n">
        <v>3250431812</v>
      </c>
      <c r="D102" s="28" t="inlineStr">
        <is>
          <t>3 250 431 812 FCFA</t>
        </is>
      </c>
      <c r="E102" s="44" t="inlineStr">
        <is>
          <t>Oui</t>
        </is>
      </c>
    </row>
    <row r="103">
      <c r="A103" s="42" t="n">
        <v>27</v>
      </c>
      <c r="B103" s="30" t="inlineStr">
        <is>
          <t>Résultat 2025</t>
        </is>
      </c>
      <c r="C103" s="45" t="n">
        <v>437899911</v>
      </c>
      <c r="D103" s="30" t="inlineStr">
        <is>
          <t>437 899 911 FCFA</t>
        </is>
      </c>
      <c r="E103" s="46" t="inlineStr">
        <is>
          <t>Oui</t>
        </is>
      </c>
    </row>
    <row r="104">
      <c r="A104" s="42" t="n">
        <v>27</v>
      </c>
      <c r="B104" s="28" t="inlineStr">
        <is>
          <t>Cot mal 2025</t>
        </is>
      </c>
      <c r="C104" s="43" t="n">
        <v>2409281030</v>
      </c>
      <c r="D104" s="28" t="inlineStr">
        <is>
          <t>2 409 281 030 FCFA</t>
        </is>
      </c>
      <c r="E104" s="44" t="inlineStr">
        <is>
          <t>Oui</t>
        </is>
      </c>
    </row>
    <row r="105">
      <c r="A105" s="42" t="n">
        <v>27</v>
      </c>
      <c r="B105" s="30" t="inlineStr">
        <is>
          <t>Cot dec 2025</t>
        </is>
      </c>
      <c r="C105" s="45" t="n">
        <v>1008270692</v>
      </c>
      <c r="D105" s="30" t="inlineStr">
        <is>
          <t>1 008 270 692 FCFA</t>
        </is>
      </c>
      <c r="E105" s="46" t="inlineStr">
        <is>
          <t>Oui</t>
        </is>
      </c>
    </row>
    <row r="106">
      <c r="A106" s="42" t="n">
        <v>27</v>
      </c>
      <c r="B106" s="28" t="inlineStr">
        <is>
          <t>Prest mal 2025</t>
        </is>
      </c>
      <c r="C106" s="43" t="n">
        <v>1771635361</v>
      </c>
      <c r="D106" s="28" t="inlineStr">
        <is>
          <t>1 771 635 361 FCFA</t>
        </is>
      </c>
      <c r="E106" s="44" t="inlineStr">
        <is>
          <t>Oui</t>
        </is>
      </c>
    </row>
    <row r="107">
      <c r="A107" s="42" t="n">
        <v>27</v>
      </c>
      <c r="B107" s="30" t="inlineStr">
        <is>
          <t>Prest dec 2025</t>
        </is>
      </c>
      <c r="C107" s="45" t="n">
        <v>193136666</v>
      </c>
      <c r="D107" s="30" t="inlineStr">
        <is>
          <t>193 136 666 FCFA</t>
        </is>
      </c>
      <c r="E107" s="46" t="inlineStr">
        <is>
          <t>Oui</t>
        </is>
      </c>
    </row>
    <row r="108">
      <c r="A108" s="42" t="n">
        <v>27</v>
      </c>
      <c r="B108" s="28" t="inlineStr">
        <is>
          <t>Taux frais 2025</t>
        </is>
      </c>
      <c r="C108" s="43" t="n">
        <v>0.3222628684476717</v>
      </c>
      <c r="D108" s="28" t="inlineStr">
        <is>
          <t>32,23 %</t>
        </is>
      </c>
      <c r="E108" s="44" t="inlineStr">
        <is>
          <t>Oui</t>
        </is>
      </c>
    </row>
    <row r="109">
      <c r="A109" s="42" t="n">
        <v>31</v>
      </c>
      <c r="B109" s="30" t="inlineStr">
        <is>
          <t>Lignes taux (validité)</t>
        </is>
      </c>
      <c r="C109" s="45" t="n">
        <v>209670</v>
      </c>
      <c r="D109" s="30" t="inlineStr">
        <is>
          <t>209 670</t>
        </is>
      </c>
      <c r="E109" s="46" t="inlineStr">
        <is>
          <t>Oui</t>
        </is>
      </c>
    </row>
    <row r="110">
      <c r="A110" s="42" t="n">
        <v>37</v>
      </c>
      <c r="B110" s="28" t="inlineStr">
        <is>
          <t>Total février 2025</t>
        </is>
      </c>
      <c r="C110" s="43" t="n">
        <v>202597314</v>
      </c>
      <c r="D110" s="28" t="inlineStr">
        <is>
          <t>202 597 314 FCFA</t>
        </is>
      </c>
      <c r="E110" s="44" t="inlineStr">
        <is>
          <t>Oui</t>
        </is>
      </c>
    </row>
    <row r="111">
      <c r="A111" s="42" t="n">
        <v>37</v>
      </c>
      <c r="B111" s="30" t="inlineStr">
        <is>
          <t>Lignes fichier février 2025</t>
        </is>
      </c>
      <c r="C111" s="45" t="n">
        <v>27861</v>
      </c>
      <c r="D111" s="30" t="inlineStr">
        <is>
          <t>27 861</t>
        </is>
      </c>
      <c r="E111" s="46" t="inlineStr">
        <is>
          <t>Oui</t>
        </is>
      </c>
    </row>
    <row r="112">
      <c r="A112" s="42" t="n">
        <v>37</v>
      </c>
      <c r="B112" s="28" t="inlineStr">
        <is>
          <t>Lignes total écartées (notes)</t>
        </is>
      </c>
      <c r="C112" s="43" t="n">
        <v>87</v>
      </c>
      <c r="D112" s="28" t="inlineStr">
        <is>
          <t>87</t>
        </is>
      </c>
      <c r="E112" s="44" t="inlineStr">
        <is>
          <t>Oui</t>
        </is>
      </c>
    </row>
    <row r="113">
      <c r="A113" s="42" t="n">
        <v>37</v>
      </c>
      <c r="B113" s="30" t="inlineStr">
        <is>
          <t>Total février (pas)</t>
        </is>
      </c>
      <c r="C113" s="45" t="n">
        <v>202597314</v>
      </c>
      <c r="D113" s="30" t="inlineStr">
        <is>
          <t>202 597 314 FCFA</t>
        </is>
      </c>
      <c r="E113" s="46" t="inlineStr">
        <is>
          <t>Oui</t>
        </is>
      </c>
    </row>
    <row r="114">
      <c r="A114" s="42" t="n">
        <v>37</v>
      </c>
      <c r="B114" s="28" t="inlineStr">
        <is>
          <t>Lignes total écartées</t>
        </is>
      </c>
      <c r="C114" s="43" t="n">
        <v>87</v>
      </c>
      <c r="D114" s="28" t="inlineStr">
        <is>
          <t>87</t>
        </is>
      </c>
      <c r="E114" s="44" t="inlineStr">
        <is>
          <t>Oui</t>
        </is>
      </c>
    </row>
    <row r="115">
      <c r="A115" s="42" t="n">
        <v>37</v>
      </c>
      <c r="B115" s="30" t="inlineStr">
        <is>
          <t>Montant total écarté</t>
        </is>
      </c>
      <c r="C115" s="45" t="n">
        <v>10340860286</v>
      </c>
      <c r="D115" s="30" t="inlineStr">
        <is>
          <t>10 340 860 286 FCFA</t>
        </is>
      </c>
      <c r="E115" s="46" t="inlineStr">
        <is>
          <t>Oui</t>
        </is>
      </c>
    </row>
    <row r="116">
      <c r="A116" s="42" t="n">
        <v>38</v>
      </c>
      <c r="B116" s="28" t="inlineStr">
        <is>
          <t>Montants corrigés</t>
        </is>
      </c>
      <c r="C116" s="43" t="n">
        <v>17</v>
      </c>
      <c r="D116" s="28" t="inlineStr">
        <is>
          <t>17</t>
        </is>
      </c>
      <c r="E116" s="44" t="inlineStr">
        <is>
          <t>Oui</t>
        </is>
      </c>
    </row>
    <row r="117">
      <c r="A117" s="42" t="n">
        <v>39</v>
      </c>
      <c r="B117" s="30" t="inlineStr">
        <is>
          <t>Taux min moyen</t>
        </is>
      </c>
      <c r="C117" s="45" t="n">
        <v>0.9740740740740741</v>
      </c>
      <c r="D117" s="30" t="inlineStr">
        <is>
          <t>97,41 %</t>
        </is>
      </c>
      <c r="E117" s="46" t="inlineStr">
        <is>
          <t>Oui</t>
        </is>
      </c>
    </row>
    <row r="118">
      <c r="A118" s="42" t="n">
        <v>39</v>
      </c>
      <c r="B118" s="28" t="inlineStr">
        <is>
          <t>Taux max moyen</t>
        </is>
      </c>
      <c r="C118" s="43" t="n">
        <v>1.001858448497196</v>
      </c>
      <c r="D118" s="28" t="inlineStr">
        <is>
          <t>100,19 %</t>
        </is>
      </c>
      <c r="E118" s="44" t="inlineStr">
        <is>
          <t>Oui</t>
        </is>
      </c>
    </row>
    <row r="119">
      <c r="A119" s="42" t="n">
        <v>39</v>
      </c>
      <c r="B119" s="30" t="inlineStr">
        <is>
          <t>Min Grenier</t>
        </is>
      </c>
      <c r="C119" s="45" t="n">
        <v>0.691882494215768</v>
      </c>
      <c r="D119" s="30" t="inlineStr">
        <is>
          <t>69,19 %</t>
        </is>
      </c>
      <c r="E119" s="46" t="inlineStr">
        <is>
          <t>Oui</t>
        </is>
      </c>
    </row>
    <row r="120">
      <c r="A120" s="42" t="n">
        <v>39</v>
      </c>
      <c r="B120" s="28" t="inlineStr">
        <is>
          <t>Min PEP</t>
        </is>
      </c>
      <c r="C120" s="43" t="n">
        <v>0.7696383299683615</v>
      </c>
      <c r="D120" s="28" t="inlineStr">
        <is>
          <t>76,96 %</t>
        </is>
      </c>
      <c r="E120" s="44" t="inlineStr">
        <is>
          <t>Oui</t>
        </is>
      </c>
    </row>
    <row r="121">
      <c r="A121" s="42" t="n">
        <v>40</v>
      </c>
      <c r="B121" s="30" t="inlineStr">
        <is>
          <t>Taux PEP janv 2025</t>
        </is>
      </c>
      <c r="C121" s="45" t="n">
        <v>0.7696383299683615</v>
      </c>
      <c r="D121" s="30" t="inlineStr">
        <is>
          <t>76,96 %</t>
        </is>
      </c>
      <c r="E121" s="46" t="inlineStr">
        <is>
          <t>Oui</t>
        </is>
      </c>
    </row>
    <row r="122">
      <c r="A122" s="42" t="n">
        <v>40</v>
      </c>
      <c r="B122" s="28" t="inlineStr">
        <is>
          <t>Taux PEP juil 2024</t>
        </is>
      </c>
      <c r="C122" s="43" t="n">
        <v>1.506248957911231</v>
      </c>
      <c r="D122" s="28" t="inlineStr">
        <is>
          <t>150,62 %</t>
        </is>
      </c>
      <c r="E122" s="44" t="inlineStr">
        <is>
          <t>Oui</t>
        </is>
      </c>
    </row>
    <row r="123">
      <c r="A123" s="42" t="n">
        <v>40</v>
      </c>
      <c r="B123" s="30" t="inlineStr">
        <is>
          <t>Lignes aller janv25</t>
        </is>
      </c>
      <c r="C123" s="45" t="n">
        <v>12256</v>
      </c>
      <c r="D123" s="30" t="inlineStr">
        <is>
          <t>12 256</t>
        </is>
      </c>
      <c r="E123" s="46" t="inlineStr">
        <is>
          <t>Oui</t>
        </is>
      </c>
    </row>
    <row r="124">
      <c r="A124" s="42" t="n">
        <v>40</v>
      </c>
      <c r="B124" s="28" t="inlineStr">
        <is>
          <t>Montant aller janv25</t>
        </is>
      </c>
      <c r="C124" s="43" t="n">
        <v>156130575</v>
      </c>
      <c r="D124" s="28" t="inlineStr">
        <is>
          <t>156 130 575 FCFA</t>
        </is>
      </c>
      <c r="E124" s="44" t="inlineStr">
        <is>
          <t>Oui</t>
        </is>
      </c>
    </row>
    <row r="125">
      <c r="A125" s="42" t="n">
        <v>40</v>
      </c>
      <c r="B125" s="30" t="inlineStr">
        <is>
          <t>Lignes retour janv25</t>
        </is>
      </c>
      <c r="C125" s="45" t="n">
        <v>9679</v>
      </c>
      <c r="D125" s="30" t="inlineStr">
        <is>
          <t>9 679</t>
        </is>
      </c>
      <c r="E125" s="46" t="inlineStr">
        <is>
          <t>Oui</t>
        </is>
      </c>
    </row>
    <row r="126">
      <c r="A126" s="42" t="n">
        <v>40</v>
      </c>
      <c r="B126" s="28" t="inlineStr">
        <is>
          <t>Montant retour janv25</t>
        </is>
      </c>
      <c r="C126" s="43" t="n">
        <v>120164075</v>
      </c>
      <c r="D126" s="28" t="inlineStr">
        <is>
          <t>120 164 075 FCFA</t>
        </is>
      </c>
      <c r="E126" s="44" t="inlineStr">
        <is>
          <t>Oui</t>
        </is>
      </c>
    </row>
    <row r="127">
      <c r="A127" s="42" t="n">
        <v>40</v>
      </c>
      <c r="B127" s="30" t="inlineStr">
        <is>
          <t>Taux janv25 (t)</t>
        </is>
      </c>
      <c r="C127" s="45" t="n">
        <v>0.7696383299683615</v>
      </c>
      <c r="D127" s="30" t="inlineStr">
        <is>
          <t>76,96 %</t>
        </is>
      </c>
      <c r="E127" s="46" t="inlineStr">
        <is>
          <t>Oui</t>
        </is>
      </c>
    </row>
    <row r="128">
      <c r="A128" s="42" t="n">
        <v>40</v>
      </c>
      <c r="B128" s="28" t="inlineStr">
        <is>
          <t>Lignes aller juil24</t>
        </is>
      </c>
      <c r="C128" s="43" t="n">
        <v>7180</v>
      </c>
      <c r="D128" s="28" t="inlineStr">
        <is>
          <t>7 180</t>
        </is>
      </c>
      <c r="E128" s="44" t="inlineStr">
        <is>
          <t>Oui</t>
        </is>
      </c>
    </row>
    <row r="129">
      <c r="A129" s="42" t="n">
        <v>40</v>
      </c>
      <c r="B129" s="30" t="inlineStr">
        <is>
          <t>Montant aller juil24</t>
        </is>
      </c>
      <c r="C129" s="45" t="n">
        <v>97910325</v>
      </c>
      <c r="D129" s="30" t="inlineStr">
        <is>
          <t>97 910 325 FCFA</t>
        </is>
      </c>
      <c r="E129" s="46" t="inlineStr">
        <is>
          <t>Oui</t>
        </is>
      </c>
    </row>
    <row r="130">
      <c r="A130" s="42" t="n">
        <v>40</v>
      </c>
      <c r="B130" s="28" t="inlineStr">
        <is>
          <t>Lignes retour juil24</t>
        </is>
      </c>
      <c r="C130" s="43" t="n">
        <v>11654</v>
      </c>
      <c r="D130" s="28" t="inlineStr">
        <is>
          <t>11 654</t>
        </is>
      </c>
      <c r="E130" s="44" t="inlineStr">
        <is>
          <t>Oui</t>
        </is>
      </c>
    </row>
    <row r="131">
      <c r="A131" s="42" t="n">
        <v>40</v>
      </c>
      <c r="B131" s="30" t="inlineStr">
        <is>
          <t>Montant retour juil24</t>
        </is>
      </c>
      <c r="C131" s="45" t="n">
        <v>147477325</v>
      </c>
      <c r="D131" s="30" t="inlineStr">
        <is>
          <t>147 477 325 FCFA</t>
        </is>
      </c>
      <c r="E131" s="46" t="inlineStr">
        <is>
          <t>Oui</t>
        </is>
      </c>
    </row>
    <row r="132">
      <c r="A132" s="42" t="n">
        <v>40</v>
      </c>
      <c r="B132" s="28" t="inlineStr">
        <is>
          <t>Taux juil24 (t)</t>
        </is>
      </c>
      <c r="C132" s="43" t="n">
        <v>1.506248957911231</v>
      </c>
      <c r="D132" s="28" t="inlineStr">
        <is>
          <t>150,62 %</t>
        </is>
      </c>
      <c r="E132" s="44" t="inlineStr">
        <is>
          <t>Oui</t>
        </is>
      </c>
    </row>
    <row r="133">
      <c r="A133" s="42" t="n">
        <v>40</v>
      </c>
      <c r="B133" s="30" t="inlineStr">
        <is>
          <t>Écart lignes janv25</t>
        </is>
      </c>
      <c r="C133" s="45" t="n">
        <v>2577</v>
      </c>
      <c r="D133" s="30" t="inlineStr">
        <is>
          <t>2 577</t>
        </is>
      </c>
      <c r="E133" s="46" t="inlineStr">
        <is>
          <t>Oui</t>
        </is>
      </c>
    </row>
    <row r="134">
      <c r="A134" s="42" t="n">
        <v>40</v>
      </c>
      <c r="B134" s="28" t="inlineStr">
        <is>
          <t>Écart lignes juil24</t>
        </is>
      </c>
      <c r="C134" s="43" t="n">
        <v>4474</v>
      </c>
      <c r="D134" s="28" t="inlineStr">
        <is>
          <t>4 474</t>
        </is>
      </c>
      <c r="E134" s="44" t="inlineStr">
        <is>
          <t>Oui</t>
        </is>
      </c>
    </row>
    <row r="135">
      <c r="A135" s="42" t="n">
        <v>42</v>
      </c>
      <c r="B135" s="30" t="inlineStr">
        <is>
          <t>Total écartés (ret)</t>
        </is>
      </c>
      <c r="C135" s="45" t="n">
        <v>87</v>
      </c>
      <c r="D135" s="30" t="inlineStr">
        <is>
          <t>87</t>
        </is>
      </c>
      <c r="E135" s="46" t="inlineStr">
        <is>
          <t>Oui</t>
        </is>
      </c>
    </row>
    <row r="136">
      <c r="A136" s="42" t="n">
        <v>42</v>
      </c>
      <c r="B136" s="28" t="inlineStr">
        <is>
          <t>Corrigés (ret)</t>
        </is>
      </c>
      <c r="C136" s="43" t="n">
        <v>17</v>
      </c>
      <c r="D136" s="28" t="inlineStr">
        <is>
          <t>17</t>
        </is>
      </c>
      <c r="E136" s="44" t="inlineStr">
        <is>
          <t>Oui</t>
        </is>
      </c>
    </row>
    <row r="137">
      <c r="A137" s="42" t="n">
        <v>43</v>
      </c>
      <c r="B137" s="30" t="inlineStr">
        <is>
          <t>EF brut 2020</t>
        </is>
      </c>
      <c r="C137" s="45" t="n">
        <v>14446097044</v>
      </c>
      <c r="D137" s="30" t="inlineStr">
        <is>
          <t>14 446 097 044 FCFA</t>
        </is>
      </c>
      <c r="E137" s="46" t="inlineStr">
        <is>
          <t>Oui</t>
        </is>
      </c>
    </row>
    <row r="138">
      <c r="A138" s="42" t="n">
        <v>43</v>
      </c>
      <c r="B138" s="28" t="inlineStr">
        <is>
          <t>EF écart brut 2020</t>
        </is>
      </c>
      <c r="C138" s="43" t="n">
        <v>0</v>
      </c>
      <c r="D138" s="28" t="inlineStr">
        <is>
          <t>0 FCFA</t>
        </is>
      </c>
      <c r="E138" s="44" t="inlineStr">
        <is>
          <t>Oui</t>
        </is>
      </c>
    </row>
    <row r="139">
      <c r="A139" s="42" t="n">
        <v>43</v>
      </c>
      <c r="B139" s="30" t="inlineStr">
        <is>
          <t>EF résultat 2020</t>
        </is>
      </c>
      <c r="C139" s="45" t="n">
        <v>1018579699</v>
      </c>
      <c r="D139" s="30" t="inlineStr">
        <is>
          <t>1 018 579 699 FCFA</t>
        </is>
      </c>
      <c r="E139" s="46" t="inlineStr">
        <is>
          <t>Oui</t>
        </is>
      </c>
    </row>
    <row r="140">
      <c r="A140" s="42" t="n">
        <v>43</v>
      </c>
      <c r="B140" s="28" t="inlineStr">
        <is>
          <t>EF écart rés 2020</t>
        </is>
      </c>
      <c r="C140" s="43" t="n">
        <v>0</v>
      </c>
      <c r="D140" s="28" t="inlineStr">
        <is>
          <t>0 FCFA</t>
        </is>
      </c>
      <c r="E140" s="44" t="inlineStr">
        <is>
          <t>Oui</t>
        </is>
      </c>
    </row>
    <row r="141">
      <c r="A141" s="42" t="n">
        <v>43</v>
      </c>
      <c r="B141" s="30" t="inlineStr">
        <is>
          <t>EF écart trés 2020</t>
        </is>
      </c>
      <c r="C141" s="45" t="n">
        <v>0</v>
      </c>
      <c r="D141" s="30" t="inlineStr">
        <is>
          <t>0 FCFA</t>
        </is>
      </c>
      <c r="E141" s="46" t="inlineStr">
        <is>
          <t>Oui</t>
        </is>
      </c>
    </row>
    <row r="142">
      <c r="A142" s="42" t="n">
        <v>43</v>
      </c>
      <c r="B142" s="28" t="inlineStr">
        <is>
          <t>EF brut 2021</t>
        </is>
      </c>
      <c r="C142" s="43" t="n">
        <v>16195461159</v>
      </c>
      <c r="D142" s="28" t="inlineStr">
        <is>
          <t>16 195 461 159 FCFA</t>
        </is>
      </c>
      <c r="E142" s="44" t="inlineStr">
        <is>
          <t>Oui</t>
        </is>
      </c>
    </row>
    <row r="143">
      <c r="A143" s="42" t="n">
        <v>43</v>
      </c>
      <c r="B143" s="30" t="inlineStr">
        <is>
          <t>EF écart brut 2021</t>
        </is>
      </c>
      <c r="C143" s="45" t="n">
        <v>0</v>
      </c>
      <c r="D143" s="30" t="inlineStr">
        <is>
          <t>0 FCFA</t>
        </is>
      </c>
      <c r="E143" s="46" t="inlineStr">
        <is>
          <t>Oui</t>
        </is>
      </c>
    </row>
    <row r="144">
      <c r="A144" s="42" t="n">
        <v>43</v>
      </c>
      <c r="B144" s="28" t="inlineStr">
        <is>
          <t>EF résultat 2021</t>
        </is>
      </c>
      <c r="C144" s="43" t="n">
        <v>2083908202</v>
      </c>
      <c r="D144" s="28" t="inlineStr">
        <is>
          <t>2 083 908 202 FCFA</t>
        </is>
      </c>
      <c r="E144" s="44" t="inlineStr">
        <is>
          <t>Oui</t>
        </is>
      </c>
    </row>
    <row r="145">
      <c r="A145" s="42" t="n">
        <v>43</v>
      </c>
      <c r="B145" s="30" t="inlineStr">
        <is>
          <t>EF écart rés 2021</t>
        </is>
      </c>
      <c r="C145" s="45" t="n">
        <v>0</v>
      </c>
      <c r="D145" s="30" t="inlineStr">
        <is>
          <t>0 FCFA</t>
        </is>
      </c>
      <c r="E145" s="46" t="inlineStr">
        <is>
          <t>Oui</t>
        </is>
      </c>
    </row>
    <row r="146">
      <c r="A146" s="42" t="n">
        <v>43</v>
      </c>
      <c r="B146" s="28" t="inlineStr">
        <is>
          <t>EF écart trés 2021</t>
        </is>
      </c>
      <c r="C146" s="43" t="n">
        <v>0</v>
      </c>
      <c r="D146" s="28" t="inlineStr">
        <is>
          <t>0 FCFA</t>
        </is>
      </c>
      <c r="E146" s="44" t="inlineStr">
        <is>
          <t>Oui</t>
        </is>
      </c>
    </row>
    <row r="147">
      <c r="A147" s="42" t="n">
        <v>43</v>
      </c>
      <c r="B147" s="30" t="inlineStr">
        <is>
          <t>EF brut 2022</t>
        </is>
      </c>
      <c r="C147" s="45" t="n">
        <v>15510713126</v>
      </c>
      <c r="D147" s="30" t="inlineStr">
        <is>
          <t>15 510 713 126 FCFA</t>
        </is>
      </c>
      <c r="E147" s="46" t="inlineStr">
        <is>
          <t>Oui</t>
        </is>
      </c>
    </row>
    <row r="148">
      <c r="A148" s="42" t="n">
        <v>43</v>
      </c>
      <c r="B148" s="28" t="inlineStr">
        <is>
          <t>EF écart brut 2022</t>
        </is>
      </c>
      <c r="C148" s="43" t="n">
        <v>0</v>
      </c>
      <c r="D148" s="28" t="inlineStr">
        <is>
          <t>0 FCFA</t>
        </is>
      </c>
      <c r="E148" s="44" t="inlineStr">
        <is>
          <t>Oui</t>
        </is>
      </c>
    </row>
    <row r="149">
      <c r="A149" s="42" t="n">
        <v>43</v>
      </c>
      <c r="B149" s="30" t="inlineStr">
        <is>
          <t>EF résultat 2022</t>
        </is>
      </c>
      <c r="C149" s="45" t="n">
        <v>2060332677</v>
      </c>
      <c r="D149" s="30" t="inlineStr">
        <is>
          <t>2 060 332 677 FCFA</t>
        </is>
      </c>
      <c r="E149" s="46" t="inlineStr">
        <is>
          <t>Oui</t>
        </is>
      </c>
    </row>
    <row r="150">
      <c r="A150" s="42" t="n">
        <v>43</v>
      </c>
      <c r="B150" s="28" t="inlineStr">
        <is>
          <t>EF écart rés 2022</t>
        </is>
      </c>
      <c r="C150" s="43" t="n">
        <v>0</v>
      </c>
      <c r="D150" s="28" t="inlineStr">
        <is>
          <t>0 FCFA</t>
        </is>
      </c>
      <c r="E150" s="44" t="inlineStr">
        <is>
          <t>Oui</t>
        </is>
      </c>
    </row>
    <row r="151">
      <c r="A151" s="42" t="n">
        <v>43</v>
      </c>
      <c r="B151" s="30" t="inlineStr">
        <is>
          <t>EF écart trés 2022</t>
        </is>
      </c>
      <c r="C151" s="45" t="n">
        <v>0</v>
      </c>
      <c r="D151" s="30" t="inlineStr">
        <is>
          <t>0 FCFA</t>
        </is>
      </c>
      <c r="E151" s="46" t="inlineStr">
        <is>
          <t>Oui</t>
        </is>
      </c>
    </row>
    <row r="152">
      <c r="A152" s="42" t="n">
        <v>43</v>
      </c>
      <c r="B152" s="28" t="inlineStr">
        <is>
          <t>EF brut 2023</t>
        </is>
      </c>
      <c r="C152" s="43" t="n">
        <v>16157155123</v>
      </c>
      <c r="D152" s="28" t="inlineStr">
        <is>
          <t>16 157 155 123 FCFA</t>
        </is>
      </c>
      <c r="E152" s="44" t="inlineStr">
        <is>
          <t>Oui</t>
        </is>
      </c>
    </row>
    <row r="153">
      <c r="A153" s="42" t="n">
        <v>43</v>
      </c>
      <c r="B153" s="30" t="inlineStr">
        <is>
          <t>EF écart brut 2023</t>
        </is>
      </c>
      <c r="C153" s="45" t="n">
        <v>-10000000</v>
      </c>
      <c r="D153" s="30" t="inlineStr">
        <is>
          <t>-10 000 000 FCFA</t>
        </is>
      </c>
      <c r="E153" s="46" t="inlineStr">
        <is>
          <t>Oui</t>
        </is>
      </c>
    </row>
    <row r="154">
      <c r="A154" s="42" t="n">
        <v>43</v>
      </c>
      <c r="B154" s="28" t="inlineStr">
        <is>
          <t>EF résultat 2023</t>
        </is>
      </c>
      <c r="C154" s="43" t="n">
        <v>928699102</v>
      </c>
      <c r="D154" s="28" t="inlineStr">
        <is>
          <t>928 699 102 FCFA</t>
        </is>
      </c>
      <c r="E154" s="44" t="inlineStr">
        <is>
          <t>Oui</t>
        </is>
      </c>
    </row>
    <row r="155">
      <c r="A155" s="42" t="n">
        <v>43</v>
      </c>
      <c r="B155" s="30" t="inlineStr">
        <is>
          <t>EF écart rés 2023</t>
        </is>
      </c>
      <c r="C155" s="45" t="n">
        <v>-1930000</v>
      </c>
      <c r="D155" s="30" t="inlineStr">
        <is>
          <t>-1 930 000 FCFA</t>
        </is>
      </c>
      <c r="E155" s="46" t="inlineStr">
        <is>
          <t>Oui</t>
        </is>
      </c>
    </row>
    <row r="156">
      <c r="A156" s="42" t="n">
        <v>43</v>
      </c>
      <c r="B156" s="28" t="inlineStr">
        <is>
          <t>EF écart trés 2023</t>
        </is>
      </c>
      <c r="C156" s="43" t="n">
        <v>0</v>
      </c>
      <c r="D156" s="28" t="inlineStr">
        <is>
          <t>0 FCFA</t>
        </is>
      </c>
      <c r="E156" s="44" t="inlineStr">
        <is>
          <t>Oui</t>
        </is>
      </c>
    </row>
    <row r="157">
      <c r="A157" s="42" t="n">
        <v>43</v>
      </c>
      <c r="B157" s="30" t="inlineStr">
        <is>
          <t>EF brut 2024</t>
        </is>
      </c>
      <c r="C157" s="45" t="n">
        <v>19396236478</v>
      </c>
      <c r="D157" s="30" t="inlineStr">
        <is>
          <t>19 396 236 478 FCFA</t>
        </is>
      </c>
      <c r="E157" s="46" t="inlineStr">
        <is>
          <t>Oui</t>
        </is>
      </c>
    </row>
    <row r="158">
      <c r="A158" s="42" t="n">
        <v>43</v>
      </c>
      <c r="B158" s="28" t="inlineStr">
        <is>
          <t>EF écart brut 2024</t>
        </is>
      </c>
      <c r="C158" s="43" t="n">
        <v>0</v>
      </c>
      <c r="D158" s="28" t="inlineStr">
        <is>
          <t>0 FCFA</t>
        </is>
      </c>
      <c r="E158" s="44" t="inlineStr">
        <is>
          <t>Oui</t>
        </is>
      </c>
    </row>
    <row r="159">
      <c r="A159" s="42" t="n">
        <v>43</v>
      </c>
      <c r="B159" s="30" t="inlineStr">
        <is>
          <t>EF résultat 2024</t>
        </is>
      </c>
      <c r="C159" s="45" t="n">
        <v>792069641</v>
      </c>
      <c r="D159" s="30" t="inlineStr">
        <is>
          <t>792 069 641 FCFA</t>
        </is>
      </c>
      <c r="E159" s="46" t="inlineStr">
        <is>
          <t>Oui</t>
        </is>
      </c>
    </row>
    <row r="160">
      <c r="A160" s="42" t="n">
        <v>43</v>
      </c>
      <c r="B160" s="28" t="inlineStr">
        <is>
          <t>EF écart rés 2024</t>
        </is>
      </c>
      <c r="C160" s="43" t="n">
        <v>0</v>
      </c>
      <c r="D160" s="28" t="inlineStr">
        <is>
          <t>0 FCFA</t>
        </is>
      </c>
      <c r="E160" s="44" t="inlineStr">
        <is>
          <t>Oui</t>
        </is>
      </c>
    </row>
    <row r="161">
      <c r="A161" s="42" t="n">
        <v>43</v>
      </c>
      <c r="B161" s="30" t="inlineStr">
        <is>
          <t>EF écart trés 2024</t>
        </is>
      </c>
      <c r="C161" s="45" t="n">
        <v>0</v>
      </c>
      <c r="D161" s="30" t="inlineStr">
        <is>
          <t>0 FCFA</t>
        </is>
      </c>
      <c r="E161" s="46" t="inlineStr">
        <is>
          <t>Oui</t>
        </is>
      </c>
    </row>
    <row r="162">
      <c r="A162" s="42" t="n">
        <v>43</v>
      </c>
      <c r="B162" s="28" t="inlineStr">
        <is>
          <t>EF brut 2025</t>
        </is>
      </c>
      <c r="C162" s="43" t="n">
        <v>21722068914</v>
      </c>
      <c r="D162" s="28" t="inlineStr">
        <is>
          <t>21 722 068 914 FCFA</t>
        </is>
      </c>
      <c r="E162" s="44" t="inlineStr">
        <is>
          <t>Oui</t>
        </is>
      </c>
    </row>
    <row r="163">
      <c r="A163" s="42" t="n">
        <v>43</v>
      </c>
      <c r="B163" s="30" t="inlineStr">
        <is>
          <t>EF écart brut 2025</t>
        </is>
      </c>
      <c r="C163" s="45" t="n">
        <v>0</v>
      </c>
      <c r="D163" s="30" t="inlineStr">
        <is>
          <t>0 FCFA</t>
        </is>
      </c>
      <c r="E163" s="46" t="inlineStr">
        <is>
          <t>Oui</t>
        </is>
      </c>
    </row>
    <row r="164">
      <c r="A164" s="42" t="n">
        <v>43</v>
      </c>
      <c r="B164" s="28" t="inlineStr">
        <is>
          <t>EF résultat 2025</t>
        </is>
      </c>
      <c r="C164" s="43" t="n">
        <v>437899911</v>
      </c>
      <c r="D164" s="28" t="inlineStr">
        <is>
          <t>437 899 911 FCFA</t>
        </is>
      </c>
      <c r="E164" s="44" t="inlineStr">
        <is>
          <t>Oui</t>
        </is>
      </c>
    </row>
    <row r="165">
      <c r="A165" s="42" t="n">
        <v>43</v>
      </c>
      <c r="B165" s="30" t="inlineStr">
        <is>
          <t>EF écart rés 2025</t>
        </is>
      </c>
      <c r="C165" s="45" t="n">
        <v>0</v>
      </c>
      <c r="D165" s="30" t="inlineStr">
        <is>
          <t>0 FCFA</t>
        </is>
      </c>
      <c r="E165" s="46" t="inlineStr">
        <is>
          <t>Oui</t>
        </is>
      </c>
    </row>
    <row r="166">
      <c r="A166" s="42" t="n">
        <v>43</v>
      </c>
      <c r="B166" s="28" t="inlineStr">
        <is>
          <t>EF écart trés 2025</t>
        </is>
      </c>
      <c r="C166" s="43" t="n">
        <v>0</v>
      </c>
      <c r="D166" s="28" t="inlineStr">
        <is>
          <t>0 FCFA</t>
        </is>
      </c>
      <c r="E166" s="44" t="inlineStr">
        <is>
          <t>Oui</t>
        </is>
      </c>
    </row>
    <row r="167">
      <c r="A167" s="42" t="n">
        <v>43</v>
      </c>
      <c r="B167" s="30" t="inlineStr">
        <is>
          <t>EF brut 2026</t>
        </is>
      </c>
      <c r="C167" s="45" t="n">
        <v>23692620745</v>
      </c>
      <c r="D167" s="30" t="inlineStr">
        <is>
          <t>23 692 620 745 FCFA</t>
        </is>
      </c>
      <c r="E167" s="46" t="inlineStr">
        <is>
          <t>Oui</t>
        </is>
      </c>
    </row>
    <row r="168">
      <c r="A168" s="42" t="n">
        <v>43</v>
      </c>
      <c r="B168" s="28" t="inlineStr">
        <is>
          <t>EF écart brut 2026</t>
        </is>
      </c>
      <c r="C168" s="43" t="n">
        <v>0</v>
      </c>
      <c r="D168" s="28" t="inlineStr">
        <is>
          <t>0 FCFA</t>
        </is>
      </c>
      <c r="E168" s="44" t="inlineStr">
        <is>
          <t>Oui</t>
        </is>
      </c>
    </row>
    <row r="169">
      <c r="A169" s="42" t="n">
        <v>43</v>
      </c>
      <c r="B169" s="30" t="inlineStr">
        <is>
          <t>EF résultat 2026</t>
        </is>
      </c>
      <c r="C169" s="45" t="n">
        <v>-437148460</v>
      </c>
      <c r="D169" s="30" t="inlineStr">
        <is>
          <t>-437 148 460 FCFA</t>
        </is>
      </c>
      <c r="E169" s="46" t="inlineStr">
        <is>
          <t>Oui</t>
        </is>
      </c>
    </row>
    <row r="170">
      <c r="A170" s="42" t="n">
        <v>43</v>
      </c>
      <c r="B170" s="28" t="inlineStr">
        <is>
          <t>EF écart rés 2026</t>
        </is>
      </c>
      <c r="C170" s="43" t="n">
        <v>4108040</v>
      </c>
      <c r="D170" s="28" t="inlineStr">
        <is>
          <t>4 108 040 FCFA</t>
        </is>
      </c>
      <c r="E170" s="44" t="inlineStr">
        <is>
          <t>Oui</t>
        </is>
      </c>
    </row>
    <row r="171">
      <c r="A171" s="42" t="n">
        <v>43</v>
      </c>
      <c r="B171" s="30" t="inlineStr">
        <is>
          <t>EF écart trés 2026</t>
        </is>
      </c>
      <c r="C171" s="45" t="n">
        <v>0</v>
      </c>
      <c r="D171" s="30" t="inlineStr">
        <is>
          <t>0 FCFA</t>
        </is>
      </c>
      <c r="E171" s="46" t="inlineStr">
        <is>
          <t>Oui</t>
        </is>
      </c>
    </row>
    <row r="172">
      <c r="A172" s="42" t="n">
        <v>43</v>
      </c>
      <c r="B172" s="28" t="inlineStr">
        <is>
          <t>EF écart 2023 (t)</t>
        </is>
      </c>
      <c r="C172" s="43" t="n">
        <v>10000000</v>
      </c>
      <c r="D172" s="28" t="inlineStr">
        <is>
          <t>10 000 000 FCFA</t>
        </is>
      </c>
      <c r="E172" s="44" t="inlineStr">
        <is>
          <t>Oui</t>
        </is>
      </c>
    </row>
    <row r="173">
      <c r="A173" s="42" t="n">
        <v>43</v>
      </c>
      <c r="B173" s="30" t="inlineStr">
        <is>
          <t>EF rés 2023 (t)</t>
        </is>
      </c>
      <c r="C173" s="45" t="n">
        <v>928699102</v>
      </c>
      <c r="D173" s="30" t="inlineStr">
        <is>
          <t>928 699 102 FCFA</t>
        </is>
      </c>
      <c r="E173" s="46" t="inlineStr">
        <is>
          <t>Oui</t>
        </is>
      </c>
    </row>
    <row r="174">
      <c r="A174" s="42" t="n">
        <v>43</v>
      </c>
      <c r="B174" s="28" t="inlineStr">
        <is>
          <t>Bal rés 2023 (t)</t>
        </is>
      </c>
      <c r="C174" s="43" t="n">
        <v>930629102</v>
      </c>
      <c r="D174" s="28" t="inlineStr">
        <is>
          <t>930 629 102 FCFA</t>
        </is>
      </c>
      <c r="E174" s="44" t="inlineStr">
        <is>
          <t>Oui</t>
        </is>
      </c>
    </row>
    <row r="175">
      <c r="A175" s="42" t="n">
        <v>43</v>
      </c>
      <c r="B175" s="30" t="inlineStr">
        <is>
          <t>EF rés 2026 (t)</t>
        </is>
      </c>
      <c r="C175" s="45" t="n">
        <v>-437148460</v>
      </c>
      <c r="D175" s="30" t="inlineStr">
        <is>
          <t>-437 148 460 FCFA</t>
        </is>
      </c>
      <c r="E175" s="46" t="inlineStr">
        <is>
          <t>Oui</t>
        </is>
      </c>
    </row>
    <row r="176">
      <c r="A176" s="42" t="n">
        <v>43</v>
      </c>
      <c r="B176" s="28" t="inlineStr">
        <is>
          <t>Bal rés 2026 (t)</t>
        </is>
      </c>
      <c r="C176" s="43" t="n">
        <v>-441256500</v>
      </c>
      <c r="D176" s="28" t="inlineStr">
        <is>
          <t>-441 256 500 FCFA</t>
        </is>
      </c>
      <c r="E176" s="44" t="inlineStr">
        <is>
          <t>Oui</t>
        </is>
      </c>
    </row>
    <row r="177">
      <c r="A177" s="42" t="n">
        <v>44</v>
      </c>
      <c r="B177" s="30" t="inlineStr">
        <is>
          <t>Adh FPPN 2024-11</t>
        </is>
      </c>
      <c r="C177" s="45" t="n">
        <v>27657</v>
      </c>
      <c r="D177" s="30" t="inlineStr">
        <is>
          <t>27 657</t>
        </is>
      </c>
      <c r="E177" s="46" t="inlineStr">
        <is>
          <t>Oui</t>
        </is>
      </c>
    </row>
    <row r="178">
      <c r="A178" s="42" t="n">
        <v>44</v>
      </c>
      <c r="B178" s="28" t="inlineStr">
        <is>
          <t>Lignes 8Z6 2024-11</t>
        </is>
      </c>
      <c r="C178" s="43" t="n">
        <v>27657</v>
      </c>
      <c r="D178" s="28" t="inlineStr">
        <is>
          <t>27 657</t>
        </is>
      </c>
      <c r="E178" s="44" t="inlineStr">
        <is>
          <t>Oui</t>
        </is>
      </c>
    </row>
    <row r="179">
      <c r="A179" s="42" t="n">
        <v>44</v>
      </c>
      <c r="B179" s="30" t="inlineStr">
        <is>
          <t>Écart adh 2024-11</t>
        </is>
      </c>
      <c r="C179" s="45" t="n">
        <v>0</v>
      </c>
      <c r="D179" s="30" t="inlineStr">
        <is>
          <t>0</t>
        </is>
      </c>
      <c r="E179" s="46" t="inlineStr">
        <is>
          <t>Oui</t>
        </is>
      </c>
    </row>
    <row r="180">
      <c r="A180" s="42" t="n">
        <v>44</v>
      </c>
      <c r="B180" s="28" t="inlineStr">
        <is>
          <t>Part clé 2024-11</t>
        </is>
      </c>
      <c r="C180" s="43" t="n">
        <v>0.9994566398608998</v>
      </c>
      <c r="D180" s="28" t="inlineStr">
        <is>
          <t>99,95 %</t>
        </is>
      </c>
      <c r="E180" s="44" t="inlineStr">
        <is>
          <t>Oui</t>
        </is>
      </c>
    </row>
    <row r="181">
      <c r="A181" s="42" t="n">
        <v>44</v>
      </c>
      <c r="B181" s="30" t="inlineStr">
        <is>
          <t>Adh FPPN 2025-12</t>
        </is>
      </c>
      <c r="C181" s="45" t="n">
        <v>31678</v>
      </c>
      <c r="D181" s="30" t="inlineStr">
        <is>
          <t>31 678</t>
        </is>
      </c>
      <c r="E181" s="46" t="inlineStr">
        <is>
          <t>Oui</t>
        </is>
      </c>
    </row>
    <row r="182">
      <c r="A182" s="42" t="n">
        <v>44</v>
      </c>
      <c r="B182" s="28" t="inlineStr">
        <is>
          <t>Lignes 8Z6 2025-12</t>
        </is>
      </c>
      <c r="C182" s="43" t="n">
        <v>31678</v>
      </c>
      <c r="D182" s="28" t="inlineStr">
        <is>
          <t>31 678</t>
        </is>
      </c>
      <c r="E182" s="44" t="inlineStr">
        <is>
          <t>Oui</t>
        </is>
      </c>
    </row>
    <row r="183">
      <c r="A183" s="42" t="n">
        <v>44</v>
      </c>
      <c r="B183" s="30" t="inlineStr">
        <is>
          <t>Écart adh 2025-12</t>
        </is>
      </c>
      <c r="C183" s="45" t="n">
        <v>0</v>
      </c>
      <c r="D183" s="30" t="inlineStr">
        <is>
          <t>0</t>
        </is>
      </c>
      <c r="E183" s="46" t="inlineStr">
        <is>
          <t>Oui</t>
        </is>
      </c>
    </row>
    <row r="184">
      <c r="A184" s="42" t="n">
        <v>44</v>
      </c>
      <c r="B184" s="28" t="inlineStr">
        <is>
          <t>Part clé 2025-12</t>
        </is>
      </c>
      <c r="C184" s="43" t="n">
        <v>0.9998105821442101</v>
      </c>
      <c r="D184" s="28" t="inlineStr">
        <is>
          <t>99,98 %</t>
        </is>
      </c>
      <c r="E184" s="44" t="inlineStr">
        <is>
          <t>Oui</t>
        </is>
      </c>
    </row>
    <row r="185">
      <c r="A185" s="42" t="n">
        <v>44</v>
      </c>
      <c r="B185" s="30" t="inlineStr">
        <is>
          <t>Adh FPPN 2026-1</t>
        </is>
      </c>
      <c r="C185" s="45" t="n">
        <v>31261</v>
      </c>
      <c r="D185" s="30" t="inlineStr">
        <is>
          <t>31 261</t>
        </is>
      </c>
      <c r="E185" s="46" t="inlineStr">
        <is>
          <t>Oui</t>
        </is>
      </c>
    </row>
    <row r="186">
      <c r="A186" s="42" t="n">
        <v>44</v>
      </c>
      <c r="B186" s="28" t="inlineStr">
        <is>
          <t>Lignes 8Z6 2026-1</t>
        </is>
      </c>
      <c r="C186" s="43" t="n">
        <v>31271</v>
      </c>
      <c r="D186" s="28" t="inlineStr">
        <is>
          <t>31 271</t>
        </is>
      </c>
      <c r="E186" s="44" t="inlineStr">
        <is>
          <t>Oui</t>
        </is>
      </c>
    </row>
    <row r="187">
      <c r="A187" s="42" t="n">
        <v>44</v>
      </c>
      <c r="B187" s="30" t="inlineStr">
        <is>
          <t>Écart adh 2026-1</t>
        </is>
      </c>
      <c r="C187" s="45" t="n">
        <v>-10</v>
      </c>
      <c r="D187" s="30" t="inlineStr">
        <is>
          <t>-10</t>
        </is>
      </c>
      <c r="E187" s="46" t="inlineStr">
        <is>
          <t>Oui</t>
        </is>
      </c>
    </row>
    <row r="188">
      <c r="A188" s="42" t="n">
        <v>44</v>
      </c>
      <c r="B188" s="28" t="inlineStr">
        <is>
          <t>Part clé 2026-1</t>
        </is>
      </c>
      <c r="C188" s="43" t="n">
        <v>0.9998720777767117</v>
      </c>
      <c r="D188" s="28" t="inlineStr">
        <is>
          <t>99,99 %</t>
        </is>
      </c>
      <c r="E188" s="44" t="inlineStr">
        <is>
          <t>Oui</t>
        </is>
      </c>
    </row>
    <row r="189">
      <c r="A189" s="42" t="n">
        <v>44</v>
      </c>
      <c r="B189" s="30" t="inlineStr">
        <is>
          <t>Adh FPPN 2026-2</t>
        </is>
      </c>
      <c r="C189" s="45" t="n">
        <v>31252</v>
      </c>
      <c r="D189" s="30" t="inlineStr">
        <is>
          <t>31 252</t>
        </is>
      </c>
      <c r="E189" s="46" t="inlineStr">
        <is>
          <t>Oui</t>
        </is>
      </c>
    </row>
    <row r="190">
      <c r="A190" s="42" t="n">
        <v>44</v>
      </c>
      <c r="B190" s="28" t="inlineStr">
        <is>
          <t>Lignes 8Z6 2026-2</t>
        </is>
      </c>
      <c r="C190" s="43" t="n">
        <v>31262</v>
      </c>
      <c r="D190" s="28" t="inlineStr">
        <is>
          <t>31 262</t>
        </is>
      </c>
      <c r="E190" s="44" t="inlineStr">
        <is>
          <t>Oui</t>
        </is>
      </c>
    </row>
    <row r="191">
      <c r="A191" s="42" t="n">
        <v>44</v>
      </c>
      <c r="B191" s="30" t="inlineStr">
        <is>
          <t>Écart adh 2026-2</t>
        </is>
      </c>
      <c r="C191" s="45" t="n">
        <v>-10</v>
      </c>
      <c r="D191" s="30" t="inlineStr">
        <is>
          <t>-10</t>
        </is>
      </c>
      <c r="E191" s="46" t="inlineStr">
        <is>
          <t>Oui</t>
        </is>
      </c>
    </row>
    <row r="192">
      <c r="A192" s="42" t="n">
        <v>44</v>
      </c>
      <c r="B192" s="28" t="inlineStr">
        <is>
          <t>Part clé 2026-2</t>
        </is>
      </c>
      <c r="C192" s="43" t="n">
        <v>0.999872040946897</v>
      </c>
      <c r="D192" s="28" t="inlineStr">
        <is>
          <t>99,99 %</t>
        </is>
      </c>
      <c r="E192" s="44" t="inlineStr">
        <is>
          <t>Oui</t>
        </is>
      </c>
    </row>
    <row r="193">
      <c r="A193" s="42" t="n">
        <v>44</v>
      </c>
      <c r="B193" s="30" t="inlineStr">
        <is>
          <t>Adh FPPN 2026-3</t>
        </is>
      </c>
      <c r="C193" s="45" t="n">
        <v>31240</v>
      </c>
      <c r="D193" s="30" t="inlineStr">
        <is>
          <t>31 240</t>
        </is>
      </c>
      <c r="E193" s="46" t="inlineStr">
        <is>
          <t>Oui</t>
        </is>
      </c>
    </row>
    <row r="194">
      <c r="A194" s="42" t="n">
        <v>44</v>
      </c>
      <c r="B194" s="28" t="inlineStr">
        <is>
          <t>Lignes 8Z6 2026-3</t>
        </is>
      </c>
      <c r="C194" s="43" t="n">
        <v>31250</v>
      </c>
      <c r="D194" s="28" t="inlineStr">
        <is>
          <t>31 250</t>
        </is>
      </c>
      <c r="E194" s="44" t="inlineStr">
        <is>
          <t>Oui</t>
        </is>
      </c>
    </row>
    <row r="195">
      <c r="A195" s="42" t="n">
        <v>44</v>
      </c>
      <c r="B195" s="30" t="inlineStr">
        <is>
          <t>Écart adh 2026-3</t>
        </is>
      </c>
      <c r="C195" s="45" t="n">
        <v>-10</v>
      </c>
      <c r="D195" s="30" t="inlineStr">
        <is>
          <t>-10</t>
        </is>
      </c>
      <c r="E195" s="46" t="inlineStr">
        <is>
          <t>Oui</t>
        </is>
      </c>
    </row>
    <row r="196">
      <c r="A196" s="42" t="n">
        <v>44</v>
      </c>
      <c r="B196" s="28" t="inlineStr">
        <is>
          <t>Part clé 2026-3</t>
        </is>
      </c>
      <c r="C196" s="43" t="n">
        <v>0.9998719918074757</v>
      </c>
      <c r="D196" s="28" t="inlineStr">
        <is>
          <t>99,99 %</t>
        </is>
      </c>
      <c r="E196" s="44" t="inlineStr">
        <is>
          <t>Oui</t>
        </is>
      </c>
    </row>
    <row r="197">
      <c r="A197" s="42" t="n">
        <v>44</v>
      </c>
      <c r="B197" s="30" t="inlineStr">
        <is>
          <t>Adh FPPN 2026-4</t>
        </is>
      </c>
      <c r="C197" s="45" t="n">
        <v>31230</v>
      </c>
      <c r="D197" s="30" t="inlineStr">
        <is>
          <t>31 230</t>
        </is>
      </c>
      <c r="E197" s="46" t="inlineStr">
        <is>
          <t>Oui</t>
        </is>
      </c>
    </row>
    <row r="198">
      <c r="A198" s="42" t="n">
        <v>44</v>
      </c>
      <c r="B198" s="28" t="inlineStr">
        <is>
          <t>Lignes 8Z6 2026-4</t>
        </is>
      </c>
      <c r="C198" s="43" t="n">
        <v>31240</v>
      </c>
      <c r="D198" s="28" t="inlineStr">
        <is>
          <t>31 240</t>
        </is>
      </c>
      <c r="E198" s="44" t="inlineStr">
        <is>
          <t>Oui</t>
        </is>
      </c>
    </row>
    <row r="199">
      <c r="A199" s="42" t="n">
        <v>44</v>
      </c>
      <c r="B199" s="30" t="inlineStr">
        <is>
          <t>Écart adh 2026-4</t>
        </is>
      </c>
      <c r="C199" s="45" t="n">
        <v>-10</v>
      </c>
      <c r="D199" s="30" t="inlineStr">
        <is>
          <t>-10</t>
        </is>
      </c>
      <c r="E199" s="46" t="inlineStr">
        <is>
          <t>Oui</t>
        </is>
      </c>
    </row>
    <row r="200">
      <c r="A200" s="42" t="n">
        <v>44</v>
      </c>
      <c r="B200" s="28" t="inlineStr">
        <is>
          <t>Part clé 2026-4</t>
        </is>
      </c>
      <c r="C200" s="43" t="n">
        <v>0.9998719508291184</v>
      </c>
      <c r="D200" s="28" t="inlineStr">
        <is>
          <t>99,99 %</t>
        </is>
      </c>
      <c r="E200" s="44" t="inlineStr">
        <is>
          <t>Oui</t>
        </is>
      </c>
    </row>
    <row r="201">
      <c r="A201" s="42" t="n">
        <v>44</v>
      </c>
      <c r="B201" s="30" t="inlineStr">
        <is>
          <t>Adh FPPN 2026-5</t>
        </is>
      </c>
      <c r="C201" s="45" t="n">
        <v>31234</v>
      </c>
      <c r="D201" s="30" t="inlineStr">
        <is>
          <t>31 234</t>
        </is>
      </c>
      <c r="E201" s="46" t="inlineStr">
        <is>
          <t>Oui</t>
        </is>
      </c>
    </row>
    <row r="202">
      <c r="A202" s="42" t="n">
        <v>44</v>
      </c>
      <c r="B202" s="28" t="inlineStr">
        <is>
          <t>Lignes 8Z6 2026-5</t>
        </is>
      </c>
      <c r="C202" s="43" t="n">
        <v>31244</v>
      </c>
      <c r="D202" s="28" t="inlineStr">
        <is>
          <t>31 244</t>
        </is>
      </c>
      <c r="E202" s="44" t="inlineStr">
        <is>
          <t>Oui</t>
        </is>
      </c>
    </row>
    <row r="203">
      <c r="A203" s="42" t="n">
        <v>44</v>
      </c>
      <c r="B203" s="30" t="inlineStr">
        <is>
          <t>Écart adh 2026-5</t>
        </is>
      </c>
      <c r="C203" s="45" t="n">
        <v>-10</v>
      </c>
      <c r="D203" s="30" t="inlineStr">
        <is>
          <t>-10</t>
        </is>
      </c>
      <c r="E203" s="46" t="inlineStr">
        <is>
          <t>Oui</t>
        </is>
      </c>
    </row>
    <row r="204">
      <c r="A204" s="42" t="n">
        <v>44</v>
      </c>
      <c r="B204" s="28" t="inlineStr">
        <is>
          <t>Part clé 2026-5</t>
        </is>
      </c>
      <c r="C204" s="43" t="n">
        <v>0.9998719672236093</v>
      </c>
      <c r="D204" s="28" t="inlineStr">
        <is>
          <t>99,99 %</t>
        </is>
      </c>
      <c r="E204" s="44" t="inlineStr">
        <is>
          <t>Oui</t>
        </is>
      </c>
    </row>
    <row r="205">
      <c r="A205" s="42" t="n">
        <v>44</v>
      </c>
      <c r="B205" s="30" t="inlineStr">
        <is>
          <t>Adh FPPN 2026-6</t>
        </is>
      </c>
      <c r="C205" s="45" t="n">
        <v>31225</v>
      </c>
      <c r="D205" s="30" t="inlineStr">
        <is>
          <t>31 225</t>
        </is>
      </c>
      <c r="E205" s="46" t="inlineStr">
        <is>
          <t>Oui</t>
        </is>
      </c>
    </row>
    <row r="206">
      <c r="A206" s="42" t="n">
        <v>44</v>
      </c>
      <c r="B206" s="28" t="inlineStr">
        <is>
          <t>Lignes 8Z6 2026-6</t>
        </is>
      </c>
      <c r="C206" s="43" t="n">
        <v>31235</v>
      </c>
      <c r="D206" s="28" t="inlineStr">
        <is>
          <t>31 235</t>
        </is>
      </c>
      <c r="E206" s="44" t="inlineStr">
        <is>
          <t>Oui</t>
        </is>
      </c>
    </row>
    <row r="207">
      <c r="A207" s="42" t="n">
        <v>44</v>
      </c>
      <c r="B207" s="30" t="inlineStr">
        <is>
          <t>Écart adh 2026-6</t>
        </is>
      </c>
      <c r="C207" s="45" t="n">
        <v>-10</v>
      </c>
      <c r="D207" s="30" t="inlineStr">
        <is>
          <t>-10</t>
        </is>
      </c>
      <c r="E207" s="46" t="inlineStr">
        <is>
          <t>Oui</t>
        </is>
      </c>
    </row>
    <row r="208">
      <c r="A208" s="42" t="n">
        <v>44</v>
      </c>
      <c r="B208" s="28" t="inlineStr">
        <is>
          <t>Part clé 2026-6</t>
        </is>
      </c>
      <c r="C208" s="43" t="n">
        <v>0.9998399077868853</v>
      </c>
      <c r="D208" s="28" t="inlineStr">
        <is>
          <t>99,98 %</t>
        </is>
      </c>
      <c r="E208" s="44" t="inlineStr">
        <is>
          <t>Oui</t>
        </is>
      </c>
    </row>
    <row r="209">
      <c r="A209" s="42" t="n">
        <v>44</v>
      </c>
      <c r="B209" s="30" t="inlineStr">
        <is>
          <t>Lignes 8Z6 2024-1</t>
        </is>
      </c>
      <c r="C209" s="45" t="n">
        <v>23118</v>
      </c>
      <c r="D209" s="30" t="inlineStr">
        <is>
          <t>23 118</t>
        </is>
      </c>
      <c r="E209" s="46" t="inlineStr">
        <is>
          <t>Oui</t>
        </is>
      </c>
    </row>
    <row r="210">
      <c r="A210" s="42" t="n">
        <v>44</v>
      </c>
      <c r="B210" s="28" t="inlineStr">
        <is>
          <t>Part clé 2024-1</t>
        </is>
      </c>
      <c r="C210" s="43" t="n">
        <v>0.1378579461891167</v>
      </c>
      <c r="D210" s="28" t="inlineStr">
        <is>
          <t>13,79 %</t>
        </is>
      </c>
      <c r="E210" s="44" t="inlineStr">
        <is>
          <t>Oui</t>
        </is>
      </c>
    </row>
    <row r="211">
      <c r="A211" s="42" t="n">
        <v>44</v>
      </c>
      <c r="B211" s="30" t="inlineStr">
        <is>
          <t>Lignes 8Z6 2024-2</t>
        </is>
      </c>
      <c r="C211" s="45" t="n">
        <v>23129</v>
      </c>
      <c r="D211" s="30" t="inlineStr">
        <is>
          <t>23 129</t>
        </is>
      </c>
      <c r="E211" s="46" t="inlineStr">
        <is>
          <t>Oui</t>
        </is>
      </c>
    </row>
    <row r="212">
      <c r="A212" s="42" t="n">
        <v>44</v>
      </c>
      <c r="B212" s="28" t="inlineStr">
        <is>
          <t>Part clé 2024-2</t>
        </is>
      </c>
      <c r="C212" s="43" t="n">
        <v>0.1232219291798175</v>
      </c>
      <c r="D212" s="28" t="inlineStr">
        <is>
          <t>12,32 %</t>
        </is>
      </c>
      <c r="E212" s="44" t="inlineStr">
        <is>
          <t>Oui</t>
        </is>
      </c>
    </row>
    <row r="213">
      <c r="A213" s="42" t="n">
        <v>44</v>
      </c>
      <c r="B213" s="30" t="inlineStr">
        <is>
          <t>Lignes 8Z6 2024-3</t>
        </is>
      </c>
      <c r="C213" s="45" t="n">
        <v>23123</v>
      </c>
      <c r="D213" s="30" t="inlineStr">
        <is>
          <t>23 123</t>
        </is>
      </c>
      <c r="E213" s="46" t="inlineStr">
        <is>
          <t>Oui</t>
        </is>
      </c>
    </row>
    <row r="214">
      <c r="A214" s="42" t="n">
        <v>44</v>
      </c>
      <c r="B214" s="28" t="inlineStr">
        <is>
          <t>Part clé 2024-3</t>
        </is>
      </c>
      <c r="C214" s="43" t="n">
        <v>1</v>
      </c>
      <c r="D214" s="28" t="inlineStr">
        <is>
          <t>100,00 %</t>
        </is>
      </c>
      <c r="E214" s="44" t="inlineStr">
        <is>
          <t>Oui</t>
        </is>
      </c>
    </row>
    <row r="215">
      <c r="A215" s="42" t="n">
        <v>44</v>
      </c>
      <c r="B215" s="30" t="inlineStr">
        <is>
          <t>Part clé 2025 (t)</t>
        </is>
      </c>
      <c r="C215" s="45" t="n">
        <v>0.9999118669616591</v>
      </c>
      <c r="D215" s="30" t="inlineStr">
        <is>
          <t>99,99 %</t>
        </is>
      </c>
      <c r="E215" s="46" t="inlineStr">
        <is>
          <t>Oui</t>
        </is>
      </c>
    </row>
    <row r="216">
      <c r="A216" s="42" t="n">
        <v>44</v>
      </c>
      <c r="B216" s="28" t="inlineStr">
        <is>
          <t>Part clé 2026 (t)</t>
        </is>
      </c>
      <c r="C216" s="43" t="n">
        <v>0.9998598924674688</v>
      </c>
      <c r="D216" s="28" t="inlineStr">
        <is>
          <t>99,99 %</t>
        </is>
      </c>
      <c r="E216" s="44" t="inlineStr">
        <is>
          <t>Oui</t>
        </is>
      </c>
    </row>
    <row r="217">
      <c r="A217" s="42" t="n">
        <v>45</v>
      </c>
      <c r="B217" s="30" t="inlineStr">
        <is>
          <t>Chèques suspens 2025</t>
        </is>
      </c>
      <c r="C217" s="45" t="n">
        <v>49</v>
      </c>
      <c r="D217" s="30" t="inlineStr">
        <is>
          <t>49</t>
        </is>
      </c>
      <c r="E217" s="46" t="inlineStr">
        <is>
          <t>Oui</t>
        </is>
      </c>
    </row>
    <row r="218">
      <c r="A218" s="42" t="n">
        <v>45</v>
      </c>
      <c r="B218" s="28" t="inlineStr">
        <is>
          <t>Montant suspens 2025</t>
        </is>
      </c>
      <c r="C218" s="43" t="n">
        <v>14464730</v>
      </c>
      <c r="D218" s="28" t="inlineStr">
        <is>
          <t>14 464 730 FCFA</t>
        </is>
      </c>
      <c r="E218" s="44" t="inlineStr">
        <is>
          <t>Oui</t>
        </is>
      </c>
    </row>
    <row r="219">
      <c r="A219" s="42" t="n">
        <v>45</v>
      </c>
      <c r="B219" s="30" t="inlineStr">
        <is>
          <t>ERB comptes 2020</t>
        </is>
      </c>
      <c r="C219" s="45" t="n">
        <v>5</v>
      </c>
      <c r="D219" s="30" t="inlineStr">
        <is>
          <t>5</t>
        </is>
      </c>
      <c r="E219" s="46" t="inlineStr">
        <is>
          <t>Oui</t>
        </is>
      </c>
    </row>
    <row r="220">
      <c r="A220" s="42" t="n">
        <v>45</v>
      </c>
      <c r="B220" s="28" t="inlineStr">
        <is>
          <t>ERB concord 2020</t>
        </is>
      </c>
      <c r="C220" s="43" t="n">
        <v>5</v>
      </c>
      <c r="D220" s="28" t="inlineStr">
        <is>
          <t>5</t>
        </is>
      </c>
      <c r="E220" s="44" t="inlineStr">
        <is>
          <t>Oui</t>
        </is>
      </c>
    </row>
    <row r="221">
      <c r="A221" s="42" t="n">
        <v>45</v>
      </c>
      <c r="B221" s="30" t="inlineStr">
        <is>
          <t>ERB compta 2020</t>
        </is>
      </c>
      <c r="C221" s="45" t="n">
        <v>241249481</v>
      </c>
      <c r="D221" s="30" t="inlineStr">
        <is>
          <t>241 249 481 FCFA</t>
        </is>
      </c>
      <c r="E221" s="46" t="inlineStr">
        <is>
          <t>Oui</t>
        </is>
      </c>
    </row>
    <row r="222">
      <c r="A222" s="42" t="n">
        <v>45</v>
      </c>
      <c r="B222" s="28" t="inlineStr">
        <is>
          <t>ERB banque 2020</t>
        </is>
      </c>
      <c r="C222" s="43" t="n">
        <v>276678044</v>
      </c>
      <c r="D222" s="28" t="inlineStr">
        <is>
          <t>276 678 044 FCFA</t>
        </is>
      </c>
      <c r="E222" s="44" t="inlineStr">
        <is>
          <t>Oui</t>
        </is>
      </c>
    </row>
    <row r="223">
      <c r="A223" s="42" t="n">
        <v>45</v>
      </c>
      <c r="B223" s="30" t="inlineStr">
        <is>
          <t>ERB suspens 2020</t>
        </is>
      </c>
      <c r="C223" s="45" t="n">
        <v>4</v>
      </c>
      <c r="D223" s="30" t="inlineStr">
        <is>
          <t>4</t>
        </is>
      </c>
      <c r="E223" s="46" t="inlineStr">
        <is>
          <t>Oui</t>
        </is>
      </c>
    </row>
    <row r="224">
      <c r="A224" s="42" t="n">
        <v>45</v>
      </c>
      <c r="B224" s="28" t="inlineStr">
        <is>
          <t>ERB montant 2020</t>
        </is>
      </c>
      <c r="C224" s="43" t="n">
        <v>2609083</v>
      </c>
      <c r="D224" s="28" t="inlineStr">
        <is>
          <t>2 609 083 FCFA</t>
        </is>
      </c>
      <c r="E224" s="44" t="inlineStr">
        <is>
          <t>Oui</t>
        </is>
      </c>
    </row>
    <row r="225">
      <c r="A225" s="42" t="n">
        <v>45</v>
      </c>
      <c r="B225" s="30" t="inlineStr">
        <is>
          <t>ERB comptes 2021</t>
        </is>
      </c>
      <c r="C225" s="45" t="n">
        <v>6</v>
      </c>
      <c r="D225" s="30" t="inlineStr">
        <is>
          <t>6</t>
        </is>
      </c>
      <c r="E225" s="46" t="inlineStr">
        <is>
          <t>Oui</t>
        </is>
      </c>
    </row>
    <row r="226">
      <c r="A226" s="42" t="n">
        <v>45</v>
      </c>
      <c r="B226" s="28" t="inlineStr">
        <is>
          <t>ERB concord 2021</t>
        </is>
      </c>
      <c r="C226" s="43" t="n">
        <v>6</v>
      </c>
      <c r="D226" s="28" t="inlineStr">
        <is>
          <t>6</t>
        </is>
      </c>
      <c r="E226" s="44" t="inlineStr">
        <is>
          <t>Oui</t>
        </is>
      </c>
    </row>
    <row r="227">
      <c r="A227" s="42" t="n">
        <v>45</v>
      </c>
      <c r="B227" s="30" t="inlineStr">
        <is>
          <t>ERB compta 2021</t>
        </is>
      </c>
      <c r="C227" s="45" t="n">
        <v>2435456722</v>
      </c>
      <c r="D227" s="30" t="inlineStr">
        <is>
          <t>2 435 456 722 FCFA</t>
        </is>
      </c>
      <c r="E227" s="46" t="inlineStr">
        <is>
          <t>Oui</t>
        </is>
      </c>
    </row>
    <row r="228">
      <c r="A228" s="42" t="n">
        <v>45</v>
      </c>
      <c r="B228" s="28" t="inlineStr">
        <is>
          <t>ERB banque 2021</t>
        </is>
      </c>
      <c r="C228" s="43" t="n">
        <v>2526941293</v>
      </c>
      <c r="D228" s="28" t="inlineStr">
        <is>
          <t>2 526 941 293 FCFA</t>
        </is>
      </c>
      <c r="E228" s="44" t="inlineStr">
        <is>
          <t>Oui</t>
        </is>
      </c>
    </row>
    <row r="229">
      <c r="A229" s="42" t="n">
        <v>45</v>
      </c>
      <c r="B229" s="30" t="inlineStr">
        <is>
          <t>ERB suspens 2021</t>
        </is>
      </c>
      <c r="C229" s="45" t="n">
        <v>0</v>
      </c>
      <c r="D229" s="30" t="inlineStr">
        <is>
          <t>0</t>
        </is>
      </c>
      <c r="E229" s="46" t="inlineStr">
        <is>
          <t>Oui</t>
        </is>
      </c>
    </row>
    <row r="230">
      <c r="A230" s="42" t="n">
        <v>45</v>
      </c>
      <c r="B230" s="28" t="inlineStr">
        <is>
          <t>ERB montant 2021</t>
        </is>
      </c>
      <c r="C230" s="43" t="n">
        <v>0</v>
      </c>
      <c r="D230" s="28" t="inlineStr">
        <is>
          <t>0 FCFA</t>
        </is>
      </c>
      <c r="E230" s="44" t="inlineStr">
        <is>
          <t>Oui</t>
        </is>
      </c>
    </row>
    <row r="231">
      <c r="A231" s="42" t="n">
        <v>45</v>
      </c>
      <c r="B231" s="30" t="inlineStr">
        <is>
          <t>ERB comptes 2022</t>
        </is>
      </c>
      <c r="C231" s="45" t="n">
        <v>5</v>
      </c>
      <c r="D231" s="30" t="inlineStr">
        <is>
          <t>5</t>
        </is>
      </c>
      <c r="E231" s="46" t="inlineStr">
        <is>
          <t>Oui</t>
        </is>
      </c>
    </row>
    <row r="232">
      <c r="A232" s="42" t="n">
        <v>45</v>
      </c>
      <c r="B232" s="28" t="inlineStr">
        <is>
          <t>ERB concord 2022</t>
        </is>
      </c>
      <c r="C232" s="43" t="n">
        <v>5</v>
      </c>
      <c r="D232" s="28" t="inlineStr">
        <is>
          <t>5</t>
        </is>
      </c>
      <c r="E232" s="44" t="inlineStr">
        <is>
          <t>Oui</t>
        </is>
      </c>
    </row>
    <row r="233">
      <c r="A233" s="42" t="n">
        <v>45</v>
      </c>
      <c r="B233" s="30" t="inlineStr">
        <is>
          <t>ERB compta 2022</t>
        </is>
      </c>
      <c r="C233" s="45" t="n">
        <v>638155842</v>
      </c>
      <c r="D233" s="30" t="inlineStr">
        <is>
          <t>638 155 842 FCFA</t>
        </is>
      </c>
      <c r="E233" s="46" t="inlineStr">
        <is>
          <t>Oui</t>
        </is>
      </c>
    </row>
    <row r="234">
      <c r="A234" s="42" t="n">
        <v>45</v>
      </c>
      <c r="B234" s="28" t="inlineStr">
        <is>
          <t>ERB banque 2022</t>
        </is>
      </c>
      <c r="C234" s="43" t="n">
        <v>746468428</v>
      </c>
      <c r="D234" s="28" t="inlineStr">
        <is>
          <t>746 468 428 FCFA</t>
        </is>
      </c>
      <c r="E234" s="44" t="inlineStr">
        <is>
          <t>Oui</t>
        </is>
      </c>
    </row>
    <row r="235">
      <c r="A235" s="42" t="n">
        <v>45</v>
      </c>
      <c r="B235" s="30" t="inlineStr">
        <is>
          <t>ERB suspens 2022</t>
        </is>
      </c>
      <c r="C235" s="45" t="n">
        <v>5</v>
      </c>
      <c r="D235" s="30" t="inlineStr">
        <is>
          <t>5</t>
        </is>
      </c>
      <c r="E235" s="46" t="inlineStr">
        <is>
          <t>Oui</t>
        </is>
      </c>
    </row>
    <row r="236">
      <c r="A236" s="42" t="n">
        <v>45</v>
      </c>
      <c r="B236" s="28" t="inlineStr">
        <is>
          <t>ERB montant 2022</t>
        </is>
      </c>
      <c r="C236" s="43" t="n">
        <v>8791200</v>
      </c>
      <c r="D236" s="28" t="inlineStr">
        <is>
          <t>8 791 200 FCFA</t>
        </is>
      </c>
      <c r="E236" s="44" t="inlineStr">
        <is>
          <t>Oui</t>
        </is>
      </c>
    </row>
    <row r="237">
      <c r="A237" s="42" t="n">
        <v>45</v>
      </c>
      <c r="B237" s="30" t="inlineStr">
        <is>
          <t>ERB comptes 2023</t>
        </is>
      </c>
      <c r="C237" s="45" t="n">
        <v>5</v>
      </c>
      <c r="D237" s="30" t="inlineStr">
        <is>
          <t>5</t>
        </is>
      </c>
      <c r="E237" s="46" t="inlineStr">
        <is>
          <t>Oui</t>
        </is>
      </c>
    </row>
    <row r="238">
      <c r="A238" s="42" t="n">
        <v>45</v>
      </c>
      <c r="B238" s="28" t="inlineStr">
        <is>
          <t>ERB concord 2023</t>
        </is>
      </c>
      <c r="C238" s="43" t="n">
        <v>5</v>
      </c>
      <c r="D238" s="28" t="inlineStr">
        <is>
          <t>5</t>
        </is>
      </c>
      <c r="E238" s="44" t="inlineStr">
        <is>
          <t>Oui</t>
        </is>
      </c>
    </row>
    <row r="239">
      <c r="A239" s="42" t="n">
        <v>45</v>
      </c>
      <c r="B239" s="30" t="inlineStr">
        <is>
          <t>ERB compta 2023</t>
        </is>
      </c>
      <c r="C239" s="45" t="n">
        <v>695388139</v>
      </c>
      <c r="D239" s="30" t="inlineStr">
        <is>
          <t>695 388 139 FCFA</t>
        </is>
      </c>
      <c r="E239" s="46" t="inlineStr">
        <is>
          <t>Oui</t>
        </is>
      </c>
    </row>
    <row r="240">
      <c r="A240" s="42" t="n">
        <v>45</v>
      </c>
      <c r="B240" s="28" t="inlineStr">
        <is>
          <t>ERB banque 2023</t>
        </is>
      </c>
      <c r="C240" s="43" t="n">
        <v>776810618</v>
      </c>
      <c r="D240" s="28" t="inlineStr">
        <is>
          <t>776 810 618 FCFA</t>
        </is>
      </c>
      <c r="E240" s="44" t="inlineStr">
        <is>
          <t>Oui</t>
        </is>
      </c>
    </row>
    <row r="241">
      <c r="A241" s="42" t="n">
        <v>45</v>
      </c>
      <c r="B241" s="30" t="inlineStr">
        <is>
          <t>ERB suspens 2023</t>
        </is>
      </c>
      <c r="C241" s="45" t="n">
        <v>14</v>
      </c>
      <c r="D241" s="30" t="inlineStr">
        <is>
          <t>14</t>
        </is>
      </c>
      <c r="E241" s="46" t="inlineStr">
        <is>
          <t>Oui</t>
        </is>
      </c>
    </row>
    <row r="242">
      <c r="A242" s="42" t="n">
        <v>45</v>
      </c>
      <c r="B242" s="28" t="inlineStr">
        <is>
          <t>ERB montant 2023</t>
        </is>
      </c>
      <c r="C242" s="43" t="n">
        <v>10505723</v>
      </c>
      <c r="D242" s="28" t="inlineStr">
        <is>
          <t>10 505 723 FCFA</t>
        </is>
      </c>
      <c r="E242" s="44" t="inlineStr">
        <is>
          <t>Oui</t>
        </is>
      </c>
    </row>
    <row r="243">
      <c r="A243" s="42" t="n">
        <v>45</v>
      </c>
      <c r="B243" s="30" t="inlineStr">
        <is>
          <t>ERB comptes 2024</t>
        </is>
      </c>
      <c r="C243" s="45" t="n">
        <v>6</v>
      </c>
      <c r="D243" s="30" t="inlineStr">
        <is>
          <t>6</t>
        </is>
      </c>
      <c r="E243" s="46" t="inlineStr">
        <is>
          <t>Oui</t>
        </is>
      </c>
    </row>
    <row r="244">
      <c r="A244" s="42" t="n">
        <v>45</v>
      </c>
      <c r="B244" s="28" t="inlineStr">
        <is>
          <t>ERB concord 2024</t>
        </is>
      </c>
      <c r="C244" s="43" t="n">
        <v>6</v>
      </c>
      <c r="D244" s="28" t="inlineStr">
        <is>
          <t>6</t>
        </is>
      </c>
      <c r="E244" s="44" t="inlineStr">
        <is>
          <t>Oui</t>
        </is>
      </c>
    </row>
    <row r="245">
      <c r="A245" s="42" t="n">
        <v>45</v>
      </c>
      <c r="B245" s="30" t="inlineStr">
        <is>
          <t>ERB compta 2024</t>
        </is>
      </c>
      <c r="C245" s="45" t="n">
        <v>438360275</v>
      </c>
      <c r="D245" s="30" t="inlineStr">
        <is>
          <t>438 360 275 FCFA</t>
        </is>
      </c>
      <c r="E245" s="46" t="inlineStr">
        <is>
          <t>Oui</t>
        </is>
      </c>
    </row>
    <row r="246">
      <c r="A246" s="42" t="n">
        <v>45</v>
      </c>
      <c r="B246" s="28" t="inlineStr">
        <is>
          <t>ERB banque 2024</t>
        </is>
      </c>
      <c r="C246" s="43" t="n">
        <v>714979473</v>
      </c>
      <c r="D246" s="28" t="inlineStr">
        <is>
          <t>714 979 473 FCFA</t>
        </is>
      </c>
      <c r="E246" s="44" t="inlineStr">
        <is>
          <t>Oui</t>
        </is>
      </c>
    </row>
    <row r="247">
      <c r="A247" s="42" t="n">
        <v>45</v>
      </c>
      <c r="B247" s="30" t="inlineStr">
        <is>
          <t>ERB suspens 2024</t>
        </is>
      </c>
      <c r="C247" s="45" t="n">
        <v>33</v>
      </c>
      <c r="D247" s="30" t="inlineStr">
        <is>
          <t>33</t>
        </is>
      </c>
      <c r="E247" s="46" t="inlineStr">
        <is>
          <t>Oui</t>
        </is>
      </c>
    </row>
    <row r="248">
      <c r="A248" s="42" t="n">
        <v>45</v>
      </c>
      <c r="B248" s="28" t="inlineStr">
        <is>
          <t>ERB montant 2024</t>
        </is>
      </c>
      <c r="C248" s="43" t="n">
        <v>14286786</v>
      </c>
      <c r="D248" s="28" t="inlineStr">
        <is>
          <t>14 286 786 FCFA</t>
        </is>
      </c>
      <c r="E248" s="44" t="inlineStr">
        <is>
          <t>Oui</t>
        </is>
      </c>
    </row>
    <row r="249">
      <c r="A249" s="42" t="n">
        <v>45</v>
      </c>
      <c r="B249" s="30" t="inlineStr">
        <is>
          <t>ERB comptes 2025</t>
        </is>
      </c>
      <c r="C249" s="45" t="n">
        <v>6</v>
      </c>
      <c r="D249" s="30" t="inlineStr">
        <is>
          <t>6</t>
        </is>
      </c>
      <c r="E249" s="46" t="inlineStr">
        <is>
          <t>Oui</t>
        </is>
      </c>
    </row>
    <row r="250">
      <c r="A250" s="42" t="n">
        <v>45</v>
      </c>
      <c r="B250" s="28" t="inlineStr">
        <is>
          <t>ERB concord 2025</t>
        </is>
      </c>
      <c r="C250" s="43" t="n">
        <v>6</v>
      </c>
      <c r="D250" s="28" t="inlineStr">
        <is>
          <t>6</t>
        </is>
      </c>
      <c r="E250" s="44" t="inlineStr">
        <is>
          <t>Oui</t>
        </is>
      </c>
    </row>
    <row r="251">
      <c r="A251" s="42" t="n">
        <v>45</v>
      </c>
      <c r="B251" s="30" t="inlineStr">
        <is>
          <t>ERB compta 2025</t>
        </is>
      </c>
      <c r="C251" s="45" t="n">
        <v>1449586812</v>
      </c>
      <c r="D251" s="30" t="inlineStr">
        <is>
          <t>1 449 586 812 FCFA</t>
        </is>
      </c>
      <c r="E251" s="46" t="inlineStr">
        <is>
          <t>Oui</t>
        </is>
      </c>
    </row>
    <row r="252">
      <c r="A252" s="42" t="n">
        <v>45</v>
      </c>
      <c r="B252" s="28" t="inlineStr">
        <is>
          <t>ERB banque 2025</t>
        </is>
      </c>
      <c r="C252" s="43" t="n">
        <v>1588906901</v>
      </c>
      <c r="D252" s="28" t="inlineStr">
        <is>
          <t>1 588 906 901 FCFA</t>
        </is>
      </c>
      <c r="E252" s="44" t="inlineStr">
        <is>
          <t>Oui</t>
        </is>
      </c>
    </row>
    <row r="253">
      <c r="A253" s="42" t="n">
        <v>45</v>
      </c>
      <c r="B253" s="30" t="inlineStr">
        <is>
          <t>ERB suspens 2025</t>
        </is>
      </c>
      <c r="C253" s="45" t="n">
        <v>49</v>
      </c>
      <c r="D253" s="30" t="inlineStr">
        <is>
          <t>49</t>
        </is>
      </c>
      <c r="E253" s="46" t="inlineStr">
        <is>
          <t>Oui</t>
        </is>
      </c>
    </row>
    <row r="254">
      <c r="A254" s="42" t="n">
        <v>45</v>
      </c>
      <c r="B254" s="28" t="inlineStr">
        <is>
          <t>ERB montant 2025</t>
        </is>
      </c>
      <c r="C254" s="43" t="n">
        <v>14464730</v>
      </c>
      <c r="D254" s="28" t="inlineStr">
        <is>
          <t>14 464 730 FCFA</t>
        </is>
      </c>
      <c r="E254" s="44" t="inlineStr">
        <is>
          <t>Oui</t>
        </is>
      </c>
    </row>
    <row r="255">
      <c r="A255" s="42" t="n">
        <v>45</v>
      </c>
      <c r="B255" s="30" t="inlineStr">
        <is>
          <t>Suspens 2022 (t)</t>
        </is>
      </c>
      <c r="C255" s="45" t="n">
        <v>5</v>
      </c>
      <c r="D255" s="30" t="inlineStr">
        <is>
          <t>5</t>
        </is>
      </c>
      <c r="E255" s="46" t="inlineStr">
        <is>
          <t>Oui</t>
        </is>
      </c>
    </row>
    <row r="256">
      <c r="A256" s="42" t="n">
        <v>45</v>
      </c>
      <c r="B256" s="28" t="inlineStr">
        <is>
          <t>Suspens 2025 (t)</t>
        </is>
      </c>
      <c r="C256" s="43" t="n">
        <v>49</v>
      </c>
      <c r="D256" s="28" t="inlineStr">
        <is>
          <t>49</t>
        </is>
      </c>
      <c r="E256" s="44" t="inlineStr">
        <is>
          <t>Oui</t>
        </is>
      </c>
    </row>
    <row r="257">
      <c r="A257" s="42" t="n">
        <v>47</v>
      </c>
      <c r="B257" s="30" t="inlineStr">
        <is>
          <t>Lignes taux (méthode)</t>
        </is>
      </c>
      <c r="C257" s="45" t="n">
        <v>209670</v>
      </c>
      <c r="D257" s="30" t="inlineStr">
        <is>
          <t>209 670</t>
        </is>
      </c>
      <c r="E257" s="46" t="inlineStr">
        <is>
          <t>Oui</t>
        </is>
      </c>
    </row>
    <row r="258">
      <c r="A258" s="42" t="n">
        <v>48</v>
      </c>
      <c r="B258" s="28" t="inlineStr">
        <is>
          <t>Cotisants janv 2024</t>
        </is>
      </c>
      <c r="C258" s="43" t="n">
        <v>23119</v>
      </c>
      <c r="D258" s="28" t="inlineStr">
        <is>
          <t>23 119</t>
        </is>
      </c>
      <c r="E258" s="44" t="inlineStr">
        <is>
          <t>Oui</t>
        </is>
      </c>
    </row>
    <row r="259">
      <c r="A259" s="42" t="n">
        <v>48</v>
      </c>
      <c r="B259" s="30" t="inlineStr">
        <is>
          <t>Cotisants août 2026</t>
        </is>
      </c>
      <c r="C259" s="45" t="n">
        <v>31198</v>
      </c>
      <c r="D259" s="30" t="inlineStr">
        <is>
          <t>31 198</t>
        </is>
      </c>
      <c r="E259" s="46" t="inlineStr">
        <is>
          <t>Oui</t>
        </is>
      </c>
    </row>
    <row r="260">
      <c r="A260" s="42" t="n">
        <v>48</v>
      </c>
      <c r="B260" s="28" t="inlineStr">
        <is>
          <t>Pente cotisants</t>
        </is>
      </c>
      <c r="C260" s="43" t="n">
        <v>296.2791348903719</v>
      </c>
      <c r="D260" s="28" t="inlineStr">
        <is>
          <t>296,28</t>
        </is>
      </c>
      <c r="E260" s="44" t="inlineStr">
        <is>
          <t>Oui</t>
        </is>
      </c>
    </row>
    <row r="261">
      <c r="A261" s="42" t="n">
        <v>48</v>
      </c>
      <c r="B261" s="30" t="inlineStr">
        <is>
          <t>IC bas pente</t>
        </is>
      </c>
      <c r="C261" s="45" t="n">
        <v>241.3117306383238</v>
      </c>
      <c r="D261" s="30" t="inlineStr">
        <is>
          <t>241,31</t>
        </is>
      </c>
      <c r="E261" s="46" t="inlineStr">
        <is>
          <t>Oui</t>
        </is>
      </c>
    </row>
    <row r="262">
      <c r="A262" s="42" t="n">
        <v>48</v>
      </c>
      <c r="B262" s="28" t="inlineStr">
        <is>
          <t>IC haut pente</t>
        </is>
      </c>
      <c r="C262" s="43" t="n">
        <v>351.24653914242</v>
      </c>
      <c r="D262" s="28" t="inlineStr">
        <is>
          <t>351,25</t>
        </is>
      </c>
      <c r="E262" s="44" t="inlineStr">
        <is>
          <t>Oui</t>
        </is>
      </c>
    </row>
    <row r="263">
      <c r="A263" s="42" t="n">
        <v>48</v>
      </c>
      <c r="B263" s="30" t="inlineStr">
        <is>
          <t>Hausse cotisants</t>
        </is>
      </c>
      <c r="C263" s="45" t="n">
        <v>0.3494528310048013</v>
      </c>
      <c r="D263" s="30" t="inlineStr">
        <is>
          <t>34,95 %</t>
        </is>
      </c>
      <c r="E263" s="46" t="inlineStr">
        <is>
          <t>Oui</t>
        </is>
      </c>
    </row>
    <row r="264">
      <c r="A264" s="42" t="n">
        <v>48</v>
      </c>
      <c r="B264" s="28" t="inlineStr">
        <is>
          <t>TCAM cotisants</t>
        </is>
      </c>
      <c r="C264" s="43" t="n">
        <v>0.1230100146917217</v>
      </c>
      <c r="D264" s="28" t="inlineStr">
        <is>
          <t>12,30 %</t>
        </is>
      </c>
      <c r="E264" s="44" t="inlineStr">
        <is>
          <t>Oui</t>
        </is>
      </c>
    </row>
    <row r="265">
      <c r="A265" s="42" t="n">
        <v>48</v>
      </c>
      <c r="B265" s="30" t="inlineStr">
        <is>
          <t>Entrées juil 2024</t>
        </is>
      </c>
      <c r="C265" s="45" t="n">
        <v>4926</v>
      </c>
      <c r="D265" s="30" t="inlineStr">
        <is>
          <t>4 926</t>
        </is>
      </c>
      <c r="E265" s="46" t="inlineStr">
        <is>
          <t>Oui</t>
        </is>
      </c>
    </row>
    <row r="266">
      <c r="A266" s="42" t="n">
        <v>48</v>
      </c>
      <c r="B266" s="28" t="inlineStr">
        <is>
          <t>Entrées juil 2025</t>
        </is>
      </c>
      <c r="C266" s="43" t="n">
        <v>4127</v>
      </c>
      <c r="D266" s="28" t="inlineStr">
        <is>
          <t>4 127</t>
        </is>
      </c>
      <c r="E266" s="44" t="inlineStr">
        <is>
          <t>Oui</t>
        </is>
      </c>
    </row>
    <row r="267">
      <c r="A267" s="42" t="n">
        <v>48</v>
      </c>
      <c r="B267" s="30" t="inlineStr">
        <is>
          <t>Pente (texte)</t>
        </is>
      </c>
      <c r="C267" s="45" t="n">
        <v>296.2791348903719</v>
      </c>
      <c r="D267" s="30" t="inlineStr">
        <is>
          <t>296,28</t>
        </is>
      </c>
      <c r="E267" s="46" t="inlineStr">
        <is>
          <t>Oui</t>
        </is>
      </c>
    </row>
    <row r="268">
      <c r="A268" s="42" t="n">
        <v>49</v>
      </c>
      <c r="B268" s="28" t="inlineStr">
        <is>
          <t>Entrées 2024</t>
        </is>
      </c>
      <c r="C268" s="43" t="n">
        <v>6240</v>
      </c>
      <c r="D268" s="28" t="inlineStr">
        <is>
          <t>6 240</t>
        </is>
      </c>
      <c r="E268" s="44" t="inlineStr">
        <is>
          <t>Oui</t>
        </is>
      </c>
    </row>
    <row r="269">
      <c r="A269" s="42" t="n">
        <v>49</v>
      </c>
      <c r="B269" s="30" t="inlineStr">
        <is>
          <t>Entrées 2025</t>
        </is>
      </c>
      <c r="C269" s="45" t="n">
        <v>4274</v>
      </c>
      <c r="D269" s="30" t="inlineStr">
        <is>
          <t>4 274</t>
        </is>
      </c>
      <c r="E269" s="46" t="inlineStr">
        <is>
          <t>Oui</t>
        </is>
      </c>
    </row>
    <row r="270">
      <c r="A270" s="42" t="n">
        <v>49</v>
      </c>
      <c r="B270" s="28" t="inlineStr">
        <is>
          <t>Sorties 2024</t>
        </is>
      </c>
      <c r="C270" s="43" t="n">
        <v>1753</v>
      </c>
      <c r="D270" s="28" t="inlineStr">
        <is>
          <t>1 753</t>
        </is>
      </c>
      <c r="E270" s="44" t="inlineStr">
        <is>
          <t>Oui</t>
        </is>
      </c>
    </row>
    <row r="271">
      <c r="A271" s="42" t="n">
        <v>49</v>
      </c>
      <c r="B271" s="30" t="inlineStr">
        <is>
          <t>Sorties 2025</t>
        </is>
      </c>
      <c r="C271" s="45" t="n">
        <v>464</v>
      </c>
      <c r="D271" s="30" t="inlineStr">
        <is>
          <t>464</t>
        </is>
      </c>
      <c r="E271" s="46" t="inlineStr">
        <is>
          <t>Oui</t>
        </is>
      </c>
    </row>
    <row r="272">
      <c r="A272" s="42" t="n">
        <v>49</v>
      </c>
      <c r="B272" s="28" t="inlineStr">
        <is>
          <t>Fidélisation 2025 (flux)</t>
        </is>
      </c>
      <c r="C272" s="43" t="n">
        <v>0.9648588821250692</v>
      </c>
      <c r="D272" s="28" t="inlineStr">
        <is>
          <t>96,49 %</t>
        </is>
      </c>
      <c r="E272" s="44" t="inlineStr">
        <is>
          <t>Oui</t>
        </is>
      </c>
    </row>
    <row r="273">
      <c r="A273" s="42" t="n">
        <v>50</v>
      </c>
      <c r="B273" s="30" t="inlineStr">
        <is>
          <t>Ancienneté médiane</t>
        </is>
      </c>
      <c r="C273" s="45" t="n">
        <v>7.498973305954825</v>
      </c>
      <c r="D273" s="30" t="inlineStr">
        <is>
          <t>7,50</t>
        </is>
      </c>
      <c r="E273" s="46" t="inlineStr">
        <is>
          <t>Oui</t>
        </is>
      </c>
    </row>
    <row r="274">
      <c r="A274" s="42" t="n">
        <v>50</v>
      </c>
      <c r="B274" s="28" t="inlineStr">
        <is>
          <t>Salaire base médian</t>
        </is>
      </c>
      <c r="C274" s="43" t="n">
        <v>186765</v>
      </c>
      <c r="D274" s="28" t="inlineStr">
        <is>
          <t>186 765 FCFA</t>
        </is>
      </c>
      <c r="E274" s="44" t="inlineStr">
        <is>
          <t>Oui</t>
        </is>
      </c>
    </row>
    <row r="275">
      <c r="A275" s="42" t="n">
        <v>50</v>
      </c>
      <c r="B275" s="30" t="inlineStr">
        <is>
          <t>Part moins de 10 ans</t>
        </is>
      </c>
      <c r="C275" s="45" t="n">
        <v>0.5681793721973094</v>
      </c>
      <c r="D275" s="30" t="inlineStr">
        <is>
          <t>56,82 %</t>
        </is>
      </c>
      <c r="E275" s="46" t="inlineStr">
        <is>
          <t>Oui</t>
        </is>
      </c>
    </row>
    <row r="276">
      <c r="A276" s="42" t="n">
        <v>50</v>
      </c>
      <c r="B276" s="28" t="inlineStr">
        <is>
          <t>Part 15-25 ans</t>
        </is>
      </c>
      <c r="C276" s="43" t="n">
        <v>0.3079103139013453</v>
      </c>
      <c r="D276" s="28" t="inlineStr">
        <is>
          <t>30,79 %</t>
        </is>
      </c>
      <c r="E276" s="44" t="inlineStr">
        <is>
          <t>Oui</t>
        </is>
      </c>
    </row>
    <row r="277">
      <c r="A277" s="42" t="n">
        <v>51</v>
      </c>
      <c r="B277" s="30" t="inlineStr">
        <is>
          <t>Lignes taux (pas)</t>
        </is>
      </c>
      <c r="C277" s="45" t="n">
        <v>209670</v>
      </c>
      <c r="D277" s="30" t="inlineStr">
        <is>
          <t>209 670</t>
        </is>
      </c>
      <c r="E277" s="46" t="inlineStr">
        <is>
          <t>Oui</t>
        </is>
      </c>
    </row>
    <row r="278">
      <c r="A278" s="42" t="n">
        <v>52</v>
      </c>
      <c r="B278" s="28" t="inlineStr">
        <is>
          <t>Clé comptable maladie</t>
        </is>
      </c>
      <c r="C278" s="43" t="n">
        <v>0.7049728068460818</v>
      </c>
      <c r="D278" s="28" t="inlineStr">
        <is>
          <t>70,50 %</t>
        </is>
      </c>
      <c r="E278" s="44" t="inlineStr">
        <is>
          <t>Oui</t>
        </is>
      </c>
    </row>
    <row r="279">
      <c r="A279" s="42" t="n">
        <v>53</v>
      </c>
      <c r="B279" s="30" t="inlineStr">
        <is>
          <t>S/C clé compta</t>
        </is>
      </c>
      <c r="C279" s="45" t="n">
        <v>0.7353377787563454</v>
      </c>
      <c r="D279" s="30" t="inlineStr">
        <is>
          <t>73,53 %</t>
        </is>
      </c>
      <c r="E279" s="46" t="inlineStr">
        <is>
          <t>Oui</t>
        </is>
      </c>
    </row>
    <row r="280">
      <c r="A280" s="42" t="n">
        <v>53</v>
      </c>
      <c r="B280" s="28" t="inlineStr">
        <is>
          <t>S/C clé Solde</t>
        </is>
      </c>
      <c r="C280" s="43" t="n">
        <v>0.6875240555302704</v>
      </c>
      <c r="D280" s="28" t="inlineStr">
        <is>
          <t>68,75 %</t>
        </is>
      </c>
      <c r="E280" s="44" t="inlineStr">
        <is>
          <t>Oui</t>
        </is>
      </c>
    </row>
    <row r="281">
      <c r="A281" s="42" t="n">
        <v>53</v>
      </c>
      <c r="B281" s="30" t="inlineStr">
        <is>
          <t>S/C solde (t)</t>
        </is>
      </c>
      <c r="C281" s="45" t="n">
        <v>0.6875240555302704</v>
      </c>
      <c r="D281" s="30" t="inlineStr">
        <is>
          <t>68,75 %</t>
        </is>
      </c>
      <c r="E281" s="46" t="inlineStr">
        <is>
          <t>Oui</t>
        </is>
      </c>
    </row>
    <row r="282">
      <c r="A282" s="42" t="n">
        <v>53</v>
      </c>
      <c r="B282" s="28" t="inlineStr">
        <is>
          <t>S/C décès solde</t>
        </is>
      </c>
      <c r="C282" s="43" t="n">
        <v>0.2297283149571551</v>
      </c>
      <c r="D282" s="28" t="inlineStr">
        <is>
          <t>22,97 %</t>
        </is>
      </c>
      <c r="E282" s="44" t="inlineStr">
        <is>
          <t>Oui</t>
        </is>
      </c>
    </row>
    <row r="283">
      <c r="A283" s="42" t="n">
        <v>53</v>
      </c>
      <c r="B283" s="30" t="inlineStr">
        <is>
          <t>S/C barème</t>
        </is>
      </c>
      <c r="C283" s="45" t="n">
        <v>0.7405616255283199</v>
      </c>
      <c r="D283" s="30" t="inlineStr">
        <is>
          <t>74,06 %</t>
        </is>
      </c>
      <c r="E283" s="46" t="inlineStr">
        <is>
          <t>Oui</t>
        </is>
      </c>
    </row>
    <row r="284">
      <c r="A284" s="42" t="n">
        <v>54</v>
      </c>
      <c r="B284" s="28" t="inlineStr">
        <is>
          <t>Croissance nominale cot</t>
        </is>
      </c>
      <c r="C284" s="43" t="n">
        <v>0.4576152668514664</v>
      </c>
      <c r="D284" s="28" t="inlineStr">
        <is>
          <t>45,76 %</t>
        </is>
      </c>
      <c r="E284" s="44" t="inlineStr">
        <is>
          <t>Oui</t>
        </is>
      </c>
    </row>
    <row r="285">
      <c r="A285" s="42" t="n">
        <v>54</v>
      </c>
      <c r="B285" s="30" t="inlineStr">
        <is>
          <t>Croissance prix</t>
        </is>
      </c>
      <c r="C285" s="45" t="n">
        <v>0.1849545737917533</v>
      </c>
      <c r="D285" s="30" t="inlineStr">
        <is>
          <t>18,50 %</t>
        </is>
      </c>
      <c r="E285" s="46" t="inlineStr">
        <is>
          <t>Oui</t>
        </is>
      </c>
    </row>
    <row r="286">
      <c r="A286" s="42" t="n">
        <v>54</v>
      </c>
      <c r="B286" s="28" t="inlineStr">
        <is>
          <t>Croissance réelle cot</t>
        </is>
      </c>
      <c r="C286" s="43" t="n">
        <v>0.2301022326849391</v>
      </c>
      <c r="D286" s="28" t="inlineStr">
        <is>
          <t>23,01 %</t>
        </is>
      </c>
      <c r="E286" s="44" t="inlineStr">
        <is>
          <t>Oui</t>
        </is>
      </c>
    </row>
    <row r="287">
      <c r="A287" s="42" t="n">
        <v>54</v>
      </c>
      <c r="B287" s="30" t="inlineStr">
        <is>
          <t>Prix (t)</t>
        </is>
      </c>
      <c r="C287" s="45" t="n">
        <v>0.1849545737917533</v>
      </c>
      <c r="D287" s="30" t="inlineStr">
        <is>
          <t>18,50 %</t>
        </is>
      </c>
      <c r="E287" s="46" t="inlineStr">
        <is>
          <t>Oui</t>
        </is>
      </c>
    </row>
    <row r="288">
      <c r="A288" s="42" t="n">
        <v>54</v>
      </c>
      <c r="B288" s="28" t="inlineStr">
        <is>
          <t>Réelle (t)</t>
        </is>
      </c>
      <c r="C288" s="43" t="n">
        <v>0.2301022326849391</v>
      </c>
      <c r="D288" s="28" t="inlineStr">
        <is>
          <t>23,01 %</t>
        </is>
      </c>
      <c r="E288" s="44" t="inlineStr">
        <is>
          <t>Oui</t>
        </is>
      </c>
    </row>
    <row r="289">
      <c r="A289" s="42" t="n">
        <v>54</v>
      </c>
      <c r="B289" s="30" t="inlineStr">
        <is>
          <t>Inflation 2025</t>
        </is>
      </c>
      <c r="C289" s="45" t="n">
        <v>0.125038772593103</v>
      </c>
      <c r="D289" s="30" t="inlineStr">
        <is>
          <t>0,13 %</t>
        </is>
      </c>
      <c r="E289" s="46" t="inlineStr">
        <is>
          <t>Oui</t>
        </is>
      </c>
    </row>
    <row r="290">
      <c r="A290" s="42" t="n">
        <v>54</v>
      </c>
      <c r="B290" s="28" t="inlineStr">
        <is>
          <t>Inflation 2022</t>
        </is>
      </c>
      <c r="C290" s="43" t="n">
        <v>5.23352856100842</v>
      </c>
      <c r="D290" s="28" t="inlineStr">
        <is>
          <t>5,23 %</t>
        </is>
      </c>
      <c r="E290" s="44" t="inlineStr">
        <is>
          <t>Oui</t>
        </is>
      </c>
    </row>
    <row r="291">
      <c r="A291" s="42" t="n">
        <v>55</v>
      </c>
      <c r="B291" s="30" t="inlineStr">
        <is>
          <t>Cot 2020</t>
        </is>
      </c>
      <c r="C291" s="45" t="n">
        <v>2344618501</v>
      </c>
      <c r="D291" s="30" t="inlineStr">
        <is>
          <t>2 344 618 501 FCFA</t>
        </is>
      </c>
      <c r="E291" s="46" t="inlineStr">
        <is>
          <t>Oui</t>
        </is>
      </c>
    </row>
    <row r="292">
      <c r="A292" s="42" t="n">
        <v>55</v>
      </c>
      <c r="B292" s="28" t="inlineStr">
        <is>
          <t>Cot 2025 (cc)</t>
        </is>
      </c>
      <c r="C292" s="43" t="n">
        <v>3417551722</v>
      </c>
      <c r="D292" s="28" t="inlineStr">
        <is>
          <t>3 417 551 722 FCFA</t>
        </is>
      </c>
      <c r="E292" s="44" t="inlineStr">
        <is>
          <t>Oui</t>
        </is>
      </c>
    </row>
    <row r="293">
      <c r="A293" s="42" t="n">
        <v>55</v>
      </c>
      <c r="B293" s="30" t="inlineStr">
        <is>
          <t>TCAM cot</t>
        </is>
      </c>
      <c r="C293" s="45" t="n">
        <v>0.07827263026914344</v>
      </c>
      <c r="D293" s="30" t="inlineStr">
        <is>
          <t>7,83 %</t>
        </is>
      </c>
      <c r="E293" s="46" t="inlineStr">
        <is>
          <t>Oui</t>
        </is>
      </c>
    </row>
    <row r="294">
      <c r="A294" s="42" t="n">
        <v>55</v>
      </c>
      <c r="B294" s="28" t="inlineStr">
        <is>
          <t>Écart maladie 2025</t>
        </is>
      </c>
      <c r="C294" s="43" t="n">
        <v>0.06885277855583338</v>
      </c>
      <c r="D294" s="28" t="inlineStr">
        <is>
          <t>6,89 %</t>
        </is>
      </c>
      <c r="E294" s="44" t="inlineStr">
        <is>
          <t>Oui</t>
        </is>
      </c>
    </row>
    <row r="295">
      <c r="A295" s="42" t="n">
        <v>55</v>
      </c>
      <c r="B295" s="30" t="inlineStr">
        <is>
          <t>Compta mal 2025</t>
        </is>
      </c>
      <c r="C295" s="45" t="n">
        <v>2409281030</v>
      </c>
      <c r="D295" s="30" t="inlineStr">
        <is>
          <t>2 409 281 030 FCFA</t>
        </is>
      </c>
      <c r="E295" s="46" t="inlineStr">
        <is>
          <t>Oui</t>
        </is>
      </c>
    </row>
    <row r="296">
      <c r="A296" s="42" t="n">
        <v>55</v>
      </c>
      <c r="B296" s="28" t="inlineStr">
        <is>
          <t>Précomptes mal 2025</t>
        </is>
      </c>
      <c r="C296" s="43" t="n">
        <v>2587432980</v>
      </c>
      <c r="D296" s="28" t="inlineStr">
        <is>
          <t>2 587 432 980 FCFA</t>
        </is>
      </c>
      <c r="E296" s="44" t="inlineStr">
        <is>
          <t>Oui</t>
        </is>
      </c>
    </row>
    <row r="297">
      <c r="A297" s="42" t="n">
        <v>55</v>
      </c>
      <c r="B297" s="30" t="inlineStr">
        <is>
          <t>Créance Trésor 2025</t>
        </is>
      </c>
      <c r="C297" s="45" t="n">
        <v>704189157</v>
      </c>
      <c r="D297" s="30" t="inlineStr">
        <is>
          <t>704 189 157 FCFA</t>
        </is>
      </c>
      <c r="E297" s="46" t="inlineStr">
        <is>
          <t>Oui</t>
        </is>
      </c>
    </row>
    <row r="298">
      <c r="A298" s="42" t="n">
        <v>56</v>
      </c>
      <c r="B298" s="28" t="inlineStr">
        <is>
          <t>EFC 10000 2023</t>
        </is>
      </c>
      <c r="C298" s="43" t="n">
        <v>0.6252188509647492</v>
      </c>
      <c r="D298" s="28" t="inlineStr">
        <is>
          <t>62,52 %</t>
        </is>
      </c>
      <c r="E298" s="44" t="inlineStr">
        <is>
          <t>Oui</t>
        </is>
      </c>
    </row>
    <row r="299">
      <c r="A299" s="42" t="n">
        <v>56</v>
      </c>
      <c r="B299" s="30" t="inlineStr">
        <is>
          <t>EFC 10000 2026</t>
        </is>
      </c>
      <c r="C299" s="45" t="n">
        <v>0.8498474005472532</v>
      </c>
      <c r="D299" s="30" t="inlineStr">
        <is>
          <t>84,98 %</t>
        </is>
      </c>
      <c r="E299" s="46" t="inlineStr">
        <is>
          <t>Oui</t>
        </is>
      </c>
    </row>
    <row r="300">
      <c r="A300" s="42" t="n">
        <v>56</v>
      </c>
      <c r="B300" s="28" t="inlineStr">
        <is>
          <t>EFC 6000 2023</t>
        </is>
      </c>
      <c r="C300" s="43" t="n">
        <v>0.3737824064882166</v>
      </c>
      <c r="D300" s="28" t="inlineStr">
        <is>
          <t>37,38 %</t>
        </is>
      </c>
      <c r="E300" s="44" t="inlineStr">
        <is>
          <t>Oui</t>
        </is>
      </c>
    </row>
    <row r="301">
      <c r="A301" s="42" t="n">
        <v>56</v>
      </c>
      <c r="B301" s="30" t="inlineStr">
        <is>
          <t>EFC 6000 2026</t>
        </is>
      </c>
      <c r="C301" s="45" t="n">
        <v>0.1498684487476321</v>
      </c>
      <c r="D301" s="30" t="inlineStr">
        <is>
          <t>14,99 %</t>
        </is>
      </c>
      <c r="E301" s="46" t="inlineStr">
        <is>
          <t>Oui</t>
        </is>
      </c>
    </row>
    <row r="302">
      <c r="A302" s="42" t="n">
        <v>56</v>
      </c>
      <c r="B302" s="28" t="inlineStr">
        <is>
          <t>PEP multiples</t>
        </is>
      </c>
      <c r="C302" s="43" t="n">
        <v>0.9979651720302252</v>
      </c>
      <c r="D302" s="28" t="inlineStr">
        <is>
          <t>99,80 %</t>
        </is>
      </c>
      <c r="E302" s="44" t="inlineStr">
        <is>
          <t>Oui</t>
        </is>
      </c>
    </row>
    <row r="303">
      <c r="A303" s="42" t="n">
        <v>56</v>
      </c>
      <c r="B303" s="30" t="inlineStr">
        <is>
          <t>PEP sous 10000</t>
        </is>
      </c>
      <c r="C303" s="45" t="n">
        <v>0.001106593533044379</v>
      </c>
      <c r="D303" s="30" t="inlineStr">
        <is>
          <t>0,11 %</t>
        </is>
      </c>
      <c r="E303" s="46" t="inlineStr">
        <is>
          <t>Oui</t>
        </is>
      </c>
    </row>
    <row r="304">
      <c r="A304" s="42" t="n">
        <v>56</v>
      </c>
      <c r="B304" s="28" t="inlineStr">
        <is>
          <t>PEP max</t>
        </is>
      </c>
      <c r="C304" s="43" t="n">
        <v>300000</v>
      </c>
      <c r="D304" s="28" t="inlineStr">
        <is>
          <t>300 000 FCFA</t>
        </is>
      </c>
      <c r="E304" s="44" t="inlineStr">
        <is>
          <t>Oui</t>
        </is>
      </c>
    </row>
    <row r="305">
      <c r="A305" s="42" t="n">
        <v>58</v>
      </c>
      <c r="B305" s="30" t="inlineStr">
        <is>
          <t>Cotisants (ret)</t>
        </is>
      </c>
      <c r="C305" s="45" t="n">
        <v>31198</v>
      </c>
      <c r="D305" s="30" t="inlineStr">
        <is>
          <t>31 198</t>
        </is>
      </c>
      <c r="E305" s="46" t="inlineStr">
        <is>
          <t>Oui</t>
        </is>
      </c>
    </row>
    <row r="306">
      <c r="A306" s="42" t="n">
        <v>61</v>
      </c>
      <c r="B306" s="28" t="inlineStr">
        <is>
          <t>Prest mal 2025 (pas)</t>
        </is>
      </c>
      <c r="C306" s="43" t="n">
        <v>1771635361</v>
      </c>
      <c r="D306" s="28" t="inlineStr">
        <is>
          <t>1 771 635 361 FCFA</t>
        </is>
      </c>
      <c r="E306" s="44" t="inlineStr">
        <is>
          <t>Oui</t>
        </is>
      </c>
    </row>
    <row r="307">
      <c r="A307" s="42" t="n">
        <v>61</v>
      </c>
      <c r="B307" s="30" t="inlineStr">
        <is>
          <t>Cot mal 2025 (pas)</t>
        </is>
      </c>
      <c r="C307" s="45" t="n">
        <v>2409281030</v>
      </c>
      <c r="D307" s="30" t="inlineStr">
        <is>
          <t>2 409 281 030 FCFA</t>
        </is>
      </c>
      <c r="E307" s="46" t="inlineStr">
        <is>
          <t>Oui</t>
        </is>
      </c>
    </row>
    <row r="308">
      <c r="A308" s="42" t="n">
        <v>61</v>
      </c>
      <c r="B308" s="28" t="inlineStr">
        <is>
          <t>S/C 2025 (pas)</t>
        </is>
      </c>
      <c r="C308" s="43" t="n">
        <v>0.7353377787563454</v>
      </c>
      <c r="D308" s="28" t="inlineStr">
        <is>
          <t>73,53 %</t>
        </is>
      </c>
      <c r="E308" s="44" t="inlineStr">
        <is>
          <t>Oui</t>
        </is>
      </c>
    </row>
    <row r="309">
      <c r="A309" s="42" t="n">
        <v>61</v>
      </c>
      <c r="B309" s="30" t="inlineStr">
        <is>
          <t>Total prest (pas)</t>
        </is>
      </c>
      <c r="C309" s="45" t="n">
        <v>1771635361</v>
      </c>
      <c r="D309" s="30" t="inlineStr">
        <is>
          <t>1 771 635 361 FCFA</t>
        </is>
      </c>
      <c r="E309" s="46" t="inlineStr">
        <is>
          <t>Oui</t>
        </is>
      </c>
    </row>
    <row r="310">
      <c r="A310" s="42" t="n">
        <v>62</v>
      </c>
      <c r="B310" s="28" t="inlineStr">
        <is>
          <t>S/C 2021 (s)</t>
        </is>
      </c>
      <c r="C310" s="43" t="n">
        <v>0.05998415238073976</v>
      </c>
      <c r="D310" s="28" t="inlineStr">
        <is>
          <t>6,00 %</t>
        </is>
      </c>
      <c r="E310" s="44" t="inlineStr">
        <is>
          <t>Oui</t>
        </is>
      </c>
    </row>
    <row r="311">
      <c r="A311" s="42" t="n">
        <v>62</v>
      </c>
      <c r="B311" s="30" t="inlineStr">
        <is>
          <t>S/C 2025 (s)</t>
        </is>
      </c>
      <c r="C311" s="45" t="n">
        <v>0.7353377787563454</v>
      </c>
      <c r="D311" s="30" t="inlineStr">
        <is>
          <t>73,53 %</t>
        </is>
      </c>
      <c r="E311" s="46" t="inlineStr">
        <is>
          <t>Oui</t>
        </is>
      </c>
    </row>
    <row r="312">
      <c r="A312" s="42" t="n">
        <v>62</v>
      </c>
      <c r="B312" s="28" t="inlineStr">
        <is>
          <t>S/C 2026 (s)</t>
        </is>
      </c>
      <c r="C312" s="43" t="n">
        <v>0.9739834418110705</v>
      </c>
      <c r="D312" s="28" t="inlineStr">
        <is>
          <t>97,40 %</t>
        </is>
      </c>
      <c r="E312" s="44" t="inlineStr">
        <is>
          <t>Oui</t>
        </is>
      </c>
    </row>
    <row r="313">
      <c r="A313" s="42" t="n">
        <v>62</v>
      </c>
      <c r="B313" s="30" t="inlineStr">
        <is>
          <t>Pente S/C</t>
        </is>
      </c>
      <c r="C313" s="45" t="n">
        <v>12.90872668796409</v>
      </c>
      <c r="D313" s="30" t="inlineStr">
        <is>
          <t>12,91</t>
        </is>
      </c>
      <c r="E313" s="46" t="inlineStr">
        <is>
          <t>Oui</t>
        </is>
      </c>
    </row>
    <row r="314">
      <c r="A314" s="42" t="n">
        <v>62</v>
      </c>
      <c r="B314" s="28" t="inlineStr">
        <is>
          <t>IC bas S/C</t>
        </is>
      </c>
      <c r="C314" s="43" t="n">
        <v>3.851087041685972</v>
      </c>
      <c r="D314" s="28" t="inlineStr">
        <is>
          <t>3,85</t>
        </is>
      </c>
      <c r="E314" s="44" t="inlineStr">
        <is>
          <t>Oui</t>
        </is>
      </c>
    </row>
    <row r="315">
      <c r="A315" s="42" t="n">
        <v>62</v>
      </c>
      <c r="B315" s="30" t="inlineStr">
        <is>
          <t>IC haut S/C</t>
        </is>
      </c>
      <c r="C315" s="45" t="n">
        <v>21.96636633424221</v>
      </c>
      <c r="D315" s="30" t="inlineStr">
        <is>
          <t>21,97</t>
        </is>
      </c>
      <c r="E315" s="46" t="inlineStr">
        <is>
          <t>Oui</t>
        </is>
      </c>
    </row>
    <row r="316">
      <c r="A316" s="42" t="n">
        <v>62</v>
      </c>
      <c r="B316" s="28" t="inlineStr">
        <is>
          <t>Mult S/C</t>
        </is>
      </c>
      <c r="C316" s="43" t="n">
        <v>12.25886754369566</v>
      </c>
      <c r="D316" s="28" t="inlineStr">
        <is>
          <t>12,26</t>
        </is>
      </c>
      <c r="E316" s="44" t="inlineStr">
        <is>
          <t>Oui</t>
        </is>
      </c>
    </row>
    <row r="317">
      <c r="A317" s="42" t="n">
        <v>62</v>
      </c>
      <c r="B317" s="30" t="inlineStr">
        <is>
          <t>Min S/C décès</t>
        </is>
      </c>
      <c r="C317" s="45" t="n">
        <v>0.1520818681337907</v>
      </c>
      <c r="D317" s="30" t="inlineStr">
        <is>
          <t>15,21 %</t>
        </is>
      </c>
      <c r="E317" s="46" t="inlineStr">
        <is>
          <t>Oui</t>
        </is>
      </c>
    </row>
    <row r="318">
      <c r="A318" s="42" t="n">
        <v>62</v>
      </c>
      <c r="B318" s="28" t="inlineStr">
        <is>
          <t>Max S/C décès</t>
        </is>
      </c>
      <c r="C318" s="43" t="n">
        <v>0.218073467000798</v>
      </c>
      <c r="D318" s="28" t="inlineStr">
        <is>
          <t>21,81 %</t>
        </is>
      </c>
      <c r="E318" s="44" t="inlineStr">
        <is>
          <t>Oui</t>
        </is>
      </c>
    </row>
    <row r="319">
      <c r="A319" s="42" t="n">
        <v>64</v>
      </c>
      <c r="B319" s="30" t="inlineStr">
        <is>
          <t>Variante texte 2025</t>
        </is>
      </c>
      <c r="C319" s="45" t="n">
        <v>0.574807069687674</v>
      </c>
      <c r="D319" s="30" t="inlineStr">
        <is>
          <t>57,48 %</t>
        </is>
      </c>
      <c r="E319" s="46" t="inlineStr">
        <is>
          <t>Oui</t>
        </is>
      </c>
    </row>
    <row r="320">
      <c r="A320" s="42" t="n">
        <v>64</v>
      </c>
      <c r="B320" s="28" t="inlineStr">
        <is>
          <t>Variante maladie 2025</t>
        </is>
      </c>
      <c r="C320" s="43" t="n">
        <v>0.7353377787563454</v>
      </c>
      <c r="D320" s="28" t="inlineStr">
        <is>
          <t>73,53 %</t>
        </is>
      </c>
      <c r="E320" s="44" t="inlineStr">
        <is>
          <t>Oui</t>
        </is>
      </c>
    </row>
    <row r="321">
      <c r="A321" s="42" t="n">
        <v>64</v>
      </c>
      <c r="B321" s="30" t="inlineStr">
        <is>
          <t>Variante décès 2025</t>
        </is>
      </c>
      <c r="C321" s="45" t="n">
        <v>0.1915523951379517</v>
      </c>
      <c r="D321" s="30" t="inlineStr">
        <is>
          <t>19,16 %</t>
        </is>
      </c>
      <c r="E321" s="46" t="inlineStr">
        <is>
          <t>Oui</t>
        </is>
      </c>
    </row>
    <row r="322">
      <c r="A322" s="42" t="n">
        <v>64</v>
      </c>
      <c r="B322" s="28" t="inlineStr">
        <is>
          <t>Variante texte 2022</t>
        </is>
      </c>
      <c r="C322" s="43" t="n">
        <v>0.09057696166716429</v>
      </c>
      <c r="D322" s="28" t="inlineStr">
        <is>
          <t>9,06 %</t>
        </is>
      </c>
      <c r="E322" s="44" t="inlineStr">
        <is>
          <t>Oui</t>
        </is>
      </c>
    </row>
    <row r="323">
      <c r="A323" s="42" t="n">
        <v>64</v>
      </c>
      <c r="B323" s="30" t="inlineStr">
        <is>
          <t>Variante texte 2025 (b)</t>
        </is>
      </c>
      <c r="C323" s="45" t="n">
        <v>0.574807069687674</v>
      </c>
      <c r="D323" s="30" t="inlineStr">
        <is>
          <t>57,48 %</t>
        </is>
      </c>
      <c r="E323" s="46" t="inlineStr">
        <is>
          <t>Oui</t>
        </is>
      </c>
    </row>
    <row r="324">
      <c r="A324" s="42" t="n">
        <v>64</v>
      </c>
      <c r="B324" s="28" t="inlineStr">
        <is>
          <t>Variante texte 2026</t>
        </is>
      </c>
      <c r="C324" s="43" t="n">
        <v>0.7519679703716217</v>
      </c>
      <c r="D324" s="28" t="inlineStr">
        <is>
          <t>75,20 %</t>
        </is>
      </c>
      <c r="E324" s="44" t="inlineStr">
        <is>
          <t>Oui</t>
        </is>
      </c>
    </row>
    <row r="325">
      <c r="A325" s="42" t="n">
        <v>64</v>
      </c>
      <c r="B325" s="30" t="inlineStr">
        <is>
          <t>Variante sans bons 2025</t>
        </is>
      </c>
      <c r="C325" s="45" t="n">
        <v>0.5654598855746333</v>
      </c>
      <c r="D325" s="30" t="inlineStr">
        <is>
          <t>56,55 %</t>
        </is>
      </c>
      <c r="E325" s="46" t="inlineStr">
        <is>
          <t>Oui</t>
        </is>
      </c>
    </row>
    <row r="326">
      <c r="A326" s="42" t="n">
        <v>64</v>
      </c>
      <c r="B326" s="28" t="inlineStr">
        <is>
          <t>Variante sans MEDOC 2025</t>
        </is>
      </c>
      <c r="C326" s="43" t="n">
        <v>0.5749063033492841</v>
      </c>
      <c r="D326" s="28" t="inlineStr">
        <is>
          <t>57,49 %</t>
        </is>
      </c>
      <c r="E326" s="44" t="inlineStr">
        <is>
          <t>Oui</t>
        </is>
      </c>
    </row>
    <row r="327">
      <c r="A327" s="42" t="n">
        <v>65</v>
      </c>
      <c r="B327" s="30" t="inlineStr">
        <is>
          <t>SIN 2026 (méthode)</t>
        </is>
      </c>
      <c r="C327" s="45" t="n">
        <v>0.7519679703716217</v>
      </c>
      <c r="D327" s="30" t="inlineStr">
        <is>
          <t>75,20 %</t>
        </is>
      </c>
      <c r="E327" s="46" t="inlineStr">
        <is>
          <t>Oui</t>
        </is>
      </c>
    </row>
    <row r="328">
      <c r="A328" s="42" t="n">
        <v>66</v>
      </c>
      <c r="B328" s="28" t="inlineStr">
        <is>
          <t>FPPN cot déc 2020</t>
        </is>
      </c>
      <c r="C328" s="43" t="n">
        <v>557317712</v>
      </c>
      <c r="D328" s="28" t="inlineStr">
        <is>
          <t>557 317 712 FCFA</t>
        </is>
      </c>
      <c r="E328" s="44" t="inlineStr">
        <is>
          <t>Oui</t>
        </is>
      </c>
    </row>
    <row r="329">
      <c r="A329" s="42" t="n">
        <v>66</v>
      </c>
      <c r="B329" s="30" t="inlineStr">
        <is>
          <t>FPPN sin déc 2020</t>
        </is>
      </c>
      <c r="C329" s="45" t="n">
        <v>493331537.3902439</v>
      </c>
      <c r="D329" s="30" t="inlineStr">
        <is>
          <t>493 331 537 FCFA</t>
        </is>
      </c>
      <c r="E329" s="46" t="inlineStr">
        <is>
          <t>Oui</t>
        </is>
      </c>
    </row>
    <row r="330">
      <c r="A330" s="42" t="n">
        <v>66</v>
      </c>
      <c r="B330" s="28" t="inlineStr">
        <is>
          <t>FPPN S/P 2020</t>
        </is>
      </c>
      <c r="C330" s="43" t="n">
        <v>0.8851890524345006</v>
      </c>
      <c r="D330" s="28" t="inlineStr">
        <is>
          <t>88,52 %</t>
        </is>
      </c>
      <c r="E330" s="44" t="inlineStr">
        <is>
          <t>Oui</t>
        </is>
      </c>
    </row>
    <row r="331">
      <c r="A331" s="42" t="n">
        <v>66</v>
      </c>
      <c r="B331" s="30" t="inlineStr">
        <is>
          <t>Compta cot déc 2020</t>
        </is>
      </c>
      <c r="C331" s="45" t="n">
        <v>703298329</v>
      </c>
      <c r="D331" s="30" t="inlineStr">
        <is>
          <t>703 298 329 FCFA</t>
        </is>
      </c>
      <c r="E331" s="46" t="inlineStr">
        <is>
          <t>Oui</t>
        </is>
      </c>
    </row>
    <row r="332">
      <c r="A332" s="42" t="n">
        <v>66</v>
      </c>
      <c r="B332" s="28" t="inlineStr">
        <is>
          <t>Compta prest déc 2020</t>
        </is>
      </c>
      <c r="C332" s="43" t="n">
        <v>578327196</v>
      </c>
      <c r="D332" s="28" t="inlineStr">
        <is>
          <t>578 327 196 FCFA</t>
        </is>
      </c>
      <c r="E332" s="44" t="inlineStr">
        <is>
          <t>Oui</t>
        </is>
      </c>
    </row>
    <row r="333">
      <c r="A333" s="42" t="n">
        <v>66</v>
      </c>
      <c r="B333" s="30" t="inlineStr">
        <is>
          <t>Compta S/C déc 2020</t>
        </is>
      </c>
      <c r="C333" s="45" t="n">
        <v>0.8223070810111366</v>
      </c>
      <c r="D333" s="30" t="inlineStr">
        <is>
          <t>82,23 %</t>
        </is>
      </c>
      <c r="E333" s="46" t="inlineStr">
        <is>
          <t>Oui</t>
        </is>
      </c>
    </row>
    <row r="334">
      <c r="A334" s="42" t="n">
        <v>66</v>
      </c>
      <c r="B334" s="28" t="inlineStr">
        <is>
          <t>FPPN cot déc 2021</t>
        </is>
      </c>
      <c r="C334" s="43" t="n">
        <v>725124908</v>
      </c>
      <c r="D334" s="28" t="inlineStr">
        <is>
          <t>725 124 908 FCFA</t>
        </is>
      </c>
      <c r="E334" s="44" t="inlineStr">
        <is>
          <t>Oui</t>
        </is>
      </c>
    </row>
    <row r="335">
      <c r="A335" s="42" t="n">
        <v>66</v>
      </c>
      <c r="B335" s="30" t="inlineStr">
        <is>
          <t>FPPN sin déc 2021</t>
        </is>
      </c>
      <c r="C335" s="45" t="n">
        <v>156020000</v>
      </c>
      <c r="D335" s="30" t="inlineStr">
        <is>
          <t>156 020 000 FCFA</t>
        </is>
      </c>
      <c r="E335" s="46" t="inlineStr">
        <is>
          <t>Oui</t>
        </is>
      </c>
    </row>
    <row r="336">
      <c r="A336" s="42" t="n">
        <v>66</v>
      </c>
      <c r="B336" s="28" t="inlineStr">
        <is>
          <t>FPPN S/P 2021</t>
        </is>
      </c>
      <c r="C336" s="43" t="n">
        <v>0.2151629302464949</v>
      </c>
      <c r="D336" s="28" t="inlineStr">
        <is>
          <t>21,52 %</t>
        </is>
      </c>
      <c r="E336" s="44" t="inlineStr">
        <is>
          <t>Oui</t>
        </is>
      </c>
    </row>
    <row r="337">
      <c r="A337" s="42" t="n">
        <v>66</v>
      </c>
      <c r="B337" s="30" t="inlineStr">
        <is>
          <t>Compta cot déc 2021</t>
        </is>
      </c>
      <c r="C337" s="45" t="n">
        <v>725124908</v>
      </c>
      <c r="D337" s="30" t="inlineStr">
        <is>
          <t>725 124 908 FCFA</t>
        </is>
      </c>
      <c r="E337" s="46" t="inlineStr">
        <is>
          <t>Oui</t>
        </is>
      </c>
    </row>
    <row r="338">
      <c r="A338" s="42" t="n">
        <v>66</v>
      </c>
      <c r="B338" s="28" t="inlineStr">
        <is>
          <t>Compta prest déc 2021</t>
        </is>
      </c>
      <c r="C338" s="43" t="n">
        <v>401856666</v>
      </c>
      <c r="D338" s="28" t="inlineStr">
        <is>
          <t>401 856 666 FCFA</t>
        </is>
      </c>
      <c r="E338" s="44" t="inlineStr">
        <is>
          <t>Oui</t>
        </is>
      </c>
    </row>
    <row r="339">
      <c r="A339" s="42" t="n">
        <v>66</v>
      </c>
      <c r="B339" s="30" t="inlineStr">
        <is>
          <t>Compta S/C déc 2021</t>
        </is>
      </c>
      <c r="C339" s="45" t="n">
        <v>0.5541895769494102</v>
      </c>
      <c r="D339" s="30" t="inlineStr">
        <is>
          <t>55,42 %</t>
        </is>
      </c>
      <c r="E339" s="46" t="inlineStr">
        <is>
          <t>Oui</t>
        </is>
      </c>
    </row>
    <row r="340">
      <c r="A340" s="42" t="n">
        <v>66</v>
      </c>
      <c r="B340" s="28" t="inlineStr">
        <is>
          <t>FPPN cot déc 2022</t>
        </is>
      </c>
      <c r="C340" s="43" t="n">
        <v>763338861</v>
      </c>
      <c r="D340" s="28" t="inlineStr">
        <is>
          <t>763 338 861 FCFA</t>
        </is>
      </c>
      <c r="E340" s="44" t="inlineStr">
        <is>
          <t>Oui</t>
        </is>
      </c>
    </row>
    <row r="341">
      <c r="A341" s="42" t="n">
        <v>66</v>
      </c>
      <c r="B341" s="30" t="inlineStr">
        <is>
          <t>FPPN sin déc 2022</t>
        </is>
      </c>
      <c r="C341" s="45" t="n">
        <v>116090000</v>
      </c>
      <c r="D341" s="30" t="inlineStr">
        <is>
          <t>116 090 000 FCFA</t>
        </is>
      </c>
      <c r="E341" s="46" t="inlineStr">
        <is>
          <t>Oui</t>
        </is>
      </c>
    </row>
    <row r="342">
      <c r="A342" s="42" t="n">
        <v>66</v>
      </c>
      <c r="B342" s="28" t="inlineStr">
        <is>
          <t>FPPN S/P 2022</t>
        </is>
      </c>
      <c r="C342" s="43" t="n">
        <v>0.1520818681337907</v>
      </c>
      <c r="D342" s="28" t="inlineStr">
        <is>
          <t>15,21 %</t>
        </is>
      </c>
      <c r="E342" s="44" t="inlineStr">
        <is>
          <t>Oui</t>
        </is>
      </c>
    </row>
    <row r="343">
      <c r="A343" s="42" t="n">
        <v>66</v>
      </c>
      <c r="B343" s="30" t="inlineStr">
        <is>
          <t>Compta cot déc 2022</t>
        </is>
      </c>
      <c r="C343" s="45" t="n">
        <v>763338861</v>
      </c>
      <c r="D343" s="30" t="inlineStr">
        <is>
          <t>763 338 861 FCFA</t>
        </is>
      </c>
      <c r="E343" s="46" t="inlineStr">
        <is>
          <t>Oui</t>
        </is>
      </c>
    </row>
    <row r="344">
      <c r="A344" s="42" t="n">
        <v>66</v>
      </c>
      <c r="B344" s="28" t="inlineStr">
        <is>
          <t>Compta prest déc 2022</t>
        </is>
      </c>
      <c r="C344" s="43" t="n">
        <v>116090000</v>
      </c>
      <c r="D344" s="28" t="inlineStr">
        <is>
          <t>116 090 000 FCFA</t>
        </is>
      </c>
      <c r="E344" s="44" t="inlineStr">
        <is>
          <t>Oui</t>
        </is>
      </c>
    </row>
    <row r="345">
      <c r="A345" s="42" t="n">
        <v>66</v>
      </c>
      <c r="B345" s="30" t="inlineStr">
        <is>
          <t>Compta S/C déc 2022</t>
        </is>
      </c>
      <c r="C345" s="45" t="n">
        <v>0.1520818681337907</v>
      </c>
      <c r="D345" s="30" t="inlineStr">
        <is>
          <t>15,21 %</t>
        </is>
      </c>
      <c r="E345" s="46" t="inlineStr">
        <is>
          <t>Oui</t>
        </is>
      </c>
    </row>
    <row r="346">
      <c r="A346" s="42" t="n">
        <v>66</v>
      </c>
      <c r="B346" s="28" t="inlineStr">
        <is>
          <t>FPPN cot déc 2023</t>
        </is>
      </c>
      <c r="C346" s="43" t="n">
        <v>829647591</v>
      </c>
      <c r="D346" s="28" t="inlineStr">
        <is>
          <t>829 647 591 FCFA</t>
        </is>
      </c>
      <c r="E346" s="44" t="inlineStr">
        <is>
          <t>Oui</t>
        </is>
      </c>
    </row>
    <row r="347">
      <c r="A347" s="42" t="n">
        <v>66</v>
      </c>
      <c r="B347" s="30" t="inlineStr">
        <is>
          <t>FPPN sin déc 2023</t>
        </is>
      </c>
      <c r="C347" s="45" t="n">
        <v>141490000</v>
      </c>
      <c r="D347" s="30" t="inlineStr">
        <is>
          <t>141 490 000 FCFA</t>
        </is>
      </c>
      <c r="E347" s="46" t="inlineStr">
        <is>
          <t>Oui</t>
        </is>
      </c>
    </row>
    <row r="348">
      <c r="A348" s="42" t="n">
        <v>66</v>
      </c>
      <c r="B348" s="28" t="inlineStr">
        <is>
          <t>FPPN S/P 2023</t>
        </is>
      </c>
      <c r="C348" s="43" t="n">
        <v>0.1705422899251207</v>
      </c>
      <c r="D348" s="28" t="inlineStr">
        <is>
          <t>17,05 %</t>
        </is>
      </c>
      <c r="E348" s="44" t="inlineStr">
        <is>
          <t>Oui</t>
        </is>
      </c>
    </row>
    <row r="349">
      <c r="A349" s="42" t="n">
        <v>66</v>
      </c>
      <c r="B349" s="30" t="inlineStr">
        <is>
          <t>Compta cot déc 2023</t>
        </is>
      </c>
      <c r="C349" s="45" t="n">
        <v>829647591</v>
      </c>
      <c r="D349" s="30" t="inlineStr">
        <is>
          <t>829 647 591 FCFA</t>
        </is>
      </c>
      <c r="E349" s="46" t="inlineStr">
        <is>
          <t>Oui</t>
        </is>
      </c>
    </row>
    <row r="350">
      <c r="A350" s="42" t="n">
        <v>66</v>
      </c>
      <c r="B350" s="28" t="inlineStr">
        <is>
          <t>Compta prest déc 2023</t>
        </is>
      </c>
      <c r="C350" s="43" t="n">
        <v>141490000</v>
      </c>
      <c r="D350" s="28" t="inlineStr">
        <is>
          <t>141 490 000 FCFA</t>
        </is>
      </c>
      <c r="E350" s="44" t="inlineStr">
        <is>
          <t>Oui</t>
        </is>
      </c>
    </row>
    <row r="351">
      <c r="A351" s="42" t="n">
        <v>66</v>
      </c>
      <c r="B351" s="30" t="inlineStr">
        <is>
          <t>Compta S/C déc 2023</t>
        </is>
      </c>
      <c r="C351" s="45" t="n">
        <v>0.1705422899251207</v>
      </c>
      <c r="D351" s="30" t="inlineStr">
        <is>
          <t>17,05 %</t>
        </is>
      </c>
      <c r="E351" s="46" t="inlineStr">
        <is>
          <t>Oui</t>
        </is>
      </c>
    </row>
    <row r="352">
      <c r="A352" s="42" t="n">
        <v>66</v>
      </c>
      <c r="B352" s="28" t="inlineStr">
        <is>
          <t>FPPN cot déc 2024</t>
        </is>
      </c>
      <c r="C352" s="43" t="n">
        <v>934555069</v>
      </c>
      <c r="D352" s="28" t="inlineStr">
        <is>
          <t>934 555 069 FCFA</t>
        </is>
      </c>
      <c r="E352" s="44" t="inlineStr">
        <is>
          <t>Oui</t>
        </is>
      </c>
    </row>
    <row r="353">
      <c r="A353" s="42" t="n">
        <v>66</v>
      </c>
      <c r="B353" s="30" t="inlineStr">
        <is>
          <t>FPPN sin déc 2024</t>
        </is>
      </c>
      <c r="C353" s="45" t="n">
        <v>203801664</v>
      </c>
      <c r="D353" s="30" t="inlineStr">
        <is>
          <t>203 801 664 FCFA</t>
        </is>
      </c>
      <c r="E353" s="46" t="inlineStr">
        <is>
          <t>Oui</t>
        </is>
      </c>
    </row>
    <row r="354">
      <c r="A354" s="42" t="n">
        <v>66</v>
      </c>
      <c r="B354" s="28" t="inlineStr">
        <is>
          <t>FPPN S/P 2024</t>
        </is>
      </c>
      <c r="C354" s="43" t="n">
        <v>0.218073467000798</v>
      </c>
      <c r="D354" s="28" t="inlineStr">
        <is>
          <t>21,81 %</t>
        </is>
      </c>
      <c r="E354" s="44" t="inlineStr">
        <is>
          <t>Oui</t>
        </is>
      </c>
    </row>
    <row r="355">
      <c r="A355" s="42" t="n">
        <v>66</v>
      </c>
      <c r="B355" s="30" t="inlineStr">
        <is>
          <t>Compta cot déc 2024</t>
        </is>
      </c>
      <c r="C355" s="45" t="n">
        <v>934555069</v>
      </c>
      <c r="D355" s="30" t="inlineStr">
        <is>
          <t>934 555 069 FCFA</t>
        </is>
      </c>
      <c r="E355" s="46" t="inlineStr">
        <is>
          <t>Oui</t>
        </is>
      </c>
    </row>
    <row r="356">
      <c r="A356" s="42" t="n">
        <v>66</v>
      </c>
      <c r="B356" s="28" t="inlineStr">
        <is>
          <t>Compta prest déc 2024</t>
        </is>
      </c>
      <c r="C356" s="43" t="n">
        <v>203801664</v>
      </c>
      <c r="D356" s="28" t="inlineStr">
        <is>
          <t>203 801 664 FCFA</t>
        </is>
      </c>
      <c r="E356" s="44" t="inlineStr">
        <is>
          <t>Oui</t>
        </is>
      </c>
    </row>
    <row r="357">
      <c r="A357" s="42" t="n">
        <v>66</v>
      </c>
      <c r="B357" s="30" t="inlineStr">
        <is>
          <t>Compta S/C déc 2024</t>
        </is>
      </c>
      <c r="C357" s="45" t="n">
        <v>0.218073467000798</v>
      </c>
      <c r="D357" s="30" t="inlineStr">
        <is>
          <t>21,81 %</t>
        </is>
      </c>
      <c r="E357" s="46" t="inlineStr">
        <is>
          <t>Oui</t>
        </is>
      </c>
    </row>
    <row r="358">
      <c r="A358" s="42" t="n">
        <v>66</v>
      </c>
      <c r="B358" s="28" t="inlineStr">
        <is>
          <t>FPPN cot déc 2025</t>
        </is>
      </c>
      <c r="C358" s="43" t="n">
        <v>1008270692</v>
      </c>
      <c r="D358" s="28" t="inlineStr">
        <is>
          <t>1 008 270 692 FCFA</t>
        </is>
      </c>
      <c r="E358" s="44" t="inlineStr">
        <is>
          <t>Oui</t>
        </is>
      </c>
    </row>
    <row r="359">
      <c r="A359" s="42" t="n">
        <v>66</v>
      </c>
      <c r="B359" s="30" t="inlineStr">
        <is>
          <t>FPPN sin déc 2025</t>
        </is>
      </c>
      <c r="C359" s="45" t="n">
        <v>193136666</v>
      </c>
      <c r="D359" s="30" t="inlineStr">
        <is>
          <t>193 136 666 FCFA</t>
        </is>
      </c>
      <c r="E359" s="46" t="inlineStr">
        <is>
          <t>Oui</t>
        </is>
      </c>
    </row>
    <row r="360">
      <c r="A360" s="42" t="n">
        <v>66</v>
      </c>
      <c r="B360" s="28" t="inlineStr">
        <is>
          <t>FPPN S/P 2025</t>
        </is>
      </c>
      <c r="C360" s="43" t="n">
        <v>0.1915523951379517</v>
      </c>
      <c r="D360" s="28" t="inlineStr">
        <is>
          <t>19,16 %</t>
        </is>
      </c>
      <c r="E360" s="44" t="inlineStr">
        <is>
          <t>Oui</t>
        </is>
      </c>
    </row>
    <row r="361">
      <c r="A361" s="42" t="n">
        <v>66</v>
      </c>
      <c r="B361" s="30" t="inlineStr">
        <is>
          <t>Compta cot déc 2025</t>
        </is>
      </c>
      <c r="C361" s="45" t="n">
        <v>1008270692</v>
      </c>
      <c r="D361" s="30" t="inlineStr">
        <is>
          <t>1 008 270 692 FCFA</t>
        </is>
      </c>
      <c r="E361" s="46" t="inlineStr">
        <is>
          <t>Oui</t>
        </is>
      </c>
    </row>
    <row r="362">
      <c r="A362" s="42" t="n">
        <v>66</v>
      </c>
      <c r="B362" s="28" t="inlineStr">
        <is>
          <t>Compta prest déc 2025</t>
        </is>
      </c>
      <c r="C362" s="43" t="n">
        <v>193136666</v>
      </c>
      <c r="D362" s="28" t="inlineStr">
        <is>
          <t>193 136 666 FCFA</t>
        </is>
      </c>
      <c r="E362" s="44" t="inlineStr">
        <is>
          <t>Oui</t>
        </is>
      </c>
    </row>
    <row r="363">
      <c r="A363" s="42" t="n">
        <v>66</v>
      </c>
      <c r="B363" s="30" t="inlineStr">
        <is>
          <t>Compta S/C déc 2025</t>
        </is>
      </c>
      <c r="C363" s="45" t="n">
        <v>0.1915523951379517</v>
      </c>
      <c r="D363" s="30" t="inlineStr">
        <is>
          <t>19,16 %</t>
        </is>
      </c>
      <c r="E363" s="46" t="inlineStr">
        <is>
          <t>Oui</t>
        </is>
      </c>
    </row>
    <row r="364">
      <c r="A364" s="42" t="n">
        <v>66</v>
      </c>
      <c r="B364" s="28" t="inlineStr">
        <is>
          <t>FPPN sin 2021 (t)</t>
        </is>
      </c>
      <c r="C364" s="43" t="n">
        <v>156020000</v>
      </c>
      <c r="D364" s="28" t="inlineStr">
        <is>
          <t>156 020 000 FCFA</t>
        </is>
      </c>
      <c r="E364" s="44" t="inlineStr">
        <is>
          <t>Oui</t>
        </is>
      </c>
    </row>
    <row r="365">
      <c r="A365" s="42" t="n">
        <v>66</v>
      </c>
      <c r="B365" s="30" t="inlineStr">
        <is>
          <t>Compta prest 2021 (t)</t>
        </is>
      </c>
      <c r="C365" s="45" t="n">
        <v>401856666</v>
      </c>
      <c r="D365" s="30" t="inlineStr">
        <is>
          <t>401 856 666 FCFA</t>
        </is>
      </c>
      <c r="E365" s="46" t="inlineStr">
        <is>
          <t>Oui</t>
        </is>
      </c>
    </row>
    <row r="366">
      <c r="A366" s="42" t="n">
        <v>67</v>
      </c>
      <c r="B366" s="28" t="inlineStr">
        <is>
          <t>Décès adh 2025</t>
        </is>
      </c>
      <c r="C366" s="43" t="n">
        <v>99</v>
      </c>
      <c r="D366" s="28" t="inlineStr">
        <is>
          <t>99</t>
        </is>
      </c>
      <c r="E366" s="44" t="inlineStr">
        <is>
          <t>Oui</t>
        </is>
      </c>
    </row>
    <row r="367">
      <c r="A367" s="42" t="n">
        <v>67</v>
      </c>
      <c r="B367" s="30" t="inlineStr">
        <is>
          <t>Adh 2025</t>
        </is>
      </c>
      <c r="C367" s="45" t="n">
        <v>31678</v>
      </c>
      <c r="D367" s="30" t="inlineStr">
        <is>
          <t>31 678</t>
        </is>
      </c>
      <c r="E367" s="46" t="inlineStr">
        <is>
          <t>Oui</t>
        </is>
      </c>
    </row>
    <row r="368">
      <c r="A368" s="42" t="n">
        <v>67</v>
      </c>
      <c r="B368" s="28" t="inlineStr">
        <is>
          <t>Taux brut 2025</t>
        </is>
      </c>
      <c r="C368" s="43" t="n">
        <v>3.125197297809205</v>
      </c>
      <c r="D368" s="28" t="inlineStr">
        <is>
          <t>3,13</t>
        </is>
      </c>
      <c r="E368" s="44" t="inlineStr">
        <is>
          <t>Oui</t>
        </is>
      </c>
    </row>
    <row r="369">
      <c r="A369" s="42" t="n">
        <v>67</v>
      </c>
      <c r="B369" s="30" t="inlineStr">
        <is>
          <t>Adh 2015</t>
        </is>
      </c>
      <c r="C369" s="45" t="n">
        <v>16518.08333333333</v>
      </c>
      <c r="D369" s="30" t="inlineStr">
        <is>
          <t>16 518</t>
        </is>
      </c>
      <c r="E369" s="46" t="inlineStr">
        <is>
          <t>Oui</t>
        </is>
      </c>
    </row>
    <row r="370">
      <c r="A370" s="42" t="n">
        <v>67</v>
      </c>
      <c r="B370" s="28" t="inlineStr">
        <is>
          <t>Déc adh 2015</t>
        </is>
      </c>
      <c r="C370" s="43" t="n">
        <v>96</v>
      </c>
      <c r="D370" s="28" t="inlineStr">
        <is>
          <t>96</t>
        </is>
      </c>
      <c r="E370" s="44" t="inlineStr">
        <is>
          <t>Oui</t>
        </is>
      </c>
    </row>
    <row r="371">
      <c r="A371" s="42" t="n">
        <v>67</v>
      </c>
      <c r="B371" s="30" t="inlineStr">
        <is>
          <t>Déc conj 2015</t>
        </is>
      </c>
      <c r="C371" s="45" t="n">
        <v>24</v>
      </c>
      <c r="D371" s="30" t="inlineStr">
        <is>
          <t>24</t>
        </is>
      </c>
      <c r="E371" s="46" t="inlineStr">
        <is>
          <t>Oui</t>
        </is>
      </c>
    </row>
    <row r="372">
      <c r="A372" s="42" t="n">
        <v>67</v>
      </c>
      <c r="B372" s="28" t="inlineStr">
        <is>
          <t>Déc enf 2015</t>
        </is>
      </c>
      <c r="C372" s="43" t="n">
        <v>12</v>
      </c>
      <c r="D372" s="28" t="inlineStr">
        <is>
          <t>12</t>
        </is>
      </c>
      <c r="E372" s="44" t="inlineStr">
        <is>
          <t>Oui</t>
        </is>
      </c>
    </row>
    <row r="373">
      <c r="A373" s="42" t="n">
        <v>67</v>
      </c>
      <c r="B373" s="30" t="inlineStr">
        <is>
          <t>Taux brut 2015</t>
        </is>
      </c>
      <c r="C373" s="45" t="n">
        <v>5.811812306714359</v>
      </c>
      <c r="D373" s="30" t="inlineStr">
        <is>
          <t>5,81</t>
        </is>
      </c>
      <c r="E373" s="46" t="inlineStr">
        <is>
          <t>Oui</t>
        </is>
      </c>
    </row>
    <row r="374">
      <c r="A374" s="42" t="n">
        <v>67</v>
      </c>
      <c r="B374" s="28" t="inlineStr">
        <is>
          <t>Adh 2016</t>
        </is>
      </c>
      <c r="C374" s="43" t="n">
        <v>17164.16666666667</v>
      </c>
      <c r="D374" s="28" t="inlineStr">
        <is>
          <t>17 164</t>
        </is>
      </c>
      <c r="E374" s="44" t="inlineStr">
        <is>
          <t>Oui</t>
        </is>
      </c>
    </row>
    <row r="375">
      <c r="A375" s="42" t="n">
        <v>67</v>
      </c>
      <c r="B375" s="30" t="inlineStr">
        <is>
          <t>Déc adh 2016</t>
        </is>
      </c>
      <c r="C375" s="45" t="n">
        <v>76</v>
      </c>
      <c r="D375" s="30" t="inlineStr">
        <is>
          <t>76</t>
        </is>
      </c>
      <c r="E375" s="46" t="inlineStr">
        <is>
          <t>Oui</t>
        </is>
      </c>
    </row>
    <row r="376">
      <c r="A376" s="42" t="n">
        <v>67</v>
      </c>
      <c r="B376" s="28" t="inlineStr">
        <is>
          <t>Déc conj 2016</t>
        </is>
      </c>
      <c r="C376" s="43" t="n">
        <v>11</v>
      </c>
      <c r="D376" s="28" t="inlineStr">
        <is>
          <t>11</t>
        </is>
      </c>
      <c r="E376" s="44" t="inlineStr">
        <is>
          <t>Oui</t>
        </is>
      </c>
    </row>
    <row r="377">
      <c r="A377" s="42" t="n">
        <v>67</v>
      </c>
      <c r="B377" s="30" t="inlineStr">
        <is>
          <t>Déc enf 2016</t>
        </is>
      </c>
      <c r="C377" s="45" t="n">
        <v>3</v>
      </c>
      <c r="D377" s="30" t="inlineStr">
        <is>
          <t>3</t>
        </is>
      </c>
      <c r="E377" s="46" t="inlineStr">
        <is>
          <t>Oui</t>
        </is>
      </c>
    </row>
    <row r="378">
      <c r="A378" s="42" t="n">
        <v>67</v>
      </c>
      <c r="B378" s="28" t="inlineStr">
        <is>
          <t>Taux brut 2016</t>
        </is>
      </c>
      <c r="C378" s="43" t="n">
        <v>4.427829295528475</v>
      </c>
      <c r="D378" s="28" t="inlineStr">
        <is>
          <t>4,43</t>
        </is>
      </c>
      <c r="E378" s="44" t="inlineStr">
        <is>
          <t>Oui</t>
        </is>
      </c>
    </row>
    <row r="379">
      <c r="A379" s="42" t="n">
        <v>67</v>
      </c>
      <c r="B379" s="30" t="inlineStr">
        <is>
          <t>Adh 2017</t>
        </is>
      </c>
      <c r="C379" s="45" t="n">
        <v>17164.16666666667</v>
      </c>
      <c r="D379" s="30" t="inlineStr">
        <is>
          <t>17 164</t>
        </is>
      </c>
      <c r="E379" s="46" t="inlineStr">
        <is>
          <t>Oui</t>
        </is>
      </c>
    </row>
    <row r="380">
      <c r="A380" s="42" t="n">
        <v>67</v>
      </c>
      <c r="B380" s="28" t="inlineStr">
        <is>
          <t>Déc adh 2017</t>
        </is>
      </c>
      <c r="C380" s="43" t="n">
        <v>99</v>
      </c>
      <c r="D380" s="28" t="inlineStr">
        <is>
          <t>99</t>
        </is>
      </c>
      <c r="E380" s="44" t="inlineStr">
        <is>
          <t>Oui</t>
        </is>
      </c>
    </row>
    <row r="381">
      <c r="A381" s="42" t="n">
        <v>67</v>
      </c>
      <c r="B381" s="30" t="inlineStr">
        <is>
          <t>Déc conj 2017</t>
        </is>
      </c>
      <c r="C381" s="45" t="n">
        <v>9</v>
      </c>
      <c r="D381" s="30" t="inlineStr">
        <is>
          <t>9</t>
        </is>
      </c>
      <c r="E381" s="46" t="inlineStr">
        <is>
          <t>Oui</t>
        </is>
      </c>
    </row>
    <row r="382">
      <c r="A382" s="42" t="n">
        <v>67</v>
      </c>
      <c r="B382" s="28" t="inlineStr">
        <is>
          <t>Déc enf 2017</t>
        </is>
      </c>
      <c r="C382" s="43" t="n">
        <v>5</v>
      </c>
      <c r="D382" s="28" t="inlineStr">
        <is>
          <t>5</t>
        </is>
      </c>
      <c r="E382" s="44" t="inlineStr">
        <is>
          <t>Oui</t>
        </is>
      </c>
    </row>
    <row r="383">
      <c r="A383" s="42" t="n">
        <v>67</v>
      </c>
      <c r="B383" s="30" t="inlineStr">
        <is>
          <t>Taux brut 2017</t>
        </is>
      </c>
      <c r="C383" s="45" t="n">
        <v>5.767830266543671</v>
      </c>
      <c r="D383" s="30" t="inlineStr">
        <is>
          <t>5,77</t>
        </is>
      </c>
      <c r="E383" s="46" t="inlineStr">
        <is>
          <t>Oui</t>
        </is>
      </c>
    </row>
    <row r="384">
      <c r="A384" s="42" t="n">
        <v>67</v>
      </c>
      <c r="B384" s="28" t="inlineStr">
        <is>
          <t>Adh 2018</t>
        </is>
      </c>
      <c r="C384" s="43" t="n">
        <v>17164.16666666667</v>
      </c>
      <c r="D384" s="28" t="inlineStr">
        <is>
          <t>17 164</t>
        </is>
      </c>
      <c r="E384" s="44" t="inlineStr">
        <is>
          <t>Oui</t>
        </is>
      </c>
    </row>
    <row r="385">
      <c r="A385" s="42" t="n">
        <v>67</v>
      </c>
      <c r="B385" s="30" t="inlineStr">
        <is>
          <t>Déc adh 2018</t>
        </is>
      </c>
      <c r="C385" s="45" t="n">
        <v>112</v>
      </c>
      <c r="D385" s="30" t="inlineStr">
        <is>
          <t>112</t>
        </is>
      </c>
      <c r="E385" s="46" t="inlineStr">
        <is>
          <t>Oui</t>
        </is>
      </c>
    </row>
    <row r="386">
      <c r="A386" s="42" t="n">
        <v>67</v>
      </c>
      <c r="B386" s="28" t="inlineStr">
        <is>
          <t>Déc conj 2018</t>
        </is>
      </c>
      <c r="C386" s="43" t="n">
        <v>11</v>
      </c>
      <c r="D386" s="28" t="inlineStr">
        <is>
          <t>11</t>
        </is>
      </c>
      <c r="E386" s="44" t="inlineStr">
        <is>
          <t>Oui</t>
        </is>
      </c>
    </row>
    <row r="387">
      <c r="A387" s="42" t="n">
        <v>67</v>
      </c>
      <c r="B387" s="30" t="inlineStr">
        <is>
          <t>Déc enf 2018</t>
        </is>
      </c>
      <c r="C387" s="45" t="n">
        <v>6</v>
      </c>
      <c r="D387" s="30" t="inlineStr">
        <is>
          <t>6</t>
        </is>
      </c>
      <c r="E387" s="46" t="inlineStr">
        <is>
          <t>Oui</t>
        </is>
      </c>
    </row>
    <row r="388">
      <c r="A388" s="42" t="n">
        <v>67</v>
      </c>
      <c r="B388" s="28" t="inlineStr">
        <is>
          <t>Taux brut 2018</t>
        </is>
      </c>
      <c r="C388" s="43" t="n">
        <v>6.525222119726173</v>
      </c>
      <c r="D388" s="28" t="inlineStr">
        <is>
          <t>6,53</t>
        </is>
      </c>
      <c r="E388" s="44" t="inlineStr">
        <is>
          <t>Oui</t>
        </is>
      </c>
    </row>
    <row r="389">
      <c r="A389" s="42" t="n">
        <v>67</v>
      </c>
      <c r="B389" s="30" t="inlineStr">
        <is>
          <t>Adh 2019</t>
        </is>
      </c>
      <c r="C389" s="45" t="n">
        <v>17824</v>
      </c>
      <c r="D389" s="30" t="inlineStr">
        <is>
          <t>17 824</t>
        </is>
      </c>
      <c r="E389" s="46" t="inlineStr">
        <is>
          <t>Oui</t>
        </is>
      </c>
    </row>
    <row r="390">
      <c r="A390" s="42" t="n">
        <v>67</v>
      </c>
      <c r="B390" s="28" t="inlineStr">
        <is>
          <t>Déc adh 2019</t>
        </is>
      </c>
      <c r="C390" s="43" t="n">
        <v>78</v>
      </c>
      <c r="D390" s="28" t="inlineStr">
        <is>
          <t>78</t>
        </is>
      </c>
      <c r="E390" s="44" t="inlineStr">
        <is>
          <t>Oui</t>
        </is>
      </c>
    </row>
    <row r="391">
      <c r="A391" s="42" t="n">
        <v>67</v>
      </c>
      <c r="B391" s="30" t="inlineStr">
        <is>
          <t>Déc conj 2019</t>
        </is>
      </c>
      <c r="C391" s="45" t="n">
        <v>19</v>
      </c>
      <c r="D391" s="30" t="inlineStr">
        <is>
          <t>19</t>
        </is>
      </c>
      <c r="E391" s="46" t="inlineStr">
        <is>
          <t>Oui</t>
        </is>
      </c>
    </row>
    <row r="392">
      <c r="A392" s="42" t="n">
        <v>67</v>
      </c>
      <c r="B392" s="28" t="inlineStr">
        <is>
          <t>Déc enf 2019</t>
        </is>
      </c>
      <c r="C392" s="43" t="n">
        <v>7</v>
      </c>
      <c r="D392" s="28" t="inlineStr">
        <is>
          <t>7</t>
        </is>
      </c>
      <c r="E392" s="44" t="inlineStr">
        <is>
          <t>Oui</t>
        </is>
      </c>
    </row>
    <row r="393">
      <c r="A393" s="42" t="n">
        <v>67</v>
      </c>
      <c r="B393" s="30" t="inlineStr">
        <is>
          <t>Taux brut 2019</t>
        </is>
      </c>
      <c r="C393" s="45" t="n">
        <v>4.376122082585279</v>
      </c>
      <c r="D393" s="30" t="inlineStr">
        <is>
          <t>4,38</t>
        </is>
      </c>
      <c r="E393" s="46" t="inlineStr">
        <is>
          <t>Oui</t>
        </is>
      </c>
    </row>
    <row r="394">
      <c r="A394" s="42" t="n">
        <v>67</v>
      </c>
      <c r="B394" s="28" t="inlineStr">
        <is>
          <t>Adh 2020</t>
        </is>
      </c>
      <c r="C394" s="43" t="n">
        <v>18653.83333333333</v>
      </c>
      <c r="D394" s="28" t="inlineStr">
        <is>
          <t>18 654</t>
        </is>
      </c>
      <c r="E394" s="44" t="inlineStr">
        <is>
          <t>Oui</t>
        </is>
      </c>
    </row>
    <row r="395">
      <c r="A395" s="42" t="n">
        <v>67</v>
      </c>
      <c r="B395" s="30" t="inlineStr">
        <is>
          <t>Déc adh 2020</t>
        </is>
      </c>
      <c r="C395" s="45" t="n">
        <v>108</v>
      </c>
      <c r="D395" s="30" t="inlineStr">
        <is>
          <t>108</t>
        </is>
      </c>
      <c r="E395" s="46" t="inlineStr">
        <is>
          <t>Oui</t>
        </is>
      </c>
    </row>
    <row r="396">
      <c r="A396" s="42" t="n">
        <v>67</v>
      </c>
      <c r="B396" s="28" t="inlineStr">
        <is>
          <t>Déc conj 2020</t>
        </is>
      </c>
      <c r="C396" s="43" t="n">
        <v>13</v>
      </c>
      <c r="D396" s="28" t="inlineStr">
        <is>
          <t>13</t>
        </is>
      </c>
      <c r="E396" s="44" t="inlineStr">
        <is>
          <t>Oui</t>
        </is>
      </c>
    </row>
    <row r="397">
      <c r="A397" s="42" t="n">
        <v>67</v>
      </c>
      <c r="B397" s="30" t="inlineStr">
        <is>
          <t>Déc enf 2020</t>
        </is>
      </c>
      <c r="C397" s="45" t="n">
        <v>4</v>
      </c>
      <c r="D397" s="30" t="inlineStr">
        <is>
          <t>4</t>
        </is>
      </c>
      <c r="E397" s="46" t="inlineStr">
        <is>
          <t>Oui</t>
        </is>
      </c>
    </row>
    <row r="398">
      <c r="A398" s="42" t="n">
        <v>67</v>
      </c>
      <c r="B398" s="28" t="inlineStr">
        <is>
          <t>Taux brut 2020</t>
        </is>
      </c>
      <c r="C398" s="43" t="n">
        <v>5.789694700821101</v>
      </c>
      <c r="D398" s="28" t="inlineStr">
        <is>
          <t>5,79</t>
        </is>
      </c>
      <c r="E398" s="44" t="inlineStr">
        <is>
          <t>Oui</t>
        </is>
      </c>
    </row>
    <row r="399">
      <c r="A399" s="42" t="n">
        <v>67</v>
      </c>
      <c r="B399" s="30" t="inlineStr">
        <is>
          <t>Adh 2021</t>
        </is>
      </c>
      <c r="C399" s="45" t="n">
        <v>19846</v>
      </c>
      <c r="D399" s="30" t="inlineStr">
        <is>
          <t>19 846</t>
        </is>
      </c>
      <c r="E399" s="46" t="inlineStr">
        <is>
          <t>Oui</t>
        </is>
      </c>
    </row>
    <row r="400">
      <c r="A400" s="42" t="n">
        <v>67</v>
      </c>
      <c r="B400" s="28" t="inlineStr">
        <is>
          <t>Déc adh 2021</t>
        </is>
      </c>
      <c r="C400" s="43" t="n">
        <v>101</v>
      </c>
      <c r="D400" s="28" t="inlineStr">
        <is>
          <t>101</t>
        </is>
      </c>
      <c r="E400" s="44" t="inlineStr">
        <is>
          <t>Oui</t>
        </is>
      </c>
    </row>
    <row r="401">
      <c r="A401" s="42" t="n">
        <v>67</v>
      </c>
      <c r="B401" s="30" t="inlineStr">
        <is>
          <t>Déc conj 2021</t>
        </is>
      </c>
      <c r="C401" s="45" t="n">
        <v>14</v>
      </c>
      <c r="D401" s="30" t="inlineStr">
        <is>
          <t>14</t>
        </is>
      </c>
      <c r="E401" s="46" t="inlineStr">
        <is>
          <t>Oui</t>
        </is>
      </c>
    </row>
    <row r="402">
      <c r="A402" s="42" t="n">
        <v>67</v>
      </c>
      <c r="B402" s="28" t="inlineStr">
        <is>
          <t>Déc enf 2021</t>
        </is>
      </c>
      <c r="C402" s="43" t="n">
        <v>1</v>
      </c>
      <c r="D402" s="28" t="inlineStr">
        <is>
          <t>1</t>
        </is>
      </c>
      <c r="E402" s="44" t="inlineStr">
        <is>
          <t>Oui</t>
        </is>
      </c>
    </row>
    <row r="403">
      <c r="A403" s="42" t="n">
        <v>67</v>
      </c>
      <c r="B403" s="30" t="inlineStr">
        <is>
          <t>Taux brut 2021</t>
        </is>
      </c>
      <c r="C403" s="45" t="n">
        <v>5.089186737881689</v>
      </c>
      <c r="D403" s="30" t="inlineStr">
        <is>
          <t>5,09</t>
        </is>
      </c>
      <c r="E403" s="46" t="inlineStr">
        <is>
          <t>Oui</t>
        </is>
      </c>
    </row>
    <row r="404">
      <c r="A404" s="42" t="n">
        <v>67</v>
      </c>
      <c r="B404" s="28" t="inlineStr">
        <is>
          <t>Adh 2022</t>
        </is>
      </c>
      <c r="C404" s="43" t="n">
        <v>19846</v>
      </c>
      <c r="D404" s="28" t="inlineStr">
        <is>
          <t>19 846</t>
        </is>
      </c>
      <c r="E404" s="44" t="inlineStr">
        <is>
          <t>Oui</t>
        </is>
      </c>
    </row>
    <row r="405">
      <c r="A405" s="42" t="n">
        <v>67</v>
      </c>
      <c r="B405" s="30" t="inlineStr">
        <is>
          <t>Déc adh 2022</t>
        </is>
      </c>
      <c r="C405" s="45" t="n">
        <v>76</v>
      </c>
      <c r="D405" s="30" t="inlineStr">
        <is>
          <t>76</t>
        </is>
      </c>
      <c r="E405" s="46" t="inlineStr">
        <is>
          <t>Oui</t>
        </is>
      </c>
    </row>
    <row r="406">
      <c r="A406" s="42" t="n">
        <v>67</v>
      </c>
      <c r="B406" s="28" t="inlineStr">
        <is>
          <t>Déc conj 2022</t>
        </is>
      </c>
      <c r="C406" s="43" t="n">
        <v>8</v>
      </c>
      <c r="D406" s="28" t="inlineStr">
        <is>
          <t>8</t>
        </is>
      </c>
      <c r="E406" s="44" t="inlineStr">
        <is>
          <t>Oui</t>
        </is>
      </c>
    </row>
    <row r="407">
      <c r="A407" s="42" t="n">
        <v>67</v>
      </c>
      <c r="B407" s="30" t="inlineStr">
        <is>
          <t>Déc enf 2022</t>
        </is>
      </c>
      <c r="C407" s="45" t="n">
        <v>4</v>
      </c>
      <c r="D407" s="30" t="inlineStr">
        <is>
          <t>4</t>
        </is>
      </c>
      <c r="E407" s="46" t="inlineStr">
        <is>
          <t>Oui</t>
        </is>
      </c>
    </row>
    <row r="408">
      <c r="A408" s="42" t="n">
        <v>67</v>
      </c>
      <c r="B408" s="28" t="inlineStr">
        <is>
          <t>Taux brut 2022</t>
        </is>
      </c>
      <c r="C408" s="43" t="n">
        <v>3.829487050287211</v>
      </c>
      <c r="D408" s="28" t="inlineStr">
        <is>
          <t>3,83</t>
        </is>
      </c>
      <c r="E408" s="44" t="inlineStr">
        <is>
          <t>Oui</t>
        </is>
      </c>
    </row>
    <row r="409">
      <c r="A409" s="42" t="n">
        <v>67</v>
      </c>
      <c r="B409" s="30" t="inlineStr">
        <is>
          <t>Adh 2023</t>
        </is>
      </c>
      <c r="C409" s="45" t="n">
        <v>23670</v>
      </c>
      <c r="D409" s="30" t="inlineStr">
        <is>
          <t>23 670</t>
        </is>
      </c>
      <c r="E409" s="46" t="inlineStr">
        <is>
          <t>Oui</t>
        </is>
      </c>
    </row>
    <row r="410">
      <c r="A410" s="42" t="n">
        <v>67</v>
      </c>
      <c r="B410" s="28" t="inlineStr">
        <is>
          <t>Déc adh 2023</t>
        </is>
      </c>
      <c r="C410" s="43" t="n">
        <v>94</v>
      </c>
      <c r="D410" s="28" t="inlineStr">
        <is>
          <t>94</t>
        </is>
      </c>
      <c r="E410" s="44" t="inlineStr">
        <is>
          <t>Oui</t>
        </is>
      </c>
    </row>
    <row r="411">
      <c r="A411" s="42" t="n">
        <v>67</v>
      </c>
      <c r="B411" s="30" t="inlineStr">
        <is>
          <t>Déc conj 2023</t>
        </is>
      </c>
      <c r="C411" s="45" t="n">
        <v>9</v>
      </c>
      <c r="D411" s="30" t="inlineStr">
        <is>
          <t>9</t>
        </is>
      </c>
      <c r="E411" s="46" t="inlineStr">
        <is>
          <t>Oui</t>
        </is>
      </c>
    </row>
    <row r="412">
      <c r="A412" s="42" t="n">
        <v>67</v>
      </c>
      <c r="B412" s="28" t="inlineStr">
        <is>
          <t>Déc enf 2023</t>
        </is>
      </c>
      <c r="C412" s="43" t="n">
        <v>3</v>
      </c>
      <c r="D412" s="28" t="inlineStr">
        <is>
          <t>3</t>
        </is>
      </c>
      <c r="E412" s="44" t="inlineStr">
        <is>
          <t>Oui</t>
        </is>
      </c>
    </row>
    <row r="413">
      <c r="A413" s="42" t="n">
        <v>67</v>
      </c>
      <c r="B413" s="30" t="inlineStr">
        <is>
          <t>Taux brut 2023</t>
        </is>
      </c>
      <c r="C413" s="45" t="n">
        <v>3.971271651880017</v>
      </c>
      <c r="D413" s="30" t="inlineStr">
        <is>
          <t>3,97</t>
        </is>
      </c>
      <c r="E413" s="46" t="inlineStr">
        <is>
          <t>Oui</t>
        </is>
      </c>
    </row>
    <row r="414">
      <c r="A414" s="42" t="n">
        <v>67</v>
      </c>
      <c r="B414" s="28" t="inlineStr">
        <is>
          <t>Adh 2024</t>
        </is>
      </c>
      <c r="C414" s="43" t="n">
        <v>27657</v>
      </c>
      <c r="D414" s="28" t="inlineStr">
        <is>
          <t>27 657</t>
        </is>
      </c>
      <c r="E414" s="44" t="inlineStr">
        <is>
          <t>Oui</t>
        </is>
      </c>
    </row>
    <row r="415">
      <c r="A415" s="42" t="n">
        <v>67</v>
      </c>
      <c r="B415" s="30" t="inlineStr">
        <is>
          <t>Déc adh 2024</t>
        </is>
      </c>
      <c r="C415" s="45" t="n">
        <v>125</v>
      </c>
      <c r="D415" s="30" t="inlineStr">
        <is>
          <t>125</t>
        </is>
      </c>
      <c r="E415" s="46" t="inlineStr">
        <is>
          <t>Oui</t>
        </is>
      </c>
    </row>
    <row r="416">
      <c r="A416" s="42" t="n">
        <v>67</v>
      </c>
      <c r="B416" s="28" t="inlineStr">
        <is>
          <t>Déc conj 2024</t>
        </is>
      </c>
      <c r="C416" s="43" t="n">
        <v>9</v>
      </c>
      <c r="D416" s="28" t="inlineStr">
        <is>
          <t>9</t>
        </is>
      </c>
      <c r="E416" s="44" t="inlineStr">
        <is>
          <t>Oui</t>
        </is>
      </c>
    </row>
    <row r="417">
      <c r="A417" s="42" t="n">
        <v>67</v>
      </c>
      <c r="B417" s="30" t="inlineStr">
        <is>
          <t>Déc enf 2024</t>
        </is>
      </c>
      <c r="C417" s="45" t="n">
        <v>0</v>
      </c>
      <c r="D417" s="30" t="inlineStr">
        <is>
          <t>0</t>
        </is>
      </c>
      <c r="E417" s="46" t="inlineStr">
        <is>
          <t>Oui</t>
        </is>
      </c>
    </row>
    <row r="418">
      <c r="A418" s="42" t="n">
        <v>67</v>
      </c>
      <c r="B418" s="28" t="inlineStr">
        <is>
          <t>Taux brut 2024</t>
        </is>
      </c>
      <c r="C418" s="43" t="n">
        <v>4.519651444480602</v>
      </c>
      <c r="D418" s="28" t="inlineStr">
        <is>
          <t>4,52</t>
        </is>
      </c>
      <c r="E418" s="44" t="inlineStr">
        <is>
          <t>Oui</t>
        </is>
      </c>
    </row>
    <row r="419">
      <c r="A419" s="42" t="n">
        <v>67</v>
      </c>
      <c r="B419" s="30" t="inlineStr">
        <is>
          <t>Adh 2025</t>
        </is>
      </c>
      <c r="C419" s="45" t="n">
        <v>31678</v>
      </c>
      <c r="D419" s="30" t="inlineStr">
        <is>
          <t>31 678</t>
        </is>
      </c>
      <c r="E419" s="46" t="inlineStr">
        <is>
          <t>Oui</t>
        </is>
      </c>
    </row>
    <row r="420">
      <c r="A420" s="42" t="n">
        <v>67</v>
      </c>
      <c r="B420" s="28" t="inlineStr">
        <is>
          <t>Déc adh 2025</t>
        </is>
      </c>
      <c r="C420" s="43" t="n">
        <v>99</v>
      </c>
      <c r="D420" s="28" t="inlineStr">
        <is>
          <t>99</t>
        </is>
      </c>
      <c r="E420" s="44" t="inlineStr">
        <is>
          <t>Oui</t>
        </is>
      </c>
    </row>
    <row r="421">
      <c r="A421" s="42" t="n">
        <v>67</v>
      </c>
      <c r="B421" s="30" t="inlineStr">
        <is>
          <t>Déc conj 2025</t>
        </is>
      </c>
      <c r="C421" s="45" t="n">
        <v>6</v>
      </c>
      <c r="D421" s="30" t="inlineStr">
        <is>
          <t>6</t>
        </is>
      </c>
      <c r="E421" s="46" t="inlineStr">
        <is>
          <t>Oui</t>
        </is>
      </c>
    </row>
    <row r="422">
      <c r="A422" s="42" t="n">
        <v>67</v>
      </c>
      <c r="B422" s="28" t="inlineStr">
        <is>
          <t>Déc enf 2025</t>
        </is>
      </c>
      <c r="C422" s="43" t="n">
        <v>4</v>
      </c>
      <c r="D422" s="28" t="inlineStr">
        <is>
          <t>4</t>
        </is>
      </c>
      <c r="E422" s="44" t="inlineStr">
        <is>
          <t>Oui</t>
        </is>
      </c>
    </row>
    <row r="423">
      <c r="A423" s="42" t="n">
        <v>67</v>
      </c>
      <c r="B423" s="30" t="inlineStr">
        <is>
          <t>Taux brut 2025</t>
        </is>
      </c>
      <c r="C423" s="45" t="n">
        <v>3.125197297809205</v>
      </c>
      <c r="D423" s="30" t="inlineStr">
        <is>
          <t>3,13</t>
        </is>
      </c>
      <c r="E423" s="46" t="inlineStr">
        <is>
          <t>Oui</t>
        </is>
      </c>
    </row>
    <row r="424">
      <c r="A424" s="42" t="n">
        <v>67</v>
      </c>
      <c r="B424" s="28" t="inlineStr">
        <is>
          <t>Taux brut min</t>
        </is>
      </c>
      <c r="C424" s="43" t="n">
        <v>3.125197297809205</v>
      </c>
      <c r="D424" s="28" t="inlineStr">
        <is>
          <t>3,13</t>
        </is>
      </c>
      <c r="E424" s="44" t="inlineStr">
        <is>
          <t>Oui</t>
        </is>
      </c>
    </row>
    <row r="425">
      <c r="A425" s="42" t="n">
        <v>67</v>
      </c>
      <c r="B425" s="30" t="inlineStr">
        <is>
          <t>Taux brut max</t>
        </is>
      </c>
      <c r="C425" s="45" t="n">
        <v>5.089186737881689</v>
      </c>
      <c r="D425" s="30" t="inlineStr">
        <is>
          <t>5,09</t>
        </is>
      </c>
      <c r="E425" s="46" t="inlineStr">
        <is>
          <t>Oui</t>
        </is>
      </c>
    </row>
    <row r="426">
      <c r="A426" s="42" t="n">
        <v>67</v>
      </c>
      <c r="B426" s="28" t="inlineStr">
        <is>
          <t>Déc AD 2020</t>
        </is>
      </c>
      <c r="C426" s="43" t="n">
        <v>17</v>
      </c>
      <c r="D426" s="28" t="inlineStr">
        <is>
          <t>17</t>
        </is>
      </c>
      <c r="E426" s="44" t="inlineStr">
        <is>
          <t>Oui</t>
        </is>
      </c>
    </row>
    <row r="427">
      <c r="A427" s="42" t="n">
        <v>67</v>
      </c>
      <c r="B427" s="30" t="inlineStr">
        <is>
          <t>Déc AD 2025</t>
        </is>
      </c>
      <c r="C427" s="45" t="n">
        <v>10</v>
      </c>
      <c r="D427" s="30" t="inlineStr">
        <is>
          <t>10</t>
        </is>
      </c>
      <c r="E427" s="46" t="inlineStr">
        <is>
          <t>Oui</t>
        </is>
      </c>
    </row>
    <row r="428">
      <c r="A428" s="42" t="n">
        <v>69</v>
      </c>
      <c r="B428" s="28" t="inlineStr">
        <is>
          <t>TCAM prest mal</t>
        </is>
      </c>
      <c r="C428" s="43" t="n">
        <v>1.044217861051508</v>
      </c>
      <c r="D428" s="28" t="inlineStr">
        <is>
          <t>104,42 %</t>
        </is>
      </c>
      <c r="E428" s="44" t="inlineStr">
        <is>
          <t>Oui</t>
        </is>
      </c>
    </row>
    <row r="429">
      <c r="A429" s="42" t="n">
        <v>69</v>
      </c>
      <c r="B429" s="30" t="inlineStr">
        <is>
          <t>TCAM cot (cr)</t>
        </is>
      </c>
      <c r="C429" s="45" t="n">
        <v>0.07827263026914344</v>
      </c>
      <c r="D429" s="30" t="inlineStr">
        <is>
          <t>7,83 %</t>
        </is>
      </c>
      <c r="E429" s="46" t="inlineStr">
        <is>
          <t>Oui</t>
        </is>
      </c>
    </row>
    <row r="430">
      <c r="A430" s="42" t="n">
        <v>69</v>
      </c>
      <c r="B430" s="28" t="inlineStr">
        <is>
          <t>Croissance log</t>
        </is>
      </c>
      <c r="C430" s="43" t="n">
        <v>1.212126879529744</v>
      </c>
      <c r="D430" s="28" t="inlineStr">
        <is>
          <t>121,21 %</t>
        </is>
      </c>
      <c r="E430" s="44" t="inlineStr">
        <is>
          <t>Oui</t>
        </is>
      </c>
    </row>
    <row r="431">
      <c r="A431" s="42" t="n">
        <v>69</v>
      </c>
      <c r="B431" s="30" t="inlineStr">
        <is>
          <t>IC bas log</t>
        </is>
      </c>
      <c r="C431" s="45" t="n">
        <v>0.5612229405729341</v>
      </c>
      <c r="D431" s="30" t="inlineStr">
        <is>
          <t>56,12 %</t>
        </is>
      </c>
      <c r="E431" s="46" t="inlineStr">
        <is>
          <t>Oui</t>
        </is>
      </c>
    </row>
    <row r="432">
      <c r="A432" s="42" t="n">
        <v>69</v>
      </c>
      <c r="B432" s="28" t="inlineStr">
        <is>
          <t>IC haut log</t>
        </is>
      </c>
      <c r="C432" s="43" t="n">
        <v>2.134405217836598</v>
      </c>
      <c r="D432" s="28" t="inlineStr">
        <is>
          <t>213,44 %</t>
        </is>
      </c>
      <c r="E432" s="44" t="inlineStr">
        <is>
          <t>Oui</t>
        </is>
      </c>
    </row>
    <row r="433">
      <c r="A433" s="42" t="n">
        <v>69</v>
      </c>
      <c r="B433" s="30" t="inlineStr">
        <is>
          <t>V0 Cotisations maladie et décès</t>
        </is>
      </c>
      <c r="C433" s="45" t="n">
        <v>2344618501</v>
      </c>
      <c r="D433" s="30" t="inlineStr">
        <is>
          <t>2 344 618 501 FCFA</t>
        </is>
      </c>
      <c r="E433" s="46" t="inlineStr">
        <is>
          <t>Oui</t>
        </is>
      </c>
    </row>
    <row r="434">
      <c r="A434" s="42" t="n">
        <v>69</v>
      </c>
      <c r="B434" s="28" t="inlineStr">
        <is>
          <t>V1 Cotisations maladie et décès</t>
        </is>
      </c>
      <c r="C434" s="43" t="n">
        <v>3417551722</v>
      </c>
      <c r="D434" s="28" t="inlineStr">
        <is>
          <t>3 417 551 722 FCFA</t>
        </is>
      </c>
      <c r="E434" s="44" t="inlineStr">
        <is>
          <t>Oui</t>
        </is>
      </c>
    </row>
    <row r="435">
      <c r="A435" s="42" t="n">
        <v>69</v>
      </c>
      <c r="B435" s="30" t="inlineStr">
        <is>
          <t>Mult Cotisations maladie et décès</t>
        </is>
      </c>
      <c r="C435" s="45" t="n">
        <v>1.457615266851466</v>
      </c>
      <c r="D435" s="30" t="inlineStr">
        <is>
          <t>1,46</t>
        </is>
      </c>
      <c r="E435" s="46" t="inlineStr">
        <is>
          <t>Oui</t>
        </is>
      </c>
    </row>
    <row r="436">
      <c r="A436" s="42" t="n">
        <v>69</v>
      </c>
      <c r="B436" s="28" t="inlineStr">
        <is>
          <t>TCAM Cotisations maladie et décès</t>
        </is>
      </c>
      <c r="C436" s="43" t="n">
        <v>0.07827263026914344</v>
      </c>
      <c r="D436" s="28" t="inlineStr">
        <is>
          <t>7,83 %</t>
        </is>
      </c>
      <c r="E436" s="44" t="inlineStr">
        <is>
          <t>Oui</t>
        </is>
      </c>
    </row>
    <row r="437">
      <c r="A437" s="42" t="n">
        <v>69</v>
      </c>
      <c r="B437" s="30" t="inlineStr">
        <is>
          <t>V0 Prestations maladie</t>
        </is>
      </c>
      <c r="C437" s="45" t="n">
        <v>101453171</v>
      </c>
      <c r="D437" s="30" t="inlineStr">
        <is>
          <t>101 453 171 FCFA</t>
        </is>
      </c>
      <c r="E437" s="46" t="inlineStr">
        <is>
          <t>Oui</t>
        </is>
      </c>
    </row>
    <row r="438">
      <c r="A438" s="42" t="n">
        <v>69</v>
      </c>
      <c r="B438" s="28" t="inlineStr">
        <is>
          <t>V1 Prestations maladie</t>
        </is>
      </c>
      <c r="C438" s="43" t="n">
        <v>1771635361</v>
      </c>
      <c r="D438" s="28" t="inlineStr">
        <is>
          <t>1 771 635 361 FCFA</t>
        </is>
      </c>
      <c r="E438" s="44" t="inlineStr">
        <is>
          <t>Oui</t>
        </is>
      </c>
    </row>
    <row r="439">
      <c r="A439" s="42" t="n">
        <v>69</v>
      </c>
      <c r="B439" s="30" t="inlineStr">
        <is>
          <t>Mult Prestations maladie</t>
        </is>
      </c>
      <c r="C439" s="45" t="n">
        <v>17.46259228309384</v>
      </c>
      <c r="D439" s="30" t="inlineStr">
        <is>
          <t>17,46</t>
        </is>
      </c>
      <c r="E439" s="46" t="inlineStr">
        <is>
          <t>Oui</t>
        </is>
      </c>
    </row>
    <row r="440">
      <c r="A440" s="42" t="n">
        <v>69</v>
      </c>
      <c r="B440" s="28" t="inlineStr">
        <is>
          <t>TCAM Prestations maladie</t>
        </is>
      </c>
      <c r="C440" s="43" t="n">
        <v>1.044217861051508</v>
      </c>
      <c r="D440" s="28" t="inlineStr">
        <is>
          <t>104,42 %</t>
        </is>
      </c>
      <c r="E440" s="44" t="inlineStr">
        <is>
          <t>Oui</t>
        </is>
      </c>
    </row>
    <row r="441">
      <c r="A441" s="42" t="n">
        <v>69</v>
      </c>
      <c r="B441" s="30" t="inlineStr">
        <is>
          <t>V0 Épargne PEP et EFC (passif)</t>
        </is>
      </c>
      <c r="C441" s="45" t="n">
        <v>10828205640</v>
      </c>
      <c r="D441" s="30" t="inlineStr">
        <is>
          <t>10 828 205 640 FCFA</t>
        </is>
      </c>
      <c r="E441" s="46" t="inlineStr">
        <is>
          <t>Oui</t>
        </is>
      </c>
    </row>
    <row r="442">
      <c r="A442" s="42" t="n">
        <v>69</v>
      </c>
      <c r="B442" s="28" t="inlineStr">
        <is>
          <t>V1 Épargne PEP et EFC (passif)</t>
        </is>
      </c>
      <c r="C442" s="43" t="n">
        <v>13814066964</v>
      </c>
      <c r="D442" s="28" t="inlineStr">
        <is>
          <t>13 814 066 964 FCFA</t>
        </is>
      </c>
      <c r="E442" s="44" t="inlineStr">
        <is>
          <t>Oui</t>
        </is>
      </c>
    </row>
    <row r="443">
      <c r="A443" s="42" t="n">
        <v>69</v>
      </c>
      <c r="B443" s="30" t="inlineStr">
        <is>
          <t>Mult Épargne PEP et EFC (passif)</t>
        </is>
      </c>
      <c r="C443" s="45" t="n">
        <v>1.275748487170401</v>
      </c>
      <c r="D443" s="30" t="inlineStr">
        <is>
          <t>1,28</t>
        </is>
      </c>
      <c r="E443" s="46" t="inlineStr">
        <is>
          <t>Oui</t>
        </is>
      </c>
    </row>
    <row r="444">
      <c r="A444" s="42" t="n">
        <v>69</v>
      </c>
      <c r="B444" s="28" t="inlineStr">
        <is>
          <t>TCAM Épargne PEP et EFC (passif)</t>
        </is>
      </c>
      <c r="C444" s="43" t="n">
        <v>0.04991227286349864</v>
      </c>
      <c r="D444" s="28" t="inlineStr">
        <is>
          <t>4,99 %</t>
        </is>
      </c>
      <c r="E444" s="44" t="inlineStr">
        <is>
          <t>Oui</t>
        </is>
      </c>
    </row>
    <row r="445">
      <c r="A445" s="42" t="n">
        <v>69</v>
      </c>
      <c r="B445" s="30" t="inlineStr">
        <is>
          <t>V0 Encours des prêts du Grenier</t>
        </is>
      </c>
      <c r="C445" s="45" t="n">
        <v>182555907</v>
      </c>
      <c r="D445" s="30" t="inlineStr">
        <is>
          <t>182 555 907 FCFA</t>
        </is>
      </c>
      <c r="E445" s="46" t="inlineStr">
        <is>
          <t>Oui</t>
        </is>
      </c>
    </row>
    <row r="446">
      <c r="A446" s="42" t="n">
        <v>69</v>
      </c>
      <c r="B446" s="28" t="inlineStr">
        <is>
          <t>V1 Encours des prêts du Grenier</t>
        </is>
      </c>
      <c r="C446" s="43" t="n">
        <v>829623319</v>
      </c>
      <c r="D446" s="28" t="inlineStr">
        <is>
          <t>829 623 319 FCFA</t>
        </is>
      </c>
      <c r="E446" s="44" t="inlineStr">
        <is>
          <t>Oui</t>
        </is>
      </c>
    </row>
    <row r="447">
      <c r="A447" s="42" t="n">
        <v>69</v>
      </c>
      <c r="B447" s="30" t="inlineStr">
        <is>
          <t>Mult Encours des prêts du Grenier</t>
        </is>
      </c>
      <c r="C447" s="45" t="n">
        <v>4.544489042471795</v>
      </c>
      <c r="D447" s="30" t="inlineStr">
        <is>
          <t>4,54</t>
        </is>
      </c>
      <c r="E447" s="46" t="inlineStr">
        <is>
          <t>Oui</t>
        </is>
      </c>
    </row>
    <row r="448">
      <c r="A448" s="42" t="n">
        <v>69</v>
      </c>
      <c r="B448" s="28" t="inlineStr">
        <is>
          <t>TCAM Encours des prêts du Grenier</t>
        </is>
      </c>
      <c r="C448" s="43" t="n">
        <v>0.6563865177006094</v>
      </c>
      <c r="D448" s="28" t="inlineStr">
        <is>
          <t>65,64 %</t>
        </is>
      </c>
      <c r="E448" s="44" t="inlineStr">
        <is>
          <t>Oui</t>
        </is>
      </c>
    </row>
    <row r="449">
      <c r="A449" s="42" t="n">
        <v>69</v>
      </c>
      <c r="B449" s="30" t="inlineStr">
        <is>
          <t>V0 Production de prêts du Grenier</t>
        </is>
      </c>
      <c r="C449" s="45" t="n">
        <v>269775100</v>
      </c>
      <c r="D449" s="30" t="inlineStr">
        <is>
          <t>269 775 100 FCFA</t>
        </is>
      </c>
      <c r="E449" s="46" t="inlineStr">
        <is>
          <t>Oui</t>
        </is>
      </c>
    </row>
    <row r="450">
      <c r="A450" s="42" t="n">
        <v>69</v>
      </c>
      <c r="B450" s="28" t="inlineStr">
        <is>
          <t>V1 Production de prêts du Grenier</t>
        </is>
      </c>
      <c r="C450" s="43" t="n">
        <v>1609400144</v>
      </c>
      <c r="D450" s="28" t="inlineStr">
        <is>
          <t>1 609 400 144 FCFA</t>
        </is>
      </c>
      <c r="E450" s="44" t="inlineStr">
        <is>
          <t>Oui</t>
        </is>
      </c>
    </row>
    <row r="451">
      <c r="A451" s="42" t="n">
        <v>69</v>
      </c>
      <c r="B451" s="30" t="inlineStr">
        <is>
          <t>Mult Production de prêts du Grenier</t>
        </is>
      </c>
      <c r="C451" s="45" t="n">
        <v>5.96571048995997</v>
      </c>
      <c r="D451" s="30" t="inlineStr">
        <is>
          <t>5,97</t>
        </is>
      </c>
      <c r="E451" s="46" t="inlineStr">
        <is>
          <t>Oui</t>
        </is>
      </c>
    </row>
    <row r="452">
      <c r="A452" s="42" t="n">
        <v>69</v>
      </c>
      <c r="B452" s="28" t="inlineStr">
        <is>
          <t>TCAM Production de prêts du Grenier</t>
        </is>
      </c>
      <c r="C452" s="43" t="n">
        <v>0.8136524123608553</v>
      </c>
      <c r="D452" s="28" t="inlineStr">
        <is>
          <t>81,37 %</t>
        </is>
      </c>
      <c r="E452" s="44" t="inlineStr">
        <is>
          <t>Oui</t>
        </is>
      </c>
    </row>
    <row r="453">
      <c r="A453" s="42" t="n">
        <v>69</v>
      </c>
      <c r="B453" s="30" t="inlineStr">
        <is>
          <t>V0 Cotisants actifs (maladie 936)</t>
        </is>
      </c>
      <c r="C453" s="45" t="n">
        <v>23119</v>
      </c>
      <c r="D453" s="30" t="inlineStr">
        <is>
          <t>23 119</t>
        </is>
      </c>
      <c r="E453" s="46" t="inlineStr">
        <is>
          <t>Oui</t>
        </is>
      </c>
    </row>
    <row r="454">
      <c r="A454" s="42" t="n">
        <v>69</v>
      </c>
      <c r="B454" s="28" t="inlineStr">
        <is>
          <t>V1 Cotisants actifs (maladie 936)</t>
        </is>
      </c>
      <c r="C454" s="43" t="n">
        <v>31198</v>
      </c>
      <c r="D454" s="28" t="inlineStr">
        <is>
          <t>31 198</t>
        </is>
      </c>
      <c r="E454" s="44" t="inlineStr">
        <is>
          <t>Oui</t>
        </is>
      </c>
    </row>
    <row r="455">
      <c r="A455" s="42" t="n">
        <v>69</v>
      </c>
      <c r="B455" s="30" t="inlineStr">
        <is>
          <t>Mult Cotisants actifs (maladie 936)</t>
        </is>
      </c>
      <c r="C455" s="45" t="n">
        <v>1.349452831004801</v>
      </c>
      <c r="D455" s="30" t="inlineStr">
        <is>
          <t>1,35</t>
        </is>
      </c>
      <c r="E455" s="46" t="inlineStr">
        <is>
          <t>Oui</t>
        </is>
      </c>
    </row>
    <row r="456">
      <c r="A456" s="42" t="n">
        <v>69</v>
      </c>
      <c r="B456" s="28" t="inlineStr">
        <is>
          <t>TCAM Cotisants actifs (maladie 936)</t>
        </is>
      </c>
      <c r="C456" s="43" t="n">
        <v>0.1230100146917217</v>
      </c>
      <c r="D456" s="28" t="inlineStr">
        <is>
          <t>12,30 %</t>
        </is>
      </c>
      <c r="E456" s="44" t="inlineStr">
        <is>
          <t>Oui</t>
        </is>
      </c>
    </row>
    <row r="457">
      <c r="A457" s="42" t="n">
        <v>69</v>
      </c>
      <c r="B457" s="30" t="inlineStr">
        <is>
          <t>V0 Investissements au CMP</t>
        </is>
      </c>
      <c r="C457" s="45" t="n">
        <v>2984680712</v>
      </c>
      <c r="D457" s="30" t="inlineStr">
        <is>
          <t>2 984 680 712 FCFA</t>
        </is>
      </c>
      <c r="E457" s="46" t="inlineStr">
        <is>
          <t>Oui</t>
        </is>
      </c>
    </row>
    <row r="458">
      <c r="A458" s="42" t="n">
        <v>69</v>
      </c>
      <c r="B458" s="28" t="inlineStr">
        <is>
          <t>V1 Investissements au CMP</t>
        </is>
      </c>
      <c r="C458" s="43" t="n">
        <v>6002976947</v>
      </c>
      <c r="D458" s="28" t="inlineStr">
        <is>
          <t>6 002 976 947 FCFA</t>
        </is>
      </c>
      <c r="E458" s="44" t="inlineStr">
        <is>
          <t>Oui</t>
        </is>
      </c>
    </row>
    <row r="459">
      <c r="A459" s="42" t="n">
        <v>69</v>
      </c>
      <c r="B459" s="30" t="inlineStr">
        <is>
          <t>Mult Investissements au CMP</t>
        </is>
      </c>
      <c r="C459" s="45" t="n">
        <v>2.011262686445772</v>
      </c>
      <c r="D459" s="30" t="inlineStr">
        <is>
          <t>2,01</t>
        </is>
      </c>
      <c r="E459" s="46" t="inlineStr">
        <is>
          <t>Oui</t>
        </is>
      </c>
    </row>
    <row r="460">
      <c r="A460" s="42" t="n">
        <v>69</v>
      </c>
      <c r="B460" s="28" t="inlineStr">
        <is>
          <t>TCAM Investissements au CMP</t>
        </is>
      </c>
      <c r="C460" s="43" t="n">
        <v>0.1499891935400137</v>
      </c>
      <c r="D460" s="28" t="inlineStr">
        <is>
          <t>15,00 %</t>
        </is>
      </c>
      <c r="E460" s="44" t="inlineStr">
        <is>
          <t>Oui</t>
        </is>
      </c>
    </row>
    <row r="461">
      <c r="A461" s="42" t="n">
        <v>70</v>
      </c>
      <c r="B461" s="30" t="inlineStr">
        <is>
          <t>Compte global 2025</t>
        </is>
      </c>
      <c r="C461" s="45" t="n">
        <v>995311355</v>
      </c>
      <c r="D461" s="30" t="inlineStr">
        <is>
          <t>995 311 355 FCFA</t>
        </is>
      </c>
      <c r="E461" s="46" t="inlineStr">
        <is>
          <t>Oui</t>
        </is>
      </c>
    </row>
    <row r="462">
      <c r="A462" s="42" t="n">
        <v>70</v>
      </c>
      <c r="B462" s="28" t="inlineStr">
        <is>
          <t>Prest mal 2025 (n)</t>
        </is>
      </c>
      <c r="C462" s="43" t="n">
        <v>1771635361</v>
      </c>
      <c r="D462" s="28" t="inlineStr">
        <is>
          <t>1 771 635 361 FCFA</t>
        </is>
      </c>
      <c r="E462" s="44" t="inlineStr">
        <is>
          <t>Oui</t>
        </is>
      </c>
    </row>
    <row r="463">
      <c r="A463" s="42" t="n">
        <v>70</v>
      </c>
      <c r="B463" s="30" t="inlineStr">
        <is>
          <t>Prest 2021</t>
        </is>
      </c>
      <c r="C463" s="45" t="n">
        <v>101453171</v>
      </c>
      <c r="D463" s="30" t="inlineStr">
        <is>
          <t>101 453 171 FCFA</t>
        </is>
      </c>
      <c r="E463" s="46" t="inlineStr">
        <is>
          <t>Oui</t>
        </is>
      </c>
    </row>
    <row r="464">
      <c r="A464" s="42" t="n">
        <v>70</v>
      </c>
      <c r="B464" s="28" t="inlineStr">
        <is>
          <t>Prest 2025 (nat)</t>
        </is>
      </c>
      <c r="C464" s="43" t="n">
        <v>1771635361</v>
      </c>
      <c r="D464" s="28" t="inlineStr">
        <is>
          <t>1 771 635 361 FCFA</t>
        </is>
      </c>
      <c r="E464" s="44" t="inlineStr">
        <is>
          <t>Oui</t>
        </is>
      </c>
    </row>
    <row r="465">
      <c r="A465" s="42" t="n">
        <v>70</v>
      </c>
      <c r="B465" s="30" t="inlineStr">
        <is>
          <t>Part img+ana+cons</t>
        </is>
      </c>
      <c r="C465" s="45" t="n">
        <v>0.3713169461850677</v>
      </c>
      <c r="D465" s="30" t="inlineStr">
        <is>
          <t>37,13 %</t>
        </is>
      </c>
      <c r="E465" s="46" t="inlineStr">
        <is>
          <t>Oui</t>
        </is>
      </c>
    </row>
    <row r="466">
      <c r="A466" s="42" t="n">
        <v>71</v>
      </c>
      <c r="B466" s="28" t="inlineStr">
        <is>
          <t>Résultat 2020</t>
        </is>
      </c>
      <c r="C466" s="43" t="n">
        <v>1018579699</v>
      </c>
      <c r="D466" s="28" t="inlineStr">
        <is>
          <t>1 018 579 699 FCFA</t>
        </is>
      </c>
      <c r="E466" s="44" t="inlineStr">
        <is>
          <t>Oui</t>
        </is>
      </c>
    </row>
    <row r="467">
      <c r="A467" s="42" t="n">
        <v>71</v>
      </c>
      <c r="B467" s="30" t="inlineStr">
        <is>
          <t>Résultat 2025 (fr)</t>
        </is>
      </c>
      <c r="C467" s="45" t="n">
        <v>437899911</v>
      </c>
      <c r="D467" s="30" t="inlineStr">
        <is>
          <t>437 899 911 FCFA</t>
        </is>
      </c>
      <c r="E467" s="46" t="inlineStr">
        <is>
          <t>Oui</t>
        </is>
      </c>
    </row>
    <row r="468">
      <c r="A468" s="42" t="n">
        <v>71</v>
      </c>
      <c r="B468" s="28" t="inlineStr">
        <is>
          <t>Résultat 2026</t>
        </is>
      </c>
      <c r="C468" s="43" t="n">
        <v>-441256500</v>
      </c>
      <c r="D468" s="28" t="inlineStr">
        <is>
          <t>-441 256 500 FCFA</t>
        </is>
      </c>
      <c r="E468" s="44" t="inlineStr">
        <is>
          <t>Oui</t>
        </is>
      </c>
    </row>
    <row r="469">
      <c r="A469" s="42" t="n">
        <v>71</v>
      </c>
      <c r="B469" s="30" t="inlineStr">
        <is>
          <t>Min frais</t>
        </is>
      </c>
      <c r="C469" s="45" t="n">
        <v>0.314643286874116</v>
      </c>
      <c r="D469" s="30" t="inlineStr">
        <is>
          <t>31,46 %</t>
        </is>
      </c>
      <c r="E469" s="46" t="inlineStr">
        <is>
          <t>Oui</t>
        </is>
      </c>
    </row>
    <row r="470">
      <c r="A470" s="42" t="n">
        <v>71</v>
      </c>
      <c r="B470" s="28" t="inlineStr">
        <is>
          <t>Max frais</t>
        </is>
      </c>
      <c r="C470" s="43" t="n">
        <v>0.4010517844043994</v>
      </c>
      <c r="D470" s="28" t="inlineStr">
        <is>
          <t>40,11 %</t>
        </is>
      </c>
      <c r="E470" s="44" t="inlineStr">
        <is>
          <t>Oui</t>
        </is>
      </c>
    </row>
    <row r="471">
      <c r="A471" s="42" t="n">
        <v>71</v>
      </c>
      <c r="B471" s="30" t="inlineStr">
        <is>
          <t>Résultat 2021</t>
        </is>
      </c>
      <c r="C471" s="45" t="n">
        <v>2083908202</v>
      </c>
      <c r="D471" s="30" t="inlineStr">
        <is>
          <t>2 083 908 202 FCFA</t>
        </is>
      </c>
      <c r="E471" s="46" t="inlineStr">
        <is>
          <t>Oui</t>
        </is>
      </c>
    </row>
    <row r="472">
      <c r="A472" s="42" t="n">
        <v>71</v>
      </c>
      <c r="B472" s="28" t="inlineStr">
        <is>
          <t>Résultat 2025 (t)</t>
        </is>
      </c>
      <c r="C472" s="43" t="n">
        <v>437899911</v>
      </c>
      <c r="D472" s="28" t="inlineStr">
        <is>
          <t>437 899 911 FCFA</t>
        </is>
      </c>
      <c r="E472" s="44" t="inlineStr">
        <is>
          <t>Oui</t>
        </is>
      </c>
    </row>
    <row r="473">
      <c r="A473" s="42" t="n">
        <v>72</v>
      </c>
      <c r="B473" s="30" t="inlineStr">
        <is>
          <t>Frais rapport 2025</t>
        </is>
      </c>
      <c r="C473" s="45" t="n">
        <v>0.3222628684476717</v>
      </c>
      <c r="D473" s="30" t="inlineStr">
        <is>
          <t>32,23 %</t>
        </is>
      </c>
      <c r="E473" s="46" t="inlineStr">
        <is>
          <t>Oui</t>
        </is>
      </c>
    </row>
    <row r="474">
      <c r="A474" s="42" t="n">
        <v>72</v>
      </c>
      <c r="B474" s="28" t="inlineStr">
        <is>
          <t>Frais texte 2025</t>
        </is>
      </c>
      <c r="C474" s="43" t="n">
        <v>0.3633533094915952</v>
      </c>
      <c r="D474" s="28" t="inlineStr">
        <is>
          <t>36,34 %</t>
        </is>
      </c>
      <c r="E474" s="44" t="inlineStr">
        <is>
          <t>Oui</t>
        </is>
      </c>
    </row>
    <row r="475">
      <c r="A475" s="42" t="n">
        <v>73</v>
      </c>
      <c r="B475" s="30" t="inlineStr">
        <is>
          <t>Pente S/C (ret)</t>
        </is>
      </c>
      <c r="C475" s="45" t="n">
        <v>12.90872668796409</v>
      </c>
      <c r="D475" s="30" t="inlineStr">
        <is>
          <t>12,91</t>
        </is>
      </c>
      <c r="E475" s="46" t="inlineStr">
        <is>
          <t>Oui</t>
        </is>
      </c>
    </row>
    <row r="476">
      <c r="A476" s="42" t="n">
        <v>76</v>
      </c>
      <c r="B476" s="28" t="inlineStr">
        <is>
          <t>Actifs dédiés (pas)</t>
        </is>
      </c>
      <c r="C476" s="43" t="n">
        <v>2562885661</v>
      </c>
      <c r="D476" s="28" t="inlineStr">
        <is>
          <t>2 562 885 661 FCFA</t>
        </is>
      </c>
      <c r="E476" s="44" t="inlineStr">
        <is>
          <t>Oui</t>
        </is>
      </c>
    </row>
    <row r="477">
      <c r="A477" s="42" t="n">
        <v>76</v>
      </c>
      <c r="B477" s="30" t="inlineStr">
        <is>
          <t>Épargne (pas)</t>
        </is>
      </c>
      <c r="C477" s="45" t="n">
        <v>15743516391</v>
      </c>
      <c r="D477" s="30" t="inlineStr">
        <is>
          <t>15 743 516 391 FCFA</t>
        </is>
      </c>
      <c r="E477" s="46" t="inlineStr">
        <is>
          <t>Oui</t>
        </is>
      </c>
    </row>
    <row r="478">
      <c r="A478" s="42" t="n">
        <v>76</v>
      </c>
      <c r="B478" s="28" t="inlineStr">
        <is>
          <t>Couverture (pas)</t>
        </is>
      </c>
      <c r="C478" s="43" t="n">
        <v>0.1627899128345373</v>
      </c>
      <c r="D478" s="28" t="inlineStr">
        <is>
          <t>16,28 %</t>
        </is>
      </c>
      <c r="E478" s="44" t="inlineStr">
        <is>
          <t>Oui</t>
        </is>
      </c>
    </row>
    <row r="479">
      <c r="A479" s="42" t="n">
        <v>76</v>
      </c>
      <c r="B479" s="30" t="inlineStr">
        <is>
          <t>Épargne totale (pas)</t>
        </is>
      </c>
      <c r="C479" s="45" t="n">
        <v>15743516391</v>
      </c>
      <c r="D479" s="30" t="inlineStr">
        <is>
          <t>15 743 516 391 FCFA</t>
        </is>
      </c>
      <c r="E479" s="46" t="inlineStr">
        <is>
          <t>Oui</t>
        </is>
      </c>
    </row>
    <row r="480">
      <c r="A480" s="42" t="n">
        <v>76</v>
      </c>
      <c r="B480" s="28" t="inlineStr">
        <is>
          <t>Total actifs (pas)</t>
        </is>
      </c>
      <c r="C480" s="43" t="n">
        <v>2562885661</v>
      </c>
      <c r="D480" s="28" t="inlineStr">
        <is>
          <t>2 562 885 661 FCFA</t>
        </is>
      </c>
      <c r="E480" s="44" t="inlineStr">
        <is>
          <t>Oui</t>
        </is>
      </c>
    </row>
    <row r="481">
      <c r="A481" s="42" t="n">
        <v>76</v>
      </c>
      <c r="B481" s="30" t="inlineStr">
        <is>
          <t>Couverture (expl)</t>
        </is>
      </c>
      <c r="C481" s="45" t="n">
        <v>0.1627899128345373</v>
      </c>
      <c r="D481" s="30" t="inlineStr">
        <is>
          <t>16,28 %</t>
        </is>
      </c>
      <c r="E481" s="46" t="inlineStr">
        <is>
          <t>Oui</t>
        </is>
      </c>
    </row>
    <row r="482">
      <c r="A482" s="42" t="n">
        <v>77</v>
      </c>
      <c r="B482" s="28" t="inlineStr">
        <is>
          <t>Min couverture</t>
        </is>
      </c>
      <c r="C482" s="43" t="n">
        <v>0.06489769174890359</v>
      </c>
      <c r="D482" s="28" t="inlineStr">
        <is>
          <t>6,49 %</t>
        </is>
      </c>
      <c r="E482" s="44" t="inlineStr">
        <is>
          <t>Oui</t>
        </is>
      </c>
    </row>
    <row r="483">
      <c r="A483" s="42" t="n">
        <v>77</v>
      </c>
      <c r="B483" s="30" t="inlineStr">
        <is>
          <t>Max couverture</t>
        </is>
      </c>
      <c r="C483" s="45" t="n">
        <v>0.1928776764821092</v>
      </c>
      <c r="D483" s="30" t="inlineStr">
        <is>
          <t>19,29 %</t>
        </is>
      </c>
      <c r="E483" s="46" t="inlineStr">
        <is>
          <t>Oui</t>
        </is>
      </c>
    </row>
    <row r="484">
      <c r="A484" s="42" t="n">
        <v>77</v>
      </c>
      <c r="B484" s="28" t="inlineStr">
        <is>
          <t>Hausse épargne</t>
        </is>
      </c>
      <c r="C484" s="43" t="n">
        <v>0.4539358518314951</v>
      </c>
      <c r="D484" s="28" t="inlineStr">
        <is>
          <t>45,39 %</t>
        </is>
      </c>
      <c r="E484" s="44" t="inlineStr">
        <is>
          <t>Oui</t>
        </is>
      </c>
    </row>
    <row r="485">
      <c r="A485" s="42" t="n">
        <v>77</v>
      </c>
      <c r="B485" s="30" t="inlineStr">
        <is>
          <t>EFC 2020</t>
        </is>
      </c>
      <c r="C485" s="45" t="n">
        <v>3461975893</v>
      </c>
      <c r="D485" s="30" t="inlineStr">
        <is>
          <t>3 461 975 893 FCFA</t>
        </is>
      </c>
      <c r="E485" s="46" t="inlineStr">
        <is>
          <t>Oui</t>
        </is>
      </c>
    </row>
    <row r="486">
      <c r="A486" s="42" t="n">
        <v>77</v>
      </c>
      <c r="B486" s="28" t="inlineStr">
        <is>
          <t>EFC 2026</t>
        </is>
      </c>
      <c r="C486" s="43" t="n">
        <v>10514270966</v>
      </c>
      <c r="D486" s="28" t="inlineStr">
        <is>
          <t>10 514 270 966 FCFA</t>
        </is>
      </c>
      <c r="E486" s="44" t="inlineStr">
        <is>
          <t>Oui</t>
        </is>
      </c>
    </row>
    <row r="487">
      <c r="A487" s="42" t="n">
        <v>78</v>
      </c>
      <c r="B487" s="30" t="inlineStr">
        <is>
          <t>PEP 2025</t>
        </is>
      </c>
      <c r="C487" s="45" t="n">
        <v>2029929725</v>
      </c>
      <c r="D487" s="30" t="inlineStr">
        <is>
          <t>2 029 929 725 FCFA</t>
        </is>
      </c>
      <c r="E487" s="46" t="inlineStr">
        <is>
          <t>Oui</t>
        </is>
      </c>
    </row>
    <row r="488">
      <c r="A488" s="42" t="n">
        <v>78</v>
      </c>
      <c r="B488" s="28" t="inlineStr">
        <is>
          <t>Épargnants PEP 2025</t>
        </is>
      </c>
      <c r="C488" s="43" t="n">
        <v>16932</v>
      </c>
      <c r="D488" s="28" t="inlineStr">
        <is>
          <t>16 932</t>
        </is>
      </c>
      <c r="E488" s="44" t="inlineStr">
        <is>
          <t>Oui</t>
        </is>
      </c>
    </row>
    <row r="489">
      <c r="A489" s="42" t="n">
        <v>78</v>
      </c>
      <c r="B489" s="30" t="inlineStr">
        <is>
          <t>PEP 2020</t>
        </is>
      </c>
      <c r="C489" s="45" t="n">
        <v>1327</v>
      </c>
      <c r="D489" s="30" t="inlineStr">
        <is>
          <t>1 327</t>
        </is>
      </c>
      <c r="E489" s="46" t="inlineStr">
        <is>
          <t>Oui</t>
        </is>
      </c>
    </row>
    <row r="490">
      <c r="A490" s="42" t="n">
        <v>78</v>
      </c>
      <c r="B490" s="28" t="inlineStr">
        <is>
          <t>PEP 2026</t>
        </is>
      </c>
      <c r="C490" s="43" t="n">
        <v>17199</v>
      </c>
      <c r="D490" s="28" t="inlineStr">
        <is>
          <t>17 199</t>
        </is>
      </c>
      <c r="E490" s="44" t="inlineStr">
        <is>
          <t>Oui</t>
        </is>
      </c>
    </row>
    <row r="491">
      <c r="A491" s="42" t="n">
        <v>78</v>
      </c>
      <c r="B491" s="30" t="inlineStr">
        <is>
          <t>PEP 2025 (t)</t>
        </is>
      </c>
      <c r="C491" s="45" t="n">
        <v>2029929725</v>
      </c>
      <c r="D491" s="30" t="inlineStr">
        <is>
          <t>2 029 929 725 FCFA</t>
        </is>
      </c>
      <c r="E491" s="46" t="inlineStr">
        <is>
          <t>Oui</t>
        </is>
      </c>
    </row>
    <row r="492">
      <c r="A492" s="42" t="n">
        <v>78</v>
      </c>
      <c r="B492" s="28" t="inlineStr">
        <is>
          <t>Var PEP 2025</t>
        </is>
      </c>
      <c r="C492" s="43" t="n">
        <v>1134898141</v>
      </c>
      <c r="D492" s="28" t="inlineStr">
        <is>
          <t>1 134 898 141 FCFA</t>
        </is>
      </c>
      <c r="E492" s="44" t="inlineStr">
        <is>
          <t>Oui</t>
        </is>
      </c>
    </row>
    <row r="493">
      <c r="A493" s="42" t="n">
        <v>78</v>
      </c>
      <c r="B493" s="30" t="inlineStr">
        <is>
          <t>Sorties épargne 2025</t>
        </is>
      </c>
      <c r="C493" s="45" t="n">
        <v>1358821103</v>
      </c>
      <c r="D493" s="30" t="inlineStr">
        <is>
          <t>1 358 821 103 FCFA</t>
        </is>
      </c>
      <c r="E493" s="46" t="inlineStr">
        <is>
          <t>Oui</t>
        </is>
      </c>
    </row>
    <row r="494">
      <c r="A494" s="42" t="n">
        <v>79</v>
      </c>
      <c r="B494" s="28" t="inlineStr">
        <is>
          <t>Retrait couvert actifs</t>
        </is>
      </c>
      <c r="C494" s="43" t="n">
        <v>0.1627899128345373</v>
      </c>
      <c r="D494" s="28" t="inlineStr">
        <is>
          <t>16,28 %</t>
        </is>
      </c>
      <c r="E494" s="44" t="inlineStr">
        <is>
          <t>Oui</t>
        </is>
      </c>
    </row>
    <row r="495">
      <c r="A495" s="42" t="n">
        <v>79</v>
      </c>
      <c r="B495" s="30" t="inlineStr">
        <is>
          <t>Retrait couvert tréso</t>
        </is>
      </c>
      <c r="C495" s="45" t="n">
        <v>0.2133640626766379</v>
      </c>
      <c r="D495" s="30" t="inlineStr">
        <is>
          <t>21,34 %</t>
        </is>
      </c>
      <c r="E495" s="46" t="inlineStr">
        <is>
          <t>Oui</t>
        </is>
      </c>
    </row>
    <row r="496">
      <c r="A496" s="42" t="n">
        <v>79</v>
      </c>
      <c r="B496" s="28" t="inlineStr">
        <is>
          <t>Retrait 10%</t>
        </is>
      </c>
      <c r="C496" s="43" t="n">
        <v>1574351639.1</v>
      </c>
      <c r="D496" s="28" t="inlineStr">
        <is>
          <t>1 574 351 639 FCFA</t>
        </is>
      </c>
      <c r="E496" s="44" t="inlineStr">
        <is>
          <t>Oui</t>
        </is>
      </c>
    </row>
    <row r="497">
      <c r="A497" s="42" t="n">
        <v>79</v>
      </c>
      <c r="B497" s="30" t="inlineStr">
        <is>
          <t>Seuil tréso</t>
        </is>
      </c>
      <c r="C497" s="45" t="n">
        <v>0.2133640626766379</v>
      </c>
      <c r="D497" s="30" t="inlineStr">
        <is>
          <t>21,34 %</t>
        </is>
      </c>
      <c r="E497" s="46" t="inlineStr">
        <is>
          <t>Oui</t>
        </is>
      </c>
    </row>
    <row r="498">
      <c r="A498" s="42" t="n">
        <v>80</v>
      </c>
      <c r="B498" s="28" t="inlineStr">
        <is>
          <t>Lignes PEP</t>
        </is>
      </c>
      <c r="C498" s="43" t="n">
        <v>460252</v>
      </c>
      <c r="D498" s="28" t="inlineStr">
        <is>
          <t>460 252</t>
        </is>
      </c>
      <c r="E498" s="44" t="inlineStr">
        <is>
          <t>Oui</t>
        </is>
      </c>
    </row>
    <row r="499">
      <c r="A499" s="42" t="n">
        <v>80</v>
      </c>
      <c r="B499" s="30" t="inlineStr">
        <is>
          <t>Montant PEP</t>
        </is>
      </c>
      <c r="C499" s="45" t="n">
        <v>6270087894</v>
      </c>
      <c r="D499" s="30" t="inlineStr">
        <is>
          <t>6 270 087 894 FCFA</t>
        </is>
      </c>
      <c r="E499" s="46" t="inlineStr">
        <is>
          <t>Oui</t>
        </is>
      </c>
    </row>
    <row r="500">
      <c r="A500" s="42" t="n">
        <v>80</v>
      </c>
      <c r="B500" s="28" t="inlineStr">
        <is>
          <t>Mut PEP</t>
        </is>
      </c>
      <c r="C500" s="43" t="n">
        <v>18495</v>
      </c>
      <c r="D500" s="28" t="inlineStr">
        <is>
          <t>18 495</t>
        </is>
      </c>
      <c r="E500" s="44" t="inlineStr">
        <is>
          <t>Oui</t>
        </is>
      </c>
    </row>
    <row r="501">
      <c r="A501" s="42" t="n">
        <v>80</v>
      </c>
      <c r="B501" s="30" t="inlineStr">
        <is>
          <t>Lignes sans référence</t>
        </is>
      </c>
      <c r="C501" s="45" t="n">
        <v>55703</v>
      </c>
      <c r="D501" s="30" t="inlineStr">
        <is>
          <t>55 703</t>
        </is>
      </c>
      <c r="E501" s="46" t="inlineStr">
        <is>
          <t>Oui</t>
        </is>
      </c>
    </row>
    <row r="502">
      <c r="A502" s="42" t="n">
        <v>80</v>
      </c>
      <c r="B502" s="28" t="inlineStr">
        <is>
          <t>Montant sans référence</t>
        </is>
      </c>
      <c r="C502" s="43" t="n">
        <v>702069750</v>
      </c>
      <c r="D502" s="28" t="inlineStr">
        <is>
          <t>702 069 750 FCFA</t>
        </is>
      </c>
      <c r="E502" s="44" t="inlineStr">
        <is>
          <t>Oui</t>
        </is>
      </c>
    </row>
    <row r="503">
      <c r="A503" s="42" t="n">
        <v>80</v>
      </c>
      <c r="B503" s="30" t="inlineStr">
        <is>
          <t>Mut sans référence</t>
        </is>
      </c>
      <c r="C503" s="45" t="n">
        <v>16603</v>
      </c>
      <c r="D503" s="30" t="inlineStr">
        <is>
          <t>16 603</t>
        </is>
      </c>
      <c r="E503" s="46" t="inlineStr">
        <is>
          <t>Oui</t>
        </is>
      </c>
    </row>
    <row r="504">
      <c r="A504" s="42" t="n">
        <v>80</v>
      </c>
      <c r="B504" s="28" t="inlineStr">
        <is>
          <t>Lignes PTI</t>
        </is>
      </c>
      <c r="C504" s="43" t="n">
        <v>1206</v>
      </c>
      <c r="D504" s="28" t="inlineStr">
        <is>
          <t>1 206</t>
        </is>
      </c>
      <c r="E504" s="44" t="inlineStr">
        <is>
          <t>Oui</t>
        </is>
      </c>
    </row>
    <row r="505">
      <c r="A505" s="42" t="n">
        <v>80</v>
      </c>
      <c r="B505" s="30" t="inlineStr">
        <is>
          <t>Montant PTI</t>
        </is>
      </c>
      <c r="C505" s="45" t="n">
        <v>108489526</v>
      </c>
      <c r="D505" s="30" t="inlineStr">
        <is>
          <t>108 489 526 FCFA</t>
        </is>
      </c>
      <c r="E505" s="46" t="inlineStr">
        <is>
          <t>Oui</t>
        </is>
      </c>
    </row>
    <row r="506">
      <c r="A506" s="42" t="n">
        <v>80</v>
      </c>
      <c r="B506" s="28" t="inlineStr">
        <is>
          <t>Mut PTI</t>
        </is>
      </c>
      <c r="C506" s="43" t="n">
        <v>51</v>
      </c>
      <c r="D506" s="28" t="inlineStr">
        <is>
          <t>51</t>
        </is>
      </c>
      <c r="E506" s="44" t="inlineStr">
        <is>
          <t>Oui</t>
        </is>
      </c>
    </row>
    <row r="507">
      <c r="A507" s="42" t="n">
        <v>80</v>
      </c>
      <c r="B507" s="30" t="inlineStr">
        <is>
          <t>Lignes RPEP</t>
        </is>
      </c>
      <c r="C507" s="45" t="n">
        <v>2368</v>
      </c>
      <c r="D507" s="30" t="inlineStr">
        <is>
          <t>2 368</t>
        </is>
      </c>
      <c r="E507" s="46" t="inlineStr">
        <is>
          <t>Oui</t>
        </is>
      </c>
    </row>
    <row r="508">
      <c r="A508" s="42" t="n">
        <v>80</v>
      </c>
      <c r="B508" s="28" t="inlineStr">
        <is>
          <t>Montant RPEP</t>
        </is>
      </c>
      <c r="C508" s="43" t="n">
        <v>30896500</v>
      </c>
      <c r="D508" s="28" t="inlineStr">
        <is>
          <t>30 896 500 FCFA</t>
        </is>
      </c>
      <c r="E508" s="44" t="inlineStr">
        <is>
          <t>Oui</t>
        </is>
      </c>
    </row>
    <row r="509">
      <c r="A509" s="42" t="n">
        <v>80</v>
      </c>
      <c r="B509" s="30" t="inlineStr">
        <is>
          <t>Mut RPEP</t>
        </is>
      </c>
      <c r="C509" s="45" t="n">
        <v>2367</v>
      </c>
      <c r="D509" s="30" t="inlineStr">
        <is>
          <t>2 367</t>
        </is>
      </c>
      <c r="E509" s="46" t="inlineStr">
        <is>
          <t>Oui</t>
        </is>
      </c>
    </row>
    <row r="510">
      <c r="A510" s="42" t="n">
        <v>80</v>
      </c>
      <c r="B510" s="28" t="inlineStr">
        <is>
          <t>Lignes EP</t>
        </is>
      </c>
      <c r="C510" s="43" t="n">
        <v>1722</v>
      </c>
      <c r="D510" s="28" t="inlineStr">
        <is>
          <t>1 722</t>
        </is>
      </c>
      <c r="E510" s="44" t="inlineStr">
        <is>
          <t>Oui</t>
        </is>
      </c>
    </row>
    <row r="511">
      <c r="A511" s="42" t="n">
        <v>80</v>
      </c>
      <c r="B511" s="30" t="inlineStr">
        <is>
          <t>Montant EP</t>
        </is>
      </c>
      <c r="C511" s="45" t="n">
        <v>30284000</v>
      </c>
      <c r="D511" s="30" t="inlineStr">
        <is>
          <t>30 284 000 FCFA</t>
        </is>
      </c>
      <c r="E511" s="46" t="inlineStr">
        <is>
          <t>Oui</t>
        </is>
      </c>
    </row>
    <row r="512">
      <c r="A512" s="42" t="n">
        <v>80</v>
      </c>
      <c r="B512" s="28" t="inlineStr">
        <is>
          <t>Mut EP</t>
        </is>
      </c>
      <c r="C512" s="43" t="n">
        <v>1715</v>
      </c>
      <c r="D512" s="28" t="inlineStr">
        <is>
          <t>1 715</t>
        </is>
      </c>
      <c r="E512" s="44" t="inlineStr">
        <is>
          <t>Oui</t>
        </is>
      </c>
    </row>
    <row r="513">
      <c r="A513" s="42" t="n">
        <v>80</v>
      </c>
      <c r="B513" s="30" t="inlineStr">
        <is>
          <t>Lignes TI</t>
        </is>
      </c>
      <c r="C513" s="45" t="n">
        <v>24</v>
      </c>
      <c r="D513" s="30" t="inlineStr">
        <is>
          <t>24</t>
        </is>
      </c>
      <c r="E513" s="46" t="inlineStr">
        <is>
          <t>Oui</t>
        </is>
      </c>
    </row>
    <row r="514">
      <c r="A514" s="42" t="n">
        <v>80</v>
      </c>
      <c r="B514" s="28" t="inlineStr">
        <is>
          <t>Montant TI</t>
        </is>
      </c>
      <c r="C514" s="43" t="n">
        <v>2246770</v>
      </c>
      <c r="D514" s="28" t="inlineStr">
        <is>
          <t>2 246 770 FCFA</t>
        </is>
      </c>
      <c r="E514" s="44" t="inlineStr">
        <is>
          <t>Oui</t>
        </is>
      </c>
    </row>
    <row r="515">
      <c r="A515" s="42" t="n">
        <v>80</v>
      </c>
      <c r="B515" s="30" t="inlineStr">
        <is>
          <t>Mut TI</t>
        </is>
      </c>
      <c r="C515" s="45" t="n">
        <v>24</v>
      </c>
      <c r="D515" s="30" t="inlineStr">
        <is>
          <t>24</t>
        </is>
      </c>
      <c r="E515" s="46" t="inlineStr">
        <is>
          <t>Oui</t>
        </is>
      </c>
    </row>
    <row r="516">
      <c r="A516" s="42" t="n">
        <v>80</v>
      </c>
      <c r="B516" s="28" t="inlineStr">
        <is>
          <t>Lignes R-PEP</t>
        </is>
      </c>
      <c r="C516" s="43" t="n">
        <v>90</v>
      </c>
      <c r="D516" s="28" t="inlineStr">
        <is>
          <t>90</t>
        </is>
      </c>
      <c r="E516" s="44" t="inlineStr">
        <is>
          <t>Oui</t>
        </is>
      </c>
    </row>
    <row r="517">
      <c r="A517" s="42" t="n">
        <v>80</v>
      </c>
      <c r="B517" s="30" t="inlineStr">
        <is>
          <t>Montant R-PEP</t>
        </is>
      </c>
      <c r="C517" s="45" t="n">
        <v>1290000</v>
      </c>
      <c r="D517" s="30" t="inlineStr">
        <is>
          <t>1 290 000 FCFA</t>
        </is>
      </c>
      <c r="E517" s="46" t="inlineStr">
        <is>
          <t>Oui</t>
        </is>
      </c>
    </row>
    <row r="518">
      <c r="A518" s="42" t="n">
        <v>80</v>
      </c>
      <c r="B518" s="28" t="inlineStr">
        <is>
          <t>Mut R-PEP</t>
        </is>
      </c>
      <c r="C518" s="43" t="n">
        <v>88</v>
      </c>
      <c r="D518" s="28" t="inlineStr">
        <is>
          <t>88</t>
        </is>
      </c>
      <c r="E518" s="44" t="inlineStr">
        <is>
          <t>Oui</t>
        </is>
      </c>
    </row>
    <row r="519">
      <c r="A519" s="42" t="n">
        <v>80</v>
      </c>
      <c r="B519" s="30" t="inlineStr">
        <is>
          <t>Lignes PTQ</t>
        </is>
      </c>
      <c r="C519" s="45" t="n">
        <v>43</v>
      </c>
      <c r="D519" s="30" t="inlineStr">
        <is>
          <t>43</t>
        </is>
      </c>
      <c r="E519" s="46" t="inlineStr">
        <is>
          <t>Oui</t>
        </is>
      </c>
    </row>
    <row r="520">
      <c r="A520" s="42" t="n">
        <v>80</v>
      </c>
      <c r="B520" s="28" t="inlineStr">
        <is>
          <t>Montant PTQ</t>
        </is>
      </c>
      <c r="C520" s="43" t="n">
        <v>1255064</v>
      </c>
      <c r="D520" s="28" t="inlineStr">
        <is>
          <t>1 255 064 FCFA</t>
        </is>
      </c>
      <c r="E520" s="44" t="inlineStr">
        <is>
          <t>Oui</t>
        </is>
      </c>
    </row>
    <row r="521">
      <c r="A521" s="42" t="n">
        <v>80</v>
      </c>
      <c r="B521" s="30" t="inlineStr">
        <is>
          <t>Mut PTQ</t>
        </is>
      </c>
      <c r="C521" s="45" t="n">
        <v>3</v>
      </c>
      <c r="D521" s="30" t="inlineStr">
        <is>
          <t>3</t>
        </is>
      </c>
      <c r="E521" s="46" t="inlineStr">
        <is>
          <t>Oui</t>
        </is>
      </c>
    </row>
    <row r="522">
      <c r="A522" s="42" t="n">
        <v>81</v>
      </c>
      <c r="B522" s="28" t="inlineStr">
        <is>
          <t>Épargne (ret)</t>
        </is>
      </c>
      <c r="C522" s="43" t="n">
        <v>15743516391</v>
      </c>
      <c r="D522" s="28" t="inlineStr">
        <is>
          <t>15 743 516 391 FCFA</t>
        </is>
      </c>
      <c r="E522" s="44" t="inlineStr">
        <is>
          <t>Oui</t>
        </is>
      </c>
    </row>
    <row r="523">
      <c r="A523" s="42" t="n">
        <v>81</v>
      </c>
      <c r="B523" s="30" t="inlineStr">
        <is>
          <t>Actifs réservés (ret)</t>
        </is>
      </c>
      <c r="C523" s="45" t="n">
        <v>2562885661</v>
      </c>
      <c r="D523" s="30" t="inlineStr">
        <is>
          <t>2 562 885 661 FCFA</t>
        </is>
      </c>
      <c r="E523" s="46" t="inlineStr">
        <is>
          <t>Oui</t>
        </is>
      </c>
    </row>
    <row r="524">
      <c r="A524" s="42" t="n">
        <v>83</v>
      </c>
      <c r="B524" s="28" t="inlineStr">
        <is>
          <t>GL écr déb 41195100 Précomptes et cotisations</t>
        </is>
      </c>
      <c r="C524" s="43" t="n">
        <v>0</v>
      </c>
      <c r="D524" s="28" t="inlineStr">
        <is>
          <t>0</t>
        </is>
      </c>
      <c r="E524" s="44" t="inlineStr">
        <is>
          <t>Oui</t>
        </is>
      </c>
    </row>
    <row r="525">
      <c r="A525" s="42" t="n">
        <v>83</v>
      </c>
      <c r="B525" s="30" t="inlineStr">
        <is>
          <t>GL déb 41195100 Précomptes et cotisations</t>
        </is>
      </c>
      <c r="C525" s="45" t="n">
        <v>0</v>
      </c>
      <c r="D525" s="30" t="inlineStr">
        <is>
          <t>0 FCFA</t>
        </is>
      </c>
      <c r="E525" s="46" t="inlineStr">
        <is>
          <t>Oui</t>
        </is>
      </c>
    </row>
    <row r="526">
      <c r="A526" s="42" t="n">
        <v>83</v>
      </c>
      <c r="B526" s="28" t="inlineStr">
        <is>
          <t>GL écr cré 41195100 Précomptes et cotisations</t>
        </is>
      </c>
      <c r="C526" s="43" t="n">
        <v>17</v>
      </c>
      <c r="D526" s="28" t="inlineStr">
        <is>
          <t>17</t>
        </is>
      </c>
      <c r="E526" s="44" t="inlineStr">
        <is>
          <t>Oui</t>
        </is>
      </c>
    </row>
    <row r="527">
      <c r="A527" s="42" t="n">
        <v>83</v>
      </c>
      <c r="B527" s="30" t="inlineStr">
        <is>
          <t>GL cré 41195100 Précomptes et cotisations</t>
        </is>
      </c>
      <c r="C527" s="45" t="n">
        <v>1453812250</v>
      </c>
      <c r="D527" s="30" t="inlineStr">
        <is>
          <t>1 453 812 250 FCFA</t>
        </is>
      </c>
      <c r="E527" s="46" t="inlineStr">
        <is>
          <t>Oui</t>
        </is>
      </c>
    </row>
    <row r="528">
      <c r="A528" s="42" t="n">
        <v>83</v>
      </c>
      <c r="B528" s="28" t="inlineStr">
        <is>
          <t>GL écr déb 41195100 Remboursements PEP</t>
        </is>
      </c>
      <c r="C528" s="43" t="n">
        <v>788</v>
      </c>
      <c r="D528" s="28" t="inlineStr">
        <is>
          <t>788</t>
        </is>
      </c>
      <c r="E528" s="44" t="inlineStr">
        <is>
          <t>Oui</t>
        </is>
      </c>
    </row>
    <row r="529">
      <c r="A529" s="42" t="n">
        <v>83</v>
      </c>
      <c r="B529" s="30" t="inlineStr">
        <is>
          <t>GL déb 41195100 Remboursements PEP</t>
        </is>
      </c>
      <c r="C529" s="45" t="n">
        <v>1163234713</v>
      </c>
      <c r="D529" s="30" t="inlineStr">
        <is>
          <t>1 163 234 713 FCFA</t>
        </is>
      </c>
      <c r="E529" s="46" t="inlineStr">
        <is>
          <t>Oui</t>
        </is>
      </c>
    </row>
    <row r="530">
      <c r="A530" s="42" t="n">
        <v>83</v>
      </c>
      <c r="B530" s="28" t="inlineStr">
        <is>
          <t>GL écr cré 41195100 Remboursements PEP</t>
        </is>
      </c>
      <c r="C530" s="43" t="n">
        <v>0</v>
      </c>
      <c r="D530" s="28" t="inlineStr">
        <is>
          <t>0</t>
        </is>
      </c>
      <c r="E530" s="44" t="inlineStr">
        <is>
          <t>Oui</t>
        </is>
      </c>
    </row>
    <row r="531">
      <c r="A531" s="42" t="n">
        <v>83</v>
      </c>
      <c r="B531" s="30" t="inlineStr">
        <is>
          <t>GL cré 41195100 Remboursements PEP</t>
        </is>
      </c>
      <c r="C531" s="45" t="n">
        <v>0</v>
      </c>
      <c r="D531" s="30" t="inlineStr">
        <is>
          <t>0 FCFA</t>
        </is>
      </c>
      <c r="E531" s="46" t="inlineStr">
        <is>
          <t>Oui</t>
        </is>
      </c>
    </row>
    <row r="532">
      <c r="A532" s="42" t="n">
        <v>83</v>
      </c>
      <c r="B532" s="28" t="inlineStr">
        <is>
          <t>GL écr déb 41195100 Rachats</t>
        </is>
      </c>
      <c r="C532" s="43" t="n">
        <v>57</v>
      </c>
      <c r="D532" s="28" t="inlineStr">
        <is>
          <t>57</t>
        </is>
      </c>
      <c r="E532" s="44" t="inlineStr">
        <is>
          <t>Oui</t>
        </is>
      </c>
    </row>
    <row r="533">
      <c r="A533" s="42" t="n">
        <v>83</v>
      </c>
      <c r="B533" s="30" t="inlineStr">
        <is>
          <t>GL déb 41195100 Rachats</t>
        </is>
      </c>
      <c r="C533" s="45" t="n">
        <v>32124275</v>
      </c>
      <c r="D533" s="30" t="inlineStr">
        <is>
          <t>32 124 275 FCFA</t>
        </is>
      </c>
      <c r="E533" s="46" t="inlineStr">
        <is>
          <t>Oui</t>
        </is>
      </c>
    </row>
    <row r="534">
      <c r="A534" s="42" t="n">
        <v>83</v>
      </c>
      <c r="B534" s="28" t="inlineStr">
        <is>
          <t>GL écr cré 41195100 Rachats</t>
        </is>
      </c>
      <c r="C534" s="43" t="n">
        <v>0</v>
      </c>
      <c r="D534" s="28" t="inlineStr">
        <is>
          <t>0</t>
        </is>
      </c>
      <c r="E534" s="44" t="inlineStr">
        <is>
          <t>Oui</t>
        </is>
      </c>
    </row>
    <row r="535">
      <c r="A535" s="42" t="n">
        <v>83</v>
      </c>
      <c r="B535" s="30" t="inlineStr">
        <is>
          <t>GL cré 41195100 Rachats</t>
        </is>
      </c>
      <c r="C535" s="45" t="n">
        <v>0</v>
      </c>
      <c r="D535" s="30" t="inlineStr">
        <is>
          <t>0 FCFA</t>
        </is>
      </c>
      <c r="E535" s="46" t="inlineStr">
        <is>
          <t>Oui</t>
        </is>
      </c>
    </row>
    <row r="536">
      <c r="A536" s="42" t="n">
        <v>83</v>
      </c>
      <c r="B536" s="28" t="inlineStr">
        <is>
          <t>GL écr déb 41195100 Autres</t>
        </is>
      </c>
      <c r="C536" s="43" t="n">
        <v>2</v>
      </c>
      <c r="D536" s="28" t="inlineStr">
        <is>
          <t>2</t>
        </is>
      </c>
      <c r="E536" s="44" t="inlineStr">
        <is>
          <t>Oui</t>
        </is>
      </c>
    </row>
    <row r="537">
      <c r="A537" s="42" t="n">
        <v>83</v>
      </c>
      <c r="B537" s="30" t="inlineStr">
        <is>
          <t>GL déb 41195100 Autres</t>
        </is>
      </c>
      <c r="C537" s="45" t="n">
        <v>-4678500</v>
      </c>
      <c r="D537" s="30" t="inlineStr">
        <is>
          <t>-4 678 500 FCFA</t>
        </is>
      </c>
      <c r="E537" s="46" t="inlineStr">
        <is>
          <t>Oui</t>
        </is>
      </c>
    </row>
    <row r="538">
      <c r="A538" s="42" t="n">
        <v>83</v>
      </c>
      <c r="B538" s="28" t="inlineStr">
        <is>
          <t>GL écr cré 41195100 Autres</t>
        </is>
      </c>
      <c r="C538" s="43" t="n">
        <v>13</v>
      </c>
      <c r="D538" s="28" t="inlineStr">
        <is>
          <t>13</t>
        </is>
      </c>
      <c r="E538" s="44" t="inlineStr">
        <is>
          <t>Oui</t>
        </is>
      </c>
    </row>
    <row r="539">
      <c r="A539" s="42" t="n">
        <v>83</v>
      </c>
      <c r="B539" s="30" t="inlineStr">
        <is>
          <t>GL cré 41195100 Autres</t>
        </is>
      </c>
      <c r="C539" s="45" t="n">
        <v>7086400</v>
      </c>
      <c r="D539" s="30" t="inlineStr">
        <is>
          <t>7 086 400 FCFA</t>
        </is>
      </c>
      <c r="E539" s="46" t="inlineStr">
        <is>
          <t>Oui</t>
        </is>
      </c>
    </row>
    <row r="540">
      <c r="A540" s="42" t="n">
        <v>83</v>
      </c>
      <c r="B540" s="28" t="inlineStr">
        <is>
          <t>GL écr déb 41195200 Précomptes et cotisations</t>
        </is>
      </c>
      <c r="C540" s="43" t="n">
        <v>0</v>
      </c>
      <c r="D540" s="28" t="inlineStr">
        <is>
          <t>0</t>
        </is>
      </c>
      <c r="E540" s="44" t="inlineStr">
        <is>
          <t>Oui</t>
        </is>
      </c>
    </row>
    <row r="541">
      <c r="A541" s="42" t="n">
        <v>83</v>
      </c>
      <c r="B541" s="30" t="inlineStr">
        <is>
          <t>GL déb 41195200 Précomptes et cotisations</t>
        </is>
      </c>
      <c r="C541" s="45" t="n">
        <v>0</v>
      </c>
      <c r="D541" s="30" t="inlineStr">
        <is>
          <t>0 FCFA</t>
        </is>
      </c>
      <c r="E541" s="46" t="inlineStr">
        <is>
          <t>Oui</t>
        </is>
      </c>
    </row>
    <row r="542">
      <c r="A542" s="42" t="n">
        <v>83</v>
      </c>
      <c r="B542" s="28" t="inlineStr">
        <is>
          <t>GL écr cré 41195200 Précomptes et cotisations</t>
        </is>
      </c>
      <c r="C542" s="43" t="n">
        <v>130</v>
      </c>
      <c r="D542" s="28" t="inlineStr">
        <is>
          <t>130</t>
        </is>
      </c>
      <c r="E542" s="44" t="inlineStr">
        <is>
          <t>Oui</t>
        </is>
      </c>
    </row>
    <row r="543">
      <c r="A543" s="42" t="n">
        <v>83</v>
      </c>
      <c r="B543" s="30" t="inlineStr">
        <is>
          <t>GL cré 41195200 Précomptes et cotisations</t>
        </is>
      </c>
      <c r="C543" s="45" t="n">
        <v>1837450440</v>
      </c>
      <c r="D543" s="30" t="inlineStr">
        <is>
          <t>1 837 450 440 FCFA</t>
        </is>
      </c>
      <c r="E543" s="46" t="inlineStr">
        <is>
          <t>Oui</t>
        </is>
      </c>
    </row>
    <row r="544">
      <c r="A544" s="42" t="n">
        <v>83</v>
      </c>
      <c r="B544" s="28" t="inlineStr">
        <is>
          <t>GL écr déb 41195200 Règlements EFC</t>
        </is>
      </c>
      <c r="C544" s="43" t="n">
        <v>355</v>
      </c>
      <c r="D544" s="28" t="inlineStr">
        <is>
          <t>355</t>
        </is>
      </c>
      <c r="E544" s="44" t="inlineStr">
        <is>
          <t>Oui</t>
        </is>
      </c>
    </row>
    <row r="545">
      <c r="A545" s="42" t="n">
        <v>83</v>
      </c>
      <c r="B545" s="30" t="inlineStr">
        <is>
          <t>GL déb 41195200 Règlements EFC</t>
        </is>
      </c>
      <c r="C545" s="45" t="n">
        <v>442318346</v>
      </c>
      <c r="D545" s="30" t="inlineStr">
        <is>
          <t>442 318 346 FCFA</t>
        </is>
      </c>
      <c r="E545" s="46" t="inlineStr">
        <is>
          <t>Oui</t>
        </is>
      </c>
    </row>
    <row r="546">
      <c r="A546" s="42" t="n">
        <v>83</v>
      </c>
      <c r="B546" s="28" t="inlineStr">
        <is>
          <t>GL écr cré 41195200 Règlements EFC</t>
        </is>
      </c>
      <c r="C546" s="43" t="n">
        <v>0</v>
      </c>
      <c r="D546" s="28" t="inlineStr">
        <is>
          <t>0</t>
        </is>
      </c>
      <c r="E546" s="44" t="inlineStr">
        <is>
          <t>Oui</t>
        </is>
      </c>
    </row>
    <row r="547">
      <c r="A547" s="42" t="n">
        <v>83</v>
      </c>
      <c r="B547" s="30" t="inlineStr">
        <is>
          <t>GL cré 41195200 Règlements EFC</t>
        </is>
      </c>
      <c r="C547" s="45" t="n">
        <v>0</v>
      </c>
      <c r="D547" s="30" t="inlineStr">
        <is>
          <t>0 FCFA</t>
        </is>
      </c>
      <c r="E547" s="46" t="inlineStr">
        <is>
          <t>Oui</t>
        </is>
      </c>
    </row>
    <row r="548">
      <c r="A548" s="42" t="n">
        <v>83</v>
      </c>
      <c r="B548" s="28" t="inlineStr">
        <is>
          <t>GL écr déb 41195200 Remboursements PEP</t>
        </is>
      </c>
      <c r="C548" s="43" t="n">
        <v>2</v>
      </c>
      <c r="D548" s="28" t="inlineStr">
        <is>
          <t>2</t>
        </is>
      </c>
      <c r="E548" s="44" t="inlineStr">
        <is>
          <t>Oui</t>
        </is>
      </c>
    </row>
    <row r="549">
      <c r="A549" s="42" t="n">
        <v>83</v>
      </c>
      <c r="B549" s="30" t="inlineStr">
        <is>
          <t>GL déb 41195200 Remboursements PEP</t>
        </is>
      </c>
      <c r="C549" s="45" t="n">
        <v>1862400</v>
      </c>
      <c r="D549" s="30" t="inlineStr">
        <is>
          <t>1 862 400 FCFA</t>
        </is>
      </c>
      <c r="E549" s="46" t="inlineStr">
        <is>
          <t>Oui</t>
        </is>
      </c>
    </row>
    <row r="550">
      <c r="A550" s="42" t="n">
        <v>83</v>
      </c>
      <c r="B550" s="28" t="inlineStr">
        <is>
          <t>GL écr cré 41195200 Remboursements PEP</t>
        </is>
      </c>
      <c r="C550" s="43" t="n">
        <v>0</v>
      </c>
      <c r="D550" s="28" t="inlineStr">
        <is>
          <t>0</t>
        </is>
      </c>
      <c r="E550" s="44" t="inlineStr">
        <is>
          <t>Oui</t>
        </is>
      </c>
    </row>
    <row r="551">
      <c r="A551" s="42" t="n">
        <v>83</v>
      </c>
      <c r="B551" s="30" t="inlineStr">
        <is>
          <t>GL cré 41195200 Remboursements PEP</t>
        </is>
      </c>
      <c r="C551" s="45" t="n">
        <v>0</v>
      </c>
      <c r="D551" s="30" t="inlineStr">
        <is>
          <t>0 FCFA</t>
        </is>
      </c>
      <c r="E551" s="46" t="inlineStr">
        <is>
          <t>Oui</t>
        </is>
      </c>
    </row>
    <row r="552">
      <c r="A552" s="42" t="n">
        <v>83</v>
      </c>
      <c r="B552" s="28" t="inlineStr">
        <is>
          <t>Règlements EFC 2024</t>
        </is>
      </c>
      <c r="C552" s="43" t="n">
        <v>355</v>
      </c>
      <c r="D552" s="28" t="inlineStr">
        <is>
          <t>355</t>
        </is>
      </c>
      <c r="E552" s="44" t="inlineStr">
        <is>
          <t>Oui</t>
        </is>
      </c>
    </row>
    <row r="553">
      <c r="A553" s="42" t="n">
        <v>83</v>
      </c>
      <c r="B553" s="30" t="inlineStr">
        <is>
          <t>Montant règlements EFC 2024</t>
        </is>
      </c>
      <c r="C553" s="45" t="n">
        <v>442318346</v>
      </c>
      <c r="D553" s="30" t="inlineStr">
        <is>
          <t>442 318 346 FCFA</t>
        </is>
      </c>
      <c r="E553" s="46" t="inlineStr">
        <is>
          <t>Oui</t>
        </is>
      </c>
    </row>
    <row r="554">
      <c r="A554" s="42" t="n">
        <v>84</v>
      </c>
      <c r="B554" s="28" t="inlineStr">
        <is>
          <t>EFC encours 2025 (t)</t>
        </is>
      </c>
      <c r="C554" s="43" t="n">
        <v>8848845044</v>
      </c>
      <c r="D554" s="28" t="inlineStr">
        <is>
          <t>8 848 845 044 FCFA</t>
        </is>
      </c>
      <c r="E554" s="44" t="inlineStr">
        <is>
          <t>Oui</t>
        </is>
      </c>
    </row>
    <row r="555">
      <c r="A555" s="42" t="n">
        <v>84</v>
      </c>
      <c r="B555" s="30" t="inlineStr">
        <is>
          <t>EFC int 5,5 2025</t>
        </is>
      </c>
      <c r="C555" s="45" t="n">
        <v>486686477.42</v>
      </c>
      <c r="D555" s="30" t="inlineStr">
        <is>
          <t>486 686 477 FCFA</t>
        </is>
      </c>
      <c r="E555" s="46" t="inlineStr">
        <is>
          <t>Oui</t>
        </is>
      </c>
    </row>
    <row r="556">
      <c r="A556" s="42" t="n">
        <v>84</v>
      </c>
      <c r="B556" s="28" t="inlineStr">
        <is>
          <t>EFC enc 2020</t>
        </is>
      </c>
      <c r="C556" s="43" t="n">
        <v>3461975893</v>
      </c>
      <c r="D556" s="28" t="inlineStr">
        <is>
          <t>3 461 975 893 FCFA</t>
        </is>
      </c>
      <c r="E556" s="44" t="inlineStr">
        <is>
          <t>Oui</t>
        </is>
      </c>
    </row>
    <row r="557">
      <c r="A557" s="42" t="n">
        <v>84</v>
      </c>
      <c r="B557" s="30" t="inlineStr">
        <is>
          <t>EFC i3,5 2020</t>
        </is>
      </c>
      <c r="C557" s="45" t="n">
        <v>121169156.255</v>
      </c>
      <c r="D557" s="30" t="inlineStr">
        <is>
          <t>121 169 156 FCFA</t>
        </is>
      </c>
      <c r="E557" s="46" t="inlineStr">
        <is>
          <t>Oui</t>
        </is>
      </c>
    </row>
    <row r="558">
      <c r="A558" s="42" t="n">
        <v>84</v>
      </c>
      <c r="B558" s="28" t="inlineStr">
        <is>
          <t>EFC i5,5 2020</t>
        </is>
      </c>
      <c r="C558" s="43" t="n">
        <v>190408674.115</v>
      </c>
      <c r="D558" s="28" t="inlineStr">
        <is>
          <t>190 408 674 FCFA</t>
        </is>
      </c>
      <c r="E558" s="44" t="inlineStr">
        <is>
          <t>Oui</t>
        </is>
      </c>
    </row>
    <row r="559">
      <c r="A559" s="42" t="n">
        <v>84</v>
      </c>
      <c r="B559" s="30" t="inlineStr">
        <is>
          <t>EFC i14 2020</t>
        </is>
      </c>
      <c r="C559" s="45" t="n">
        <v>484676625.02</v>
      </c>
      <c r="D559" s="30" t="inlineStr">
        <is>
          <t>484 676 625 FCFA</t>
        </is>
      </c>
      <c r="E559" s="46" t="inlineStr">
        <is>
          <t>Oui</t>
        </is>
      </c>
    </row>
    <row r="560">
      <c r="A560" s="42" t="n">
        <v>84</v>
      </c>
      <c r="B560" s="28" t="inlineStr">
        <is>
          <t>EFC enc 2021</t>
        </is>
      </c>
      <c r="C560" s="43" t="n">
        <v>3785064982</v>
      </c>
      <c r="D560" s="28" t="inlineStr">
        <is>
          <t>3 785 064 982 FCFA</t>
        </is>
      </c>
      <c r="E560" s="44" t="inlineStr">
        <is>
          <t>Oui</t>
        </is>
      </c>
    </row>
    <row r="561">
      <c r="A561" s="42" t="n">
        <v>84</v>
      </c>
      <c r="B561" s="30" t="inlineStr">
        <is>
          <t>EFC i3,5 2021</t>
        </is>
      </c>
      <c r="C561" s="45" t="n">
        <v>132477274.37</v>
      </c>
      <c r="D561" s="30" t="inlineStr">
        <is>
          <t>132 477 274 FCFA</t>
        </is>
      </c>
      <c r="E561" s="46" t="inlineStr">
        <is>
          <t>Oui</t>
        </is>
      </c>
    </row>
    <row r="562">
      <c r="A562" s="42" t="n">
        <v>84</v>
      </c>
      <c r="B562" s="28" t="inlineStr">
        <is>
          <t>EFC i5,5 2021</t>
        </is>
      </c>
      <c r="C562" s="43" t="n">
        <v>208178574.01</v>
      </c>
      <c r="D562" s="28" t="inlineStr">
        <is>
          <t>208 178 574 FCFA</t>
        </is>
      </c>
      <c r="E562" s="44" t="inlineStr">
        <is>
          <t>Oui</t>
        </is>
      </c>
    </row>
    <row r="563">
      <c r="A563" s="42" t="n">
        <v>84</v>
      </c>
      <c r="B563" s="30" t="inlineStr">
        <is>
          <t>EFC i14 2021</t>
        </is>
      </c>
      <c r="C563" s="45" t="n">
        <v>529909097.4800001</v>
      </c>
      <c r="D563" s="30" t="inlineStr">
        <is>
          <t>529 909 097 FCFA</t>
        </is>
      </c>
      <c r="E563" s="46" t="inlineStr">
        <is>
          <t>Oui</t>
        </is>
      </c>
    </row>
    <row r="564">
      <c r="A564" s="42" t="n">
        <v>84</v>
      </c>
      <c r="B564" s="28" t="inlineStr">
        <is>
          <t>Prod fin (EFC) 2021</t>
        </is>
      </c>
      <c r="C564" s="43" t="n">
        <v>32409354</v>
      </c>
      <c r="D564" s="28" t="inlineStr">
        <is>
          <t>32 409 354 FCFA</t>
        </is>
      </c>
      <c r="E564" s="44" t="inlineStr">
        <is>
          <t>Oui</t>
        </is>
      </c>
    </row>
    <row r="565">
      <c r="A565" s="42" t="n">
        <v>84</v>
      </c>
      <c r="B565" s="30" t="inlineStr">
        <is>
          <t>EFC enc 2022</t>
        </is>
      </c>
      <c r="C565" s="45" t="n">
        <v>4453948287</v>
      </c>
      <c r="D565" s="30" t="inlineStr">
        <is>
          <t>4 453 948 287 FCFA</t>
        </is>
      </c>
      <c r="E565" s="46" t="inlineStr">
        <is>
          <t>Oui</t>
        </is>
      </c>
    </row>
    <row r="566">
      <c r="A566" s="42" t="n">
        <v>84</v>
      </c>
      <c r="B566" s="28" t="inlineStr">
        <is>
          <t>EFC i3,5 2022</t>
        </is>
      </c>
      <c r="C566" s="43" t="n">
        <v>155888190.045</v>
      </c>
      <c r="D566" s="28" t="inlineStr">
        <is>
          <t>155 888 190 FCFA</t>
        </is>
      </c>
      <c r="E566" s="44" t="inlineStr">
        <is>
          <t>Oui</t>
        </is>
      </c>
    </row>
    <row r="567">
      <c r="A567" s="42" t="n">
        <v>84</v>
      </c>
      <c r="B567" s="30" t="inlineStr">
        <is>
          <t>EFC i5,5 2022</t>
        </is>
      </c>
      <c r="C567" s="45" t="n">
        <v>244967155.785</v>
      </c>
      <c r="D567" s="30" t="inlineStr">
        <is>
          <t>244 967 156 FCFA</t>
        </is>
      </c>
      <c r="E567" s="46" t="inlineStr">
        <is>
          <t>Oui</t>
        </is>
      </c>
    </row>
    <row r="568">
      <c r="A568" s="42" t="n">
        <v>84</v>
      </c>
      <c r="B568" s="28" t="inlineStr">
        <is>
          <t>EFC i14 2022</t>
        </is>
      </c>
      <c r="C568" s="43" t="n">
        <v>623552760.1800001</v>
      </c>
      <c r="D568" s="28" t="inlineStr">
        <is>
          <t>623 552 760 FCFA</t>
        </is>
      </c>
      <c r="E568" s="44" t="inlineStr">
        <is>
          <t>Oui</t>
        </is>
      </c>
    </row>
    <row r="569">
      <c r="A569" s="42" t="n">
        <v>84</v>
      </c>
      <c r="B569" s="30" t="inlineStr">
        <is>
          <t>Prod fin (EFC) 2022</t>
        </is>
      </c>
      <c r="C569" s="45" t="n">
        <v>7258416</v>
      </c>
      <c r="D569" s="30" t="inlineStr">
        <is>
          <t>7 258 416 FCFA</t>
        </is>
      </c>
      <c r="E569" s="46" t="inlineStr">
        <is>
          <t>Oui</t>
        </is>
      </c>
    </row>
    <row r="570">
      <c r="A570" s="42" t="n">
        <v>84</v>
      </c>
      <c r="B570" s="28" t="inlineStr">
        <is>
          <t>EFC enc 2023</t>
        </is>
      </c>
      <c r="C570" s="43" t="n">
        <v>5561470959</v>
      </c>
      <c r="D570" s="28" t="inlineStr">
        <is>
          <t>5 561 470 959 FCFA</t>
        </is>
      </c>
      <c r="E570" s="44" t="inlineStr">
        <is>
          <t>Oui</t>
        </is>
      </c>
    </row>
    <row r="571">
      <c r="A571" s="42" t="n">
        <v>84</v>
      </c>
      <c r="B571" s="30" t="inlineStr">
        <is>
          <t>EFC i3,5 2023</t>
        </is>
      </c>
      <c r="C571" s="45" t="n">
        <v>194651483.565</v>
      </c>
      <c r="D571" s="30" t="inlineStr">
        <is>
          <t>194 651 484 FCFA</t>
        </is>
      </c>
      <c r="E571" s="46" t="inlineStr">
        <is>
          <t>Oui</t>
        </is>
      </c>
    </row>
    <row r="572">
      <c r="A572" s="42" t="n">
        <v>84</v>
      </c>
      <c r="B572" s="28" t="inlineStr">
        <is>
          <t>EFC i5,5 2023</t>
        </is>
      </c>
      <c r="C572" s="43" t="n">
        <v>305880902.745</v>
      </c>
      <c r="D572" s="28" t="inlineStr">
        <is>
          <t>305 880 903 FCFA</t>
        </is>
      </c>
      <c r="E572" s="44" t="inlineStr">
        <is>
          <t>Oui</t>
        </is>
      </c>
    </row>
    <row r="573">
      <c r="A573" s="42" t="n">
        <v>84</v>
      </c>
      <c r="B573" s="30" t="inlineStr">
        <is>
          <t>EFC i14 2023</t>
        </is>
      </c>
      <c r="C573" s="45" t="n">
        <v>778605934.2600001</v>
      </c>
      <c r="D573" s="30" t="inlineStr">
        <is>
          <t>778 605 934 FCFA</t>
        </is>
      </c>
      <c r="E573" s="46" t="inlineStr">
        <is>
          <t>Oui</t>
        </is>
      </c>
    </row>
    <row r="574">
      <c r="A574" s="42" t="n">
        <v>84</v>
      </c>
      <c r="B574" s="28" t="inlineStr">
        <is>
          <t>Prod fin (EFC) 2023</t>
        </is>
      </c>
      <c r="C574" s="43" t="n">
        <v>7124778</v>
      </c>
      <c r="D574" s="28" t="inlineStr">
        <is>
          <t>7 124 778 FCFA</t>
        </is>
      </c>
      <c r="E574" s="44" t="inlineStr">
        <is>
          <t>Oui</t>
        </is>
      </c>
    </row>
    <row r="575">
      <c r="A575" s="42" t="n">
        <v>84</v>
      </c>
      <c r="B575" s="30" t="inlineStr">
        <is>
          <t>EFC enc 2024</t>
        </is>
      </c>
      <c r="C575" s="45" t="n">
        <v>6954740653</v>
      </c>
      <c r="D575" s="30" t="inlineStr">
        <is>
          <t>6 954 740 653 FCFA</t>
        </is>
      </c>
      <c r="E575" s="46" t="inlineStr">
        <is>
          <t>Oui</t>
        </is>
      </c>
    </row>
    <row r="576">
      <c r="A576" s="42" t="n">
        <v>84</v>
      </c>
      <c r="B576" s="28" t="inlineStr">
        <is>
          <t>EFC i3,5 2024</t>
        </is>
      </c>
      <c r="C576" s="43" t="n">
        <v>243415922.855</v>
      </c>
      <c r="D576" s="28" t="inlineStr">
        <is>
          <t>243 415 923 FCFA</t>
        </is>
      </c>
      <c r="E576" s="44" t="inlineStr">
        <is>
          <t>Oui</t>
        </is>
      </c>
    </row>
    <row r="577">
      <c r="A577" s="42" t="n">
        <v>84</v>
      </c>
      <c r="B577" s="30" t="inlineStr">
        <is>
          <t>EFC i5,5 2024</t>
        </is>
      </c>
      <c r="C577" s="45" t="n">
        <v>382510735.915</v>
      </c>
      <c r="D577" s="30" t="inlineStr">
        <is>
          <t>382 510 736 FCFA</t>
        </is>
      </c>
      <c r="E577" s="46" t="inlineStr">
        <is>
          <t>Oui</t>
        </is>
      </c>
    </row>
    <row r="578">
      <c r="A578" s="42" t="n">
        <v>84</v>
      </c>
      <c r="B578" s="28" t="inlineStr">
        <is>
          <t>EFC i14 2024</t>
        </is>
      </c>
      <c r="C578" s="43" t="n">
        <v>973663691.4200001</v>
      </c>
      <c r="D578" s="28" t="inlineStr">
        <is>
          <t>973 663 691 FCFA</t>
        </is>
      </c>
      <c r="E578" s="44" t="inlineStr">
        <is>
          <t>Oui</t>
        </is>
      </c>
    </row>
    <row r="579">
      <c r="A579" s="42" t="n">
        <v>84</v>
      </c>
      <c r="B579" s="30" t="inlineStr">
        <is>
          <t>Prod fin (EFC) 2024</t>
        </is>
      </c>
      <c r="C579" s="45" t="n">
        <v>9176280</v>
      </c>
      <c r="D579" s="30" t="inlineStr">
        <is>
          <t>9 176 280 FCFA</t>
        </is>
      </c>
      <c r="E579" s="46" t="inlineStr">
        <is>
          <t>Oui</t>
        </is>
      </c>
    </row>
    <row r="580">
      <c r="A580" s="42" t="n">
        <v>84</v>
      </c>
      <c r="B580" s="28" t="inlineStr">
        <is>
          <t>EFC enc 2025</t>
        </is>
      </c>
      <c r="C580" s="43" t="n">
        <v>8848845044</v>
      </c>
      <c r="D580" s="28" t="inlineStr">
        <is>
          <t>8 848 845 044 FCFA</t>
        </is>
      </c>
      <c r="E580" s="44" t="inlineStr">
        <is>
          <t>Oui</t>
        </is>
      </c>
    </row>
    <row r="581">
      <c r="A581" s="42" t="n">
        <v>84</v>
      </c>
      <c r="B581" s="30" t="inlineStr">
        <is>
          <t>EFC i3,5 2025</t>
        </is>
      </c>
      <c r="C581" s="45" t="n">
        <v>309709576.54</v>
      </c>
      <c r="D581" s="30" t="inlineStr">
        <is>
          <t>309 709 577 FCFA</t>
        </is>
      </c>
      <c r="E581" s="46" t="inlineStr">
        <is>
          <t>Oui</t>
        </is>
      </c>
    </row>
    <row r="582">
      <c r="A582" s="42" t="n">
        <v>84</v>
      </c>
      <c r="B582" s="28" t="inlineStr">
        <is>
          <t>EFC i5,5 2025</t>
        </is>
      </c>
      <c r="C582" s="43" t="n">
        <v>486686477.42</v>
      </c>
      <c r="D582" s="28" t="inlineStr">
        <is>
          <t>486 686 477 FCFA</t>
        </is>
      </c>
      <c r="E582" s="44" t="inlineStr">
        <is>
          <t>Oui</t>
        </is>
      </c>
    </row>
    <row r="583">
      <c r="A583" s="42" t="n">
        <v>84</v>
      </c>
      <c r="B583" s="30" t="inlineStr">
        <is>
          <t>EFC i14 2025</t>
        </is>
      </c>
      <c r="C583" s="45" t="n">
        <v>1238838306.16</v>
      </c>
      <c r="D583" s="30" t="inlineStr">
        <is>
          <t>1 238 838 306 FCFA</t>
        </is>
      </c>
      <c r="E583" s="46" t="inlineStr">
        <is>
          <t>Oui</t>
        </is>
      </c>
    </row>
    <row r="584">
      <c r="A584" s="42" t="n">
        <v>84</v>
      </c>
      <c r="B584" s="28" t="inlineStr">
        <is>
          <t>Prod fin (EFC) 2025</t>
        </is>
      </c>
      <c r="C584" s="43" t="n">
        <v>117912488</v>
      </c>
      <c r="D584" s="28" t="inlineStr">
        <is>
          <t>117 912 488 FCFA</t>
        </is>
      </c>
      <c r="E584" s="44" t="inlineStr">
        <is>
          <t>Oui</t>
        </is>
      </c>
    </row>
    <row r="585">
      <c r="A585" s="42" t="n">
        <v>84</v>
      </c>
      <c r="B585" s="30" t="inlineStr">
        <is>
          <t>EFC enc 2026</t>
        </is>
      </c>
      <c r="C585" s="45" t="n">
        <v>10514270966</v>
      </c>
      <c r="D585" s="30" t="inlineStr">
        <is>
          <t>10 514 270 966 FCFA</t>
        </is>
      </c>
      <c r="E585" s="46" t="inlineStr">
        <is>
          <t>Oui</t>
        </is>
      </c>
    </row>
    <row r="586">
      <c r="A586" s="42" t="n">
        <v>84</v>
      </c>
      <c r="B586" s="28" t="inlineStr">
        <is>
          <t>EFC i3,5 2026</t>
        </is>
      </c>
      <c r="C586" s="43" t="n">
        <v>367999483.8100001</v>
      </c>
      <c r="D586" s="28" t="inlineStr">
        <is>
          <t>367 999 484 FCFA</t>
        </is>
      </c>
      <c r="E586" s="44" t="inlineStr">
        <is>
          <t>Oui</t>
        </is>
      </c>
    </row>
    <row r="587">
      <c r="A587" s="42" t="n">
        <v>84</v>
      </c>
      <c r="B587" s="30" t="inlineStr">
        <is>
          <t>EFC i5,5 2026</t>
        </is>
      </c>
      <c r="C587" s="45" t="n">
        <v>578284903.13</v>
      </c>
      <c r="D587" s="30" t="inlineStr">
        <is>
          <t>578 284 903 FCFA</t>
        </is>
      </c>
      <c r="E587" s="46" t="inlineStr">
        <is>
          <t>Oui</t>
        </is>
      </c>
    </row>
    <row r="588">
      <c r="A588" s="42" t="n">
        <v>84</v>
      </c>
      <c r="B588" s="28" t="inlineStr">
        <is>
          <t>EFC i14 2026</t>
        </is>
      </c>
      <c r="C588" s="43" t="n">
        <v>1471997935.24</v>
      </c>
      <c r="D588" s="28" t="inlineStr">
        <is>
          <t>1 471 997 935 FCFA</t>
        </is>
      </c>
      <c r="E588" s="44" t="inlineStr">
        <is>
          <t>Oui</t>
        </is>
      </c>
    </row>
    <row r="589">
      <c r="A589" s="42" t="n">
        <v>84</v>
      </c>
      <c r="B589" s="30" t="inlineStr">
        <is>
          <t>EFC i3,5 2025 (t)</t>
        </is>
      </c>
      <c r="C589" s="45" t="n">
        <v>309709576.54</v>
      </c>
      <c r="D589" s="30" t="inlineStr">
        <is>
          <t>309 709 577 FCFA</t>
        </is>
      </c>
      <c r="E589" s="46" t="inlineStr">
        <is>
          <t>Oui</t>
        </is>
      </c>
    </row>
    <row r="590">
      <c r="A590" s="42" t="n">
        <v>85</v>
      </c>
      <c r="B590" s="28" t="inlineStr">
        <is>
          <t>EI total</t>
        </is>
      </c>
      <c r="C590" s="43" t="n">
        <v>3278913237.589167</v>
      </c>
      <c r="D590" s="28" t="inlineStr">
        <is>
          <t>3 278 913 238 FCFA</t>
        </is>
      </c>
      <c r="E590" s="44" t="inlineStr">
        <is>
          <t>Oui</t>
        </is>
      </c>
    </row>
    <row r="591">
      <c r="A591" s="42" t="n">
        <v>85</v>
      </c>
      <c r="B591" s="30" t="inlineStr">
        <is>
          <t>EI dû</t>
        </is>
      </c>
      <c r="C591" s="45" t="n">
        <v>15743516391</v>
      </c>
      <c r="D591" s="30" t="inlineStr">
        <is>
          <t>15 743 516 391 FCFA</t>
        </is>
      </c>
      <c r="E591" s="46" t="inlineStr">
        <is>
          <t>Oui</t>
        </is>
      </c>
    </row>
    <row r="592">
      <c r="A592" s="42" t="n">
        <v>85</v>
      </c>
      <c r="B592" s="28" t="inlineStr">
        <is>
          <t>EI engagement</t>
        </is>
      </c>
      <c r="C592" s="43" t="n">
        <v>19022429628.58916</v>
      </c>
      <c r="D592" s="28" t="inlineStr">
        <is>
          <t>19 022 429 629 FCFA</t>
        </is>
      </c>
      <c r="E592" s="44" t="inlineStr">
        <is>
          <t>Oui</t>
        </is>
      </c>
    </row>
    <row r="593">
      <c r="A593" s="42" t="n">
        <v>85</v>
      </c>
      <c r="B593" s="30" t="inlineStr">
        <is>
          <t>EI pep moy 2020</t>
        </is>
      </c>
      <c r="C593" s="45" t="n">
        <v>7539594956.5</v>
      </c>
      <c r="D593" s="30" t="inlineStr">
        <is>
          <t>7 539 594 956 FCFA</t>
        </is>
      </c>
      <c r="E593" s="46" t="inlineStr">
        <is>
          <t>Oui</t>
        </is>
      </c>
    </row>
    <row r="594">
      <c r="A594" s="42" t="n">
        <v>85</v>
      </c>
      <c r="B594" s="28" t="inlineStr">
        <is>
          <t>EI efc moy 2020</t>
        </is>
      </c>
      <c r="C594" s="43" t="n">
        <v>3490677433</v>
      </c>
      <c r="D594" s="28" t="inlineStr">
        <is>
          <t>3 490 677 433 FCFA</t>
        </is>
      </c>
      <c r="E594" s="44" t="inlineStr">
        <is>
          <t>Oui</t>
        </is>
      </c>
    </row>
    <row r="595">
      <c r="A595" s="42" t="n">
        <v>85</v>
      </c>
      <c r="B595" s="30" t="inlineStr">
        <is>
          <t>EI ip 2020</t>
        </is>
      </c>
      <c r="C595" s="45" t="n">
        <v>263885823.4775001</v>
      </c>
      <c r="D595" s="30" t="inlineStr">
        <is>
          <t>263 885 823 FCFA</t>
        </is>
      </c>
      <c r="E595" s="46" t="inlineStr">
        <is>
          <t>Oui</t>
        </is>
      </c>
    </row>
    <row r="596">
      <c r="A596" s="42" t="n">
        <v>85</v>
      </c>
      <c r="B596" s="28" t="inlineStr">
        <is>
          <t>EI ie 2020</t>
        </is>
      </c>
      <c r="C596" s="43" t="n">
        <v>191987258.815</v>
      </c>
      <c r="D596" s="28" t="inlineStr">
        <is>
          <t>191 987 259 FCFA</t>
        </is>
      </c>
      <c r="E596" s="44" t="inlineStr">
        <is>
          <t>Oui</t>
        </is>
      </c>
    </row>
    <row r="597">
      <c r="A597" s="42" t="n">
        <v>85</v>
      </c>
      <c r="B597" s="30" t="inlineStr">
        <is>
          <t>EI tot 2020</t>
        </is>
      </c>
      <c r="C597" s="45" t="n">
        <v>455873082.2925</v>
      </c>
      <c r="D597" s="30" t="inlineStr">
        <is>
          <t>455 873 082 FCFA</t>
        </is>
      </c>
      <c r="E597" s="46" t="inlineStr">
        <is>
          <t>Oui</t>
        </is>
      </c>
    </row>
    <row r="598">
      <c r="A598" s="42" t="n">
        <v>85</v>
      </c>
      <c r="B598" s="28" t="inlineStr">
        <is>
          <t>EI tot35 2020</t>
        </is>
      </c>
      <c r="C598" s="43" t="n">
        <v>386059533.6325001</v>
      </c>
      <c r="D598" s="28" t="inlineStr">
        <is>
          <t>386 059 534 FCFA</t>
        </is>
      </c>
      <c r="E598" s="44" t="inlineStr">
        <is>
          <t>Oui</t>
        </is>
      </c>
    </row>
    <row r="599">
      <c r="A599" s="42" t="n">
        <v>85</v>
      </c>
      <c r="B599" s="30" t="inlineStr">
        <is>
          <t>EI pep moy 2021</t>
        </is>
      </c>
      <c r="C599" s="45" t="n">
        <v>6864293020.5</v>
      </c>
      <c r="D599" s="30" t="inlineStr">
        <is>
          <t>6 864 293 020 FCFA</t>
        </is>
      </c>
      <c r="E599" s="46" t="inlineStr">
        <is>
          <t>Oui</t>
        </is>
      </c>
    </row>
    <row r="600">
      <c r="A600" s="42" t="n">
        <v>85</v>
      </c>
      <c r="B600" s="28" t="inlineStr">
        <is>
          <t>EI efc moy 2021</t>
        </is>
      </c>
      <c r="C600" s="43" t="n">
        <v>3623520437.5</v>
      </c>
      <c r="D600" s="28" t="inlineStr">
        <is>
          <t>3 623 520 438 FCFA</t>
        </is>
      </c>
      <c r="E600" s="44" t="inlineStr">
        <is>
          <t>Oui</t>
        </is>
      </c>
    </row>
    <row r="601">
      <c r="A601" s="42" t="n">
        <v>85</v>
      </c>
      <c r="B601" s="30" t="inlineStr">
        <is>
          <t>EI ip 2021</t>
        </is>
      </c>
      <c r="C601" s="45" t="n">
        <v>240250255.7175001</v>
      </c>
      <c r="D601" s="30" t="inlineStr">
        <is>
          <t>240 250 256 FCFA</t>
        </is>
      </c>
      <c r="E601" s="46" t="inlineStr">
        <is>
          <t>Oui</t>
        </is>
      </c>
    </row>
    <row r="602">
      <c r="A602" s="42" t="n">
        <v>85</v>
      </c>
      <c r="B602" s="28" t="inlineStr">
        <is>
          <t>EI ie 2021</t>
        </is>
      </c>
      <c r="C602" s="43" t="n">
        <v>199293624.0625</v>
      </c>
      <c r="D602" s="28" t="inlineStr">
        <is>
          <t>199 293 624 FCFA</t>
        </is>
      </c>
      <c r="E602" s="44" t="inlineStr">
        <is>
          <t>Oui</t>
        </is>
      </c>
    </row>
    <row r="603">
      <c r="A603" s="42" t="n">
        <v>85</v>
      </c>
      <c r="B603" s="30" t="inlineStr">
        <is>
          <t>EI tot 2021</t>
        </is>
      </c>
      <c r="C603" s="45" t="n">
        <v>439543879.7800001</v>
      </c>
      <c r="D603" s="30" t="inlineStr">
        <is>
          <t>439 543 880 FCFA</t>
        </is>
      </c>
      <c r="E603" s="46" t="inlineStr">
        <is>
          <t>Oui</t>
        </is>
      </c>
    </row>
    <row r="604">
      <c r="A604" s="42" t="n">
        <v>85</v>
      </c>
      <c r="B604" s="28" t="inlineStr">
        <is>
          <t>EI tot35 2021</t>
        </is>
      </c>
      <c r="C604" s="43" t="n">
        <v>367073471.0300001</v>
      </c>
      <c r="D604" s="28" t="inlineStr">
        <is>
          <t>367 073 471 FCFA</t>
        </is>
      </c>
      <c r="E604" s="44" t="inlineStr">
        <is>
          <t>Oui</t>
        </is>
      </c>
    </row>
    <row r="605">
      <c r="A605" s="42" t="n">
        <v>85</v>
      </c>
      <c r="B605" s="30" t="inlineStr">
        <is>
          <t>EI pep moy 2022</t>
        </is>
      </c>
      <c r="C605" s="45" t="n">
        <v>5636626650</v>
      </c>
      <c r="D605" s="30" t="inlineStr">
        <is>
          <t>5 636 626 650 FCFA</t>
        </is>
      </c>
      <c r="E605" s="46" t="inlineStr">
        <is>
          <t>Oui</t>
        </is>
      </c>
    </row>
    <row r="606">
      <c r="A606" s="42" t="n">
        <v>85</v>
      </c>
      <c r="B606" s="28" t="inlineStr">
        <is>
          <t>EI efc moy 2022</t>
        </is>
      </c>
      <c r="C606" s="43" t="n">
        <v>4119506634.5</v>
      </c>
      <c r="D606" s="28" t="inlineStr">
        <is>
          <t>4 119 506 634 FCFA</t>
        </is>
      </c>
      <c r="E606" s="44" t="inlineStr">
        <is>
          <t>Oui</t>
        </is>
      </c>
    </row>
    <row r="607">
      <c r="A607" s="42" t="n">
        <v>85</v>
      </c>
      <c r="B607" s="30" t="inlineStr">
        <is>
          <t>EI ip 2022</t>
        </is>
      </c>
      <c r="C607" s="45" t="n">
        <v>197281932.75</v>
      </c>
      <c r="D607" s="30" t="inlineStr">
        <is>
          <t>197 281 933 FCFA</t>
        </is>
      </c>
      <c r="E607" s="46" t="inlineStr">
        <is>
          <t>Oui</t>
        </is>
      </c>
    </row>
    <row r="608">
      <c r="A608" s="42" t="n">
        <v>85</v>
      </c>
      <c r="B608" s="28" t="inlineStr">
        <is>
          <t>EI ie 2022</t>
        </is>
      </c>
      <c r="C608" s="43" t="n">
        <v>226572864.8975</v>
      </c>
      <c r="D608" s="28" t="inlineStr">
        <is>
          <t>226 572 865 FCFA</t>
        </is>
      </c>
      <c r="E608" s="44" t="inlineStr">
        <is>
          <t>Oui</t>
        </is>
      </c>
    </row>
    <row r="609">
      <c r="A609" s="42" t="n">
        <v>85</v>
      </c>
      <c r="B609" s="30" t="inlineStr">
        <is>
          <t>EI tot 2022</t>
        </is>
      </c>
      <c r="C609" s="45" t="n">
        <v>423854797.6475</v>
      </c>
      <c r="D609" s="30" t="inlineStr">
        <is>
          <t>423 854 798 FCFA</t>
        </is>
      </c>
      <c r="E609" s="46" t="inlineStr">
        <is>
          <t>Oui</t>
        </is>
      </c>
    </row>
    <row r="610">
      <c r="A610" s="42" t="n">
        <v>85</v>
      </c>
      <c r="B610" s="28" t="inlineStr">
        <is>
          <t>EI tot35 2022</t>
        </is>
      </c>
      <c r="C610" s="43" t="n">
        <v>341464664.9575</v>
      </c>
      <c r="D610" s="28" t="inlineStr">
        <is>
          <t>341 464 665 FCFA</t>
        </is>
      </c>
      <c r="E610" s="44" t="inlineStr">
        <is>
          <t>Oui</t>
        </is>
      </c>
    </row>
    <row r="611">
      <c r="A611" s="42" t="n">
        <v>85</v>
      </c>
      <c r="B611" s="30" t="inlineStr">
        <is>
          <t>EI pep moy 2023</t>
        </is>
      </c>
      <c r="C611" s="45" t="n">
        <v>4235501311.5</v>
      </c>
      <c r="D611" s="30" t="inlineStr">
        <is>
          <t>4 235 501 312 FCFA</t>
        </is>
      </c>
      <c r="E611" s="46" t="inlineStr">
        <is>
          <t>Oui</t>
        </is>
      </c>
    </row>
    <row r="612">
      <c r="A612" s="42" t="n">
        <v>85</v>
      </c>
      <c r="B612" s="28" t="inlineStr">
        <is>
          <t>EI efc moy 2023</t>
        </is>
      </c>
      <c r="C612" s="43" t="n">
        <v>5007709623</v>
      </c>
      <c r="D612" s="28" t="inlineStr">
        <is>
          <t>5 007 709 623 FCFA</t>
        </is>
      </c>
      <c r="E612" s="44" t="inlineStr">
        <is>
          <t>Oui</t>
        </is>
      </c>
    </row>
    <row r="613">
      <c r="A613" s="42" t="n">
        <v>85</v>
      </c>
      <c r="B613" s="30" t="inlineStr">
        <is>
          <t>EI ip 2023</t>
        </is>
      </c>
      <c r="C613" s="45" t="n">
        <v>148242545.9025</v>
      </c>
      <c r="D613" s="30" t="inlineStr">
        <is>
          <t>148 242 546 FCFA</t>
        </is>
      </c>
      <c r="E613" s="46" t="inlineStr">
        <is>
          <t>Oui</t>
        </is>
      </c>
    </row>
    <row r="614">
      <c r="A614" s="42" t="n">
        <v>85</v>
      </c>
      <c r="B614" s="28" t="inlineStr">
        <is>
          <t>EI ie 2023</t>
        </is>
      </c>
      <c r="C614" s="43" t="n">
        <v>275424029.265</v>
      </c>
      <c r="D614" s="28" t="inlineStr">
        <is>
          <t>275 424 029 FCFA</t>
        </is>
      </c>
      <c r="E614" s="44" t="inlineStr">
        <is>
          <t>Oui</t>
        </is>
      </c>
    </row>
    <row r="615">
      <c r="A615" s="42" t="n">
        <v>85</v>
      </c>
      <c r="B615" s="30" t="inlineStr">
        <is>
          <t>EI tot 2023</t>
        </is>
      </c>
      <c r="C615" s="45" t="n">
        <v>423666575.1675</v>
      </c>
      <c r="D615" s="30" t="inlineStr">
        <is>
          <t>423 666 575 FCFA</t>
        </is>
      </c>
      <c r="E615" s="46" t="inlineStr">
        <is>
          <t>Oui</t>
        </is>
      </c>
    </row>
    <row r="616">
      <c r="A616" s="42" t="n">
        <v>85</v>
      </c>
      <c r="B616" s="28" t="inlineStr">
        <is>
          <t>EI tot35 2023</t>
        </is>
      </c>
      <c r="C616" s="43" t="n">
        <v>323512382.7075</v>
      </c>
      <c r="D616" s="28" t="inlineStr">
        <is>
          <t>323 512 383 FCFA</t>
        </is>
      </c>
      <c r="E616" s="44" t="inlineStr">
        <is>
          <t>Oui</t>
        </is>
      </c>
    </row>
    <row r="617">
      <c r="A617" s="42" t="n">
        <v>85</v>
      </c>
      <c r="B617" s="30" t="inlineStr">
        <is>
          <t>EI pep moy 2024</t>
        </is>
      </c>
      <c r="C617" s="45" t="n">
        <v>3695214698</v>
      </c>
      <c r="D617" s="30" t="inlineStr">
        <is>
          <t>3 695 214 698 FCFA</t>
        </is>
      </c>
      <c r="E617" s="46" t="inlineStr">
        <is>
          <t>Oui</t>
        </is>
      </c>
    </row>
    <row r="618">
      <c r="A618" s="42" t="n">
        <v>85</v>
      </c>
      <c r="B618" s="28" t="inlineStr">
        <is>
          <t>EI efc moy 2024</t>
        </is>
      </c>
      <c r="C618" s="43" t="n">
        <v>6258105806</v>
      </c>
      <c r="D618" s="28" t="inlineStr">
        <is>
          <t>6 258 105 806 FCFA</t>
        </is>
      </c>
      <c r="E618" s="44" t="inlineStr">
        <is>
          <t>Oui</t>
        </is>
      </c>
    </row>
    <row r="619">
      <c r="A619" s="42" t="n">
        <v>85</v>
      </c>
      <c r="B619" s="30" t="inlineStr">
        <is>
          <t>EI ip 2024</t>
        </is>
      </c>
      <c r="C619" s="45" t="n">
        <v>129332514.43</v>
      </c>
      <c r="D619" s="30" t="inlineStr">
        <is>
          <t>129 332 514 FCFA</t>
        </is>
      </c>
      <c r="E619" s="46" t="inlineStr">
        <is>
          <t>Oui</t>
        </is>
      </c>
    </row>
    <row r="620">
      <c r="A620" s="42" t="n">
        <v>85</v>
      </c>
      <c r="B620" s="28" t="inlineStr">
        <is>
          <t>EI ie 2024</t>
        </is>
      </c>
      <c r="C620" s="43" t="n">
        <v>344195819.33</v>
      </c>
      <c r="D620" s="28" t="inlineStr">
        <is>
          <t>344 195 819 FCFA</t>
        </is>
      </c>
      <c r="E620" s="44" t="inlineStr">
        <is>
          <t>Oui</t>
        </is>
      </c>
    </row>
    <row r="621">
      <c r="A621" s="42" t="n">
        <v>85</v>
      </c>
      <c r="B621" s="30" t="inlineStr">
        <is>
          <t>EI tot 2024</t>
        </is>
      </c>
      <c r="C621" s="45" t="n">
        <v>473528333.76</v>
      </c>
      <c r="D621" s="30" t="inlineStr">
        <is>
          <t>473 528 334 FCFA</t>
        </is>
      </c>
      <c r="E621" s="46" t="inlineStr">
        <is>
          <t>Oui</t>
        </is>
      </c>
    </row>
    <row r="622">
      <c r="A622" s="42" t="n">
        <v>85</v>
      </c>
      <c r="B622" s="28" t="inlineStr">
        <is>
          <t>EI tot35 2024</t>
        </is>
      </c>
      <c r="C622" s="43" t="n">
        <v>348366217.64</v>
      </c>
      <c r="D622" s="28" t="inlineStr">
        <is>
          <t>348 366 218 FCFA</t>
        </is>
      </c>
      <c r="E622" s="44" t="inlineStr">
        <is>
          <t>Oui</t>
        </is>
      </c>
    </row>
    <row r="623">
      <c r="A623" s="42" t="n">
        <v>85</v>
      </c>
      <c r="B623" s="30" t="inlineStr">
        <is>
          <t>EI pep moy 2025</t>
        </is>
      </c>
      <c r="C623" s="45" t="n">
        <v>4397772849.5</v>
      </c>
      <c r="D623" s="30" t="inlineStr">
        <is>
          <t>4 397 772 850 FCFA</t>
        </is>
      </c>
      <c r="E623" s="46" t="inlineStr">
        <is>
          <t>Oui</t>
        </is>
      </c>
    </row>
    <row r="624">
      <c r="A624" s="42" t="n">
        <v>85</v>
      </c>
      <c r="B624" s="28" t="inlineStr">
        <is>
          <t>EI efc moy 2025</t>
        </is>
      </c>
      <c r="C624" s="43" t="n">
        <v>7901792848.5</v>
      </c>
      <c r="D624" s="28" t="inlineStr">
        <is>
          <t>7 901 792 848 FCFA</t>
        </is>
      </c>
      <c r="E624" s="44" t="inlineStr">
        <is>
          <t>Oui</t>
        </is>
      </c>
    </row>
    <row r="625">
      <c r="A625" s="42" t="n">
        <v>85</v>
      </c>
      <c r="B625" s="30" t="inlineStr">
        <is>
          <t>EI ip 2025</t>
        </is>
      </c>
      <c r="C625" s="45" t="n">
        <v>153922049.7325</v>
      </c>
      <c r="D625" s="30" t="inlineStr">
        <is>
          <t>153 922 050 FCFA</t>
        </is>
      </c>
      <c r="E625" s="46" t="inlineStr">
        <is>
          <t>Oui</t>
        </is>
      </c>
    </row>
    <row r="626">
      <c r="A626" s="42" t="n">
        <v>85</v>
      </c>
      <c r="B626" s="28" t="inlineStr">
        <is>
          <t>EI ie 2025</t>
        </is>
      </c>
      <c r="C626" s="43" t="n">
        <v>434598606.6675</v>
      </c>
      <c r="D626" s="28" t="inlineStr">
        <is>
          <t>434 598 607 FCFA</t>
        </is>
      </c>
      <c r="E626" s="44" t="inlineStr">
        <is>
          <t>Oui</t>
        </is>
      </c>
    </row>
    <row r="627">
      <c r="A627" s="42" t="n">
        <v>85</v>
      </c>
      <c r="B627" s="30" t="inlineStr">
        <is>
          <t>EI tot 2025</t>
        </is>
      </c>
      <c r="C627" s="45" t="n">
        <v>588520656.4000001</v>
      </c>
      <c r="D627" s="30" t="inlineStr">
        <is>
          <t>588 520 656 FCFA</t>
        </is>
      </c>
      <c r="E627" s="46" t="inlineStr">
        <is>
          <t>Oui</t>
        </is>
      </c>
    </row>
    <row r="628">
      <c r="A628" s="42" t="n">
        <v>85</v>
      </c>
      <c r="B628" s="28" t="inlineStr">
        <is>
          <t>EI tot35 2025</t>
        </is>
      </c>
      <c r="C628" s="43" t="n">
        <v>430484799.4300001</v>
      </c>
      <c r="D628" s="28" t="inlineStr">
        <is>
          <t>430 484 799 FCFA</t>
        </is>
      </c>
      <c r="E628" s="44" t="inlineStr">
        <is>
          <t>Oui</t>
        </is>
      </c>
    </row>
    <row r="629">
      <c r="A629" s="42" t="n">
        <v>85</v>
      </c>
      <c r="B629" s="30" t="inlineStr">
        <is>
          <t>EI pep moy 2026</t>
        </is>
      </c>
      <c r="C629" s="45" t="n">
        <v>5097233672.5</v>
      </c>
      <c r="D629" s="30" t="inlineStr">
        <is>
          <t>5 097 233 672 FCFA</t>
        </is>
      </c>
      <c r="E629" s="46" t="inlineStr">
        <is>
          <t>Oui</t>
        </is>
      </c>
    </row>
    <row r="630">
      <c r="A630" s="42" t="n">
        <v>85</v>
      </c>
      <c r="B630" s="28" t="inlineStr">
        <is>
          <t>EI efc moy 2026</t>
        </is>
      </c>
      <c r="C630" s="43" t="n">
        <v>9681558005</v>
      </c>
      <c r="D630" s="28" t="inlineStr">
        <is>
          <t>9 681 558 005 FCFA</t>
        </is>
      </c>
      <c r="E630" s="44" t="inlineStr">
        <is>
          <t>Oui</t>
        </is>
      </c>
    </row>
    <row r="631">
      <c r="A631" s="42" t="n">
        <v>85</v>
      </c>
      <c r="B631" s="30" t="inlineStr">
        <is>
          <t>EI ip 2026</t>
        </is>
      </c>
      <c r="C631" s="45" t="n">
        <v>118935452.3583333</v>
      </c>
      <c r="D631" s="30" t="inlineStr">
        <is>
          <t>118 935 452 FCFA</t>
        </is>
      </c>
      <c r="E631" s="46" t="inlineStr">
        <is>
          <t>Oui</t>
        </is>
      </c>
    </row>
    <row r="632">
      <c r="A632" s="42" t="n">
        <v>85</v>
      </c>
      <c r="B632" s="28" t="inlineStr">
        <is>
          <t>EI ie 2026</t>
        </is>
      </c>
      <c r="C632" s="43" t="n">
        <v>354990460.1833333</v>
      </c>
      <c r="D632" s="28" t="inlineStr">
        <is>
          <t>354 990 460 FCFA</t>
        </is>
      </c>
      <c r="E632" s="44" t="inlineStr">
        <is>
          <t>Oui</t>
        </is>
      </c>
    </row>
    <row r="633">
      <c r="A633" s="42" t="n">
        <v>85</v>
      </c>
      <c r="B633" s="30" t="inlineStr">
        <is>
          <t>EI tot 2026</t>
        </is>
      </c>
      <c r="C633" s="45" t="n">
        <v>473925912.5416667</v>
      </c>
      <c r="D633" s="30" t="inlineStr">
        <is>
          <t>473 925 913 FCFA</t>
        </is>
      </c>
      <c r="E633" s="46" t="inlineStr">
        <is>
          <t>Oui</t>
        </is>
      </c>
    </row>
    <row r="634">
      <c r="A634" s="42" t="n">
        <v>85</v>
      </c>
      <c r="B634" s="28" t="inlineStr">
        <is>
          <t>EI tot35 2026</t>
        </is>
      </c>
      <c r="C634" s="43" t="n">
        <v>344838472.475</v>
      </c>
      <c r="D634" s="28" t="inlineStr">
        <is>
          <t>344 838 472 FCFA</t>
        </is>
      </c>
      <c r="E634" s="44" t="inlineStr">
        <is>
          <t>Oui</t>
        </is>
      </c>
    </row>
    <row r="635">
      <c r="A635" s="42" t="n">
        <v>85</v>
      </c>
      <c r="B635" s="30" t="inlineStr">
        <is>
          <t>EI ip tot</t>
        </is>
      </c>
      <c r="C635" s="45" t="n">
        <v>1251850574.368334</v>
      </c>
      <c r="D635" s="30" t="inlineStr">
        <is>
          <t>1 251 850 574 FCFA</t>
        </is>
      </c>
      <c r="E635" s="46" t="inlineStr">
        <is>
          <t>Oui</t>
        </is>
      </c>
    </row>
    <row r="636">
      <c r="A636" s="42" t="n">
        <v>85</v>
      </c>
      <c r="B636" s="28" t="inlineStr">
        <is>
          <t>EI ie tot</t>
        </is>
      </c>
      <c r="C636" s="43" t="n">
        <v>2027062663.220833</v>
      </c>
      <c r="D636" s="28" t="inlineStr">
        <is>
          <t>2 027 062 663 FCFA</t>
        </is>
      </c>
      <c r="E636" s="44" t="inlineStr">
        <is>
          <t>Oui</t>
        </is>
      </c>
    </row>
    <row r="637">
      <c r="A637" s="42" t="n">
        <v>85</v>
      </c>
      <c r="B637" s="30" t="inlineStr">
        <is>
          <t>EI tot (t)</t>
        </is>
      </c>
      <c r="C637" s="45" t="n">
        <v>3278913237.589167</v>
      </c>
      <c r="D637" s="30" t="inlineStr">
        <is>
          <t>3 278 913 238 FCFA</t>
        </is>
      </c>
      <c r="E637" s="46" t="inlineStr">
        <is>
          <t>Oui</t>
        </is>
      </c>
    </row>
    <row r="638">
      <c r="A638" s="42" t="n">
        <v>85</v>
      </c>
      <c r="B638" s="28" t="inlineStr">
        <is>
          <t>EI tot35 (t)</t>
        </is>
      </c>
      <c r="C638" s="43" t="n">
        <v>2541799541.8725</v>
      </c>
      <c r="D638" s="28" t="inlineStr">
        <is>
          <t>2 541 799 542 FCFA</t>
        </is>
      </c>
      <c r="E638" s="44" t="inlineStr">
        <is>
          <t>Oui</t>
        </is>
      </c>
    </row>
    <row r="639">
      <c r="A639" s="42" t="n">
        <v>85</v>
      </c>
      <c r="B639" s="30" t="inlineStr">
        <is>
          <t>EI bas</t>
        </is>
      </c>
      <c r="C639" s="45" t="n">
        <v>2541799541.8725</v>
      </c>
      <c r="D639" s="30" t="inlineStr">
        <is>
          <t>2 541 799 542 FCFA</t>
        </is>
      </c>
      <c r="E639" s="46" t="inlineStr">
        <is>
          <t>Oui</t>
        </is>
      </c>
    </row>
    <row r="640">
      <c r="A640" s="42" t="n">
        <v>85</v>
      </c>
      <c r="B640" s="28" t="inlineStr">
        <is>
          <t>EI haut</t>
        </is>
      </c>
      <c r="C640" s="43" t="n">
        <v>3278913237.589167</v>
      </c>
      <c r="D640" s="28" t="inlineStr">
        <is>
          <t>3 278 913 238 FCFA</t>
        </is>
      </c>
      <c r="E640" s="44" t="inlineStr">
        <is>
          <t>Oui</t>
        </is>
      </c>
    </row>
    <row r="641">
      <c r="A641" s="42" t="n">
        <v>85</v>
      </c>
      <c r="B641" s="30" t="inlineStr">
        <is>
          <t>EI 2025</t>
        </is>
      </c>
      <c r="C641" s="45" t="n">
        <v>2804987325.0475</v>
      </c>
      <c r="D641" s="30" t="inlineStr">
        <is>
          <t>2 804 987 325 FCFA</t>
        </is>
      </c>
      <c r="E641" s="46" t="inlineStr">
        <is>
          <t>Oui</t>
        </is>
      </c>
    </row>
    <row r="642">
      <c r="A642" s="42" t="n">
        <v>85</v>
      </c>
      <c r="B642" s="28" t="inlineStr">
        <is>
          <t>EI fois pf</t>
        </is>
      </c>
      <c r="C642" s="43" t="n">
        <v>16.13162005886532</v>
      </c>
      <c r="D642" s="28" t="inlineStr">
        <is>
          <t>16,1</t>
        </is>
      </c>
      <c r="E642" s="44" t="inlineStr">
        <is>
          <t>Oui</t>
        </is>
      </c>
    </row>
    <row r="643">
      <c r="A643" s="42" t="n">
        <v>85</v>
      </c>
      <c r="B643" s="30" t="inlineStr">
        <is>
          <t>EI pf</t>
        </is>
      </c>
      <c r="C643" s="45" t="n">
        <v>173881316</v>
      </c>
      <c r="D643" s="30" t="inlineStr">
        <is>
          <t>173 881 316 FCFA</t>
        </is>
      </c>
      <c r="E643" s="46" t="inlineStr">
        <is>
          <t>Oui</t>
        </is>
      </c>
    </row>
    <row r="644">
      <c r="A644" s="42" t="n">
        <v>86</v>
      </c>
      <c r="B644" s="28" t="inlineStr">
        <is>
          <t>RG PEP 2025</t>
        </is>
      </c>
      <c r="C644" s="43" t="n">
        <v>2038935495</v>
      </c>
      <c r="D644" s="28" t="inlineStr">
        <is>
          <t>2 038 935 495 FCFA</t>
        </is>
      </c>
      <c r="E644" s="44" t="inlineStr">
        <is>
          <t>Oui</t>
        </is>
      </c>
    </row>
    <row r="645">
      <c r="A645" s="42" t="n">
        <v>86</v>
      </c>
      <c r="B645" s="30" t="inlineStr">
        <is>
          <t>Crédits PEP 2025</t>
        </is>
      </c>
      <c r="C645" s="45" t="n">
        <v>2038935495</v>
      </c>
      <c r="D645" s="30" t="inlineStr">
        <is>
          <t>2 038 935 495 FCFA</t>
        </is>
      </c>
      <c r="E645" s="46" t="inlineStr">
        <is>
          <t>Oui</t>
        </is>
      </c>
    </row>
    <row r="646">
      <c r="A646" s="42" t="n">
        <v>86</v>
      </c>
      <c r="B646" s="28" t="inlineStr">
        <is>
          <t>Solde PEP 2025 (RG)</t>
        </is>
      </c>
      <c r="C646" s="43" t="n">
        <v>4965221920</v>
      </c>
      <c r="D646" s="28" t="inlineStr">
        <is>
          <t>4 965 221 920 FCFA</t>
        </is>
      </c>
      <c r="E646" s="44" t="inlineStr">
        <is>
          <t>Oui</t>
        </is>
      </c>
    </row>
    <row r="647">
      <c r="A647" s="42" t="n">
        <v>86</v>
      </c>
      <c r="B647" s="30" t="inlineStr">
        <is>
          <t>Solde PEP 2024 (RG)</t>
        </is>
      </c>
      <c r="C647" s="45" t="n">
        <v>3830323779</v>
      </c>
      <c r="D647" s="30" t="inlineStr">
        <is>
          <t>3 830 323 779 FCFA</t>
        </is>
      </c>
      <c r="E647" s="46" t="inlineStr">
        <is>
          <t>Oui</t>
        </is>
      </c>
    </row>
    <row r="648">
      <c r="A648" s="42" t="n">
        <v>86</v>
      </c>
      <c r="B648" s="28" t="inlineStr">
        <is>
          <t>RG EFC 2025</t>
        </is>
      </c>
      <c r="C648" s="43" t="n">
        <v>2348888140</v>
      </c>
      <c r="D648" s="28" t="inlineStr">
        <is>
          <t>2 348 888 140 FCFA</t>
        </is>
      </c>
      <c r="E648" s="44" t="inlineStr">
        <is>
          <t>Oui</t>
        </is>
      </c>
    </row>
    <row r="649">
      <c r="A649" s="42" t="n">
        <v>86</v>
      </c>
      <c r="B649" s="30" t="inlineStr">
        <is>
          <t>Crédits EFC 2025</t>
        </is>
      </c>
      <c r="C649" s="45" t="n">
        <v>2348888140</v>
      </c>
      <c r="D649" s="30" t="inlineStr">
        <is>
          <t>2 348 888 140 FCFA</t>
        </is>
      </c>
      <c r="E649" s="46" t="inlineStr">
        <is>
          <t>Oui</t>
        </is>
      </c>
    </row>
    <row r="650">
      <c r="A650" s="42" t="n">
        <v>86</v>
      </c>
      <c r="B650" s="28" t="inlineStr">
        <is>
          <t>Solde EFC 2025 (RG)</t>
        </is>
      </c>
      <c r="C650" s="43" t="n">
        <v>8848845044</v>
      </c>
      <c r="D650" s="28" t="inlineStr">
        <is>
          <t>8 848 845 044 FCFA</t>
        </is>
      </c>
      <c r="E650" s="44" t="inlineStr">
        <is>
          <t>Oui</t>
        </is>
      </c>
    </row>
    <row r="651">
      <c r="A651" s="42" t="n">
        <v>86</v>
      </c>
      <c r="B651" s="30" t="inlineStr">
        <is>
          <t>Solde EFC 2024 (RG)</t>
        </is>
      </c>
      <c r="C651" s="45" t="n">
        <v>6954740653</v>
      </c>
      <c r="D651" s="30" t="inlineStr">
        <is>
          <t>6 954 740 653 FCFA</t>
        </is>
      </c>
      <c r="E651" s="46" t="inlineStr">
        <is>
          <t>Oui</t>
        </is>
      </c>
    </row>
    <row r="652">
      <c r="A652" s="42" t="n">
        <v>86</v>
      </c>
      <c r="B652" s="28" t="inlineStr">
        <is>
          <t>RG total 2025</t>
        </is>
      </c>
      <c r="C652" s="43" t="n">
        <v>4387823635</v>
      </c>
      <c r="D652" s="28" t="inlineStr">
        <is>
          <t>4 387 823 635 FCFA</t>
        </is>
      </c>
      <c r="E652" s="44" t="inlineStr">
        <is>
          <t>Oui</t>
        </is>
      </c>
    </row>
    <row r="653">
      <c r="A653" s="42" t="n">
        <v>86</v>
      </c>
      <c r="B653" s="30" t="inlineStr">
        <is>
          <t>Crédits total 2025</t>
        </is>
      </c>
      <c r="C653" s="45" t="n">
        <v>4387823635</v>
      </c>
      <c r="D653" s="30" t="inlineStr">
        <is>
          <t>4 387 823 635 FCFA</t>
        </is>
      </c>
      <c r="E653" s="46" t="inlineStr">
        <is>
          <t>Oui</t>
        </is>
      </c>
    </row>
    <row r="654">
      <c r="A654" s="42" t="n">
        <v>86</v>
      </c>
      <c r="B654" s="28" t="inlineStr">
        <is>
          <t>Solde total 2025 (RG)</t>
        </is>
      </c>
      <c r="C654" s="43" t="n">
        <v>13814066964</v>
      </c>
      <c r="D654" s="28" t="inlineStr">
        <is>
          <t>13 814 066 964 FCFA</t>
        </is>
      </c>
      <c r="E654" s="44" t="inlineStr">
        <is>
          <t>Oui</t>
        </is>
      </c>
    </row>
    <row r="655">
      <c r="A655" s="42" t="n">
        <v>86</v>
      </c>
      <c r="B655" s="30" t="inlineStr">
        <is>
          <t>Solde total 2024 (RG)</t>
        </is>
      </c>
      <c r="C655" s="45" t="n">
        <v>10785064432</v>
      </c>
      <c r="D655" s="30" t="inlineStr">
        <is>
          <t>10 785 064 432 FCFA</t>
        </is>
      </c>
      <c r="E655" s="46" t="inlineStr">
        <is>
          <t>Oui</t>
        </is>
      </c>
    </row>
    <row r="656">
      <c r="A656" s="42" t="n">
        <v>89</v>
      </c>
      <c r="B656" s="28" t="inlineStr">
        <is>
          <t>Prêts</t>
        </is>
      </c>
      <c r="C656" s="43" t="n">
        <v>2959</v>
      </c>
      <c r="D656" s="28" t="inlineStr">
        <is>
          <t>2 959</t>
        </is>
      </c>
      <c r="E656" s="44" t="inlineStr">
        <is>
          <t>Oui</t>
        </is>
      </c>
    </row>
    <row r="657">
      <c r="A657" s="42" t="n">
        <v>89</v>
      </c>
      <c r="B657" s="30" t="inlineStr">
        <is>
          <t>Encours (gr)</t>
        </is>
      </c>
      <c r="C657" s="45" t="n">
        <v>1044302107</v>
      </c>
      <c r="D657" s="30" t="inlineStr">
        <is>
          <t>1 044 302 107 FCFA</t>
        </is>
      </c>
      <c r="E657" s="46" t="inlineStr">
        <is>
          <t>Oui</t>
        </is>
      </c>
    </row>
    <row r="658">
      <c r="A658" s="42" t="n">
        <v>89</v>
      </c>
      <c r="B658" s="28" t="inlineStr">
        <is>
          <t>Financement FPPN</t>
        </is>
      </c>
      <c r="C658" s="43" t="n">
        <v>915477260</v>
      </c>
      <c r="D658" s="28" t="inlineStr">
        <is>
          <t>915 477 260 FCFA</t>
        </is>
      </c>
      <c r="E658" s="44" t="inlineStr">
        <is>
          <t>Oui</t>
        </is>
      </c>
    </row>
    <row r="659">
      <c r="A659" s="42" t="n">
        <v>89</v>
      </c>
      <c r="B659" s="30" t="inlineStr">
        <is>
          <t>TCAM encours</t>
        </is>
      </c>
      <c r="C659" s="45" t="n">
        <v>0.6563865177006094</v>
      </c>
      <c r="D659" s="30" t="inlineStr">
        <is>
          <t>65,64 %</t>
        </is>
      </c>
      <c r="E659" s="46" t="inlineStr">
        <is>
          <t>Oui</t>
        </is>
      </c>
    </row>
    <row r="660">
      <c r="A660" s="42" t="n">
        <v>89</v>
      </c>
      <c r="B660" s="28" t="inlineStr">
        <is>
          <t>Encours 2021</t>
        </is>
      </c>
      <c r="C660" s="43" t="n">
        <v>7900000</v>
      </c>
      <c r="D660" s="28" t="inlineStr">
        <is>
          <t>7 900 000 FCFA</t>
        </is>
      </c>
      <c r="E660" s="44" t="inlineStr">
        <is>
          <t>Oui</t>
        </is>
      </c>
    </row>
    <row r="661">
      <c r="A661" s="42" t="n">
        <v>89</v>
      </c>
      <c r="B661" s="30" t="inlineStr">
        <is>
          <t>Encours 2026 (t)</t>
        </is>
      </c>
      <c r="C661" s="45" t="n">
        <v>1044302107</v>
      </c>
      <c r="D661" s="30" t="inlineStr">
        <is>
          <t>1 044 302 107 FCFA</t>
        </is>
      </c>
      <c r="E661" s="46" t="inlineStr">
        <is>
          <t>Oui</t>
        </is>
      </c>
    </row>
    <row r="662">
      <c r="A662" s="42" t="n">
        <v>89</v>
      </c>
      <c r="B662" s="28" t="inlineStr">
        <is>
          <t>Mult encours</t>
        </is>
      </c>
      <c r="C662" s="43" t="n">
        <v>132.1901401265823</v>
      </c>
      <c r="D662" s="28" t="inlineStr">
        <is>
          <t>132,19</t>
        </is>
      </c>
      <c r="E662" s="44" t="inlineStr">
        <is>
          <t>Oui</t>
        </is>
      </c>
    </row>
    <row r="663">
      <c r="A663" s="42" t="n">
        <v>89</v>
      </c>
      <c r="B663" s="30" t="inlineStr">
        <is>
          <t>Part financement</t>
        </is>
      </c>
      <c r="C663" s="45" t="n">
        <v>0.8766402498506115</v>
      </c>
      <c r="D663" s="30" t="inlineStr">
        <is>
          <t>87,66 %</t>
        </is>
      </c>
      <c r="E663" s="46" t="inlineStr">
        <is>
          <t>Oui</t>
        </is>
      </c>
    </row>
    <row r="664">
      <c r="A664" s="42" t="n">
        <v>89</v>
      </c>
      <c r="B664" s="28" t="inlineStr">
        <is>
          <t>Durée médiane</t>
        </is>
      </c>
      <c r="C664" s="43" t="n">
        <v>10</v>
      </c>
      <c r="D664" s="28" t="inlineStr">
        <is>
          <t>10</t>
        </is>
      </c>
      <c r="E664" s="44" t="inlineStr">
        <is>
          <t>Oui</t>
        </is>
      </c>
    </row>
    <row r="665">
      <c r="A665" s="42" t="n">
        <v>89</v>
      </c>
      <c r="B665" s="30" t="inlineStr">
        <is>
          <t>Taux médian</t>
        </is>
      </c>
      <c r="C665" s="45" t="n">
        <v>18</v>
      </c>
      <c r="D665" s="30" t="inlineStr">
        <is>
          <t>18,00 %</t>
        </is>
      </c>
      <c r="E665" s="46" t="inlineStr">
        <is>
          <t>Oui</t>
        </is>
      </c>
    </row>
    <row r="666">
      <c r="A666" s="42" t="n">
        <v>90</v>
      </c>
      <c r="B666" s="28" t="inlineStr">
        <is>
          <t>Prod 2022</t>
        </is>
      </c>
      <c r="C666" s="43" t="n">
        <v>269775100</v>
      </c>
      <c r="D666" s="28" t="inlineStr">
        <is>
          <t>269 775 100 FCFA</t>
        </is>
      </c>
      <c r="E666" s="44" t="inlineStr">
        <is>
          <t>Oui</t>
        </is>
      </c>
    </row>
    <row r="667">
      <c r="A667" s="42" t="n">
        <v>90</v>
      </c>
      <c r="B667" s="30" t="inlineStr">
        <is>
          <t>Prod 2025</t>
        </is>
      </c>
      <c r="C667" s="45" t="n">
        <v>1609400144</v>
      </c>
      <c r="D667" s="30" t="inlineStr">
        <is>
          <t>1 609 400 144 FCFA</t>
        </is>
      </c>
      <c r="E667" s="46" t="inlineStr">
        <is>
          <t>Oui</t>
        </is>
      </c>
    </row>
    <row r="668">
      <c r="A668" s="42" t="n">
        <v>90</v>
      </c>
      <c r="B668" s="28" t="inlineStr">
        <is>
          <t>Nb prêts 2025</t>
        </is>
      </c>
      <c r="C668" s="43" t="n">
        <v>4774</v>
      </c>
      <c r="D668" s="28" t="inlineStr">
        <is>
          <t>4 774</t>
        </is>
      </c>
      <c r="E668" s="44" t="inlineStr">
        <is>
          <t>Oui</t>
        </is>
      </c>
    </row>
    <row r="669">
      <c r="A669" s="42" t="n">
        <v>90</v>
      </c>
      <c r="B669" s="30" t="inlineStr">
        <is>
          <t>Mult prod</t>
        </is>
      </c>
      <c r="C669" s="45" t="n">
        <v>5.96571048995997</v>
      </c>
      <c r="D669" s="30" t="inlineStr">
        <is>
          <t>5,97</t>
        </is>
      </c>
      <c r="E669" s="46" t="inlineStr">
        <is>
          <t>Oui</t>
        </is>
      </c>
    </row>
    <row r="670">
      <c r="A670" s="42" t="n">
        <v>90</v>
      </c>
      <c r="B670" s="28" t="inlineStr">
        <is>
          <t>Part scol+hab</t>
        </is>
      </c>
      <c r="C670" s="43" t="n">
        <v>0.6612076387387226</v>
      </c>
      <c r="D670" s="28" t="inlineStr">
        <is>
          <t>66,12 %</t>
        </is>
      </c>
      <c r="E670" s="44" t="inlineStr">
        <is>
          <t>Oui</t>
        </is>
      </c>
    </row>
    <row r="671">
      <c r="A671" s="42" t="n">
        <v>91</v>
      </c>
      <c r="B671" s="30" t="inlineStr">
        <is>
          <t>PAR30 janv 2026</t>
        </is>
      </c>
      <c r="C671" s="45" t="n">
        <v>0.6196423757201238</v>
      </c>
      <c r="D671" s="30" t="inlineStr">
        <is>
          <t>61,96 %</t>
        </is>
      </c>
      <c r="E671" s="46" t="inlineStr">
        <is>
          <t>Oui</t>
        </is>
      </c>
    </row>
    <row r="672">
      <c r="A672" s="42" t="n">
        <v>91</v>
      </c>
      <c r="B672" s="28" t="inlineStr">
        <is>
          <t>PAR30 août 2026</t>
        </is>
      </c>
      <c r="C672" s="43" t="n">
        <v>0.01834967570356535</v>
      </c>
      <c r="D672" s="28" t="inlineStr">
        <is>
          <t>1,83 %</t>
        </is>
      </c>
      <c r="E672" s="44" t="inlineStr">
        <is>
          <t>Oui</t>
        </is>
      </c>
    </row>
    <row r="673">
      <c r="A673" s="42" t="n">
        <v>91</v>
      </c>
      <c r="B673" s="30" t="inlineStr">
        <is>
          <t>Prêts retard 30</t>
        </is>
      </c>
      <c r="C673" s="45" t="n">
        <v>150</v>
      </c>
      <c r="D673" s="30" t="inlineStr">
        <is>
          <t>150</t>
        </is>
      </c>
      <c r="E673" s="46" t="inlineStr">
        <is>
          <t>Oui</t>
        </is>
      </c>
    </row>
    <row r="674">
      <c r="A674" s="42" t="n">
        <v>91</v>
      </c>
      <c r="B674" s="28" t="inlineStr">
        <is>
          <t>Prêts (ic)</t>
        </is>
      </c>
      <c r="C674" s="43" t="n">
        <v>2959</v>
      </c>
      <c r="D674" s="28" t="inlineStr">
        <is>
          <t>2 959</t>
        </is>
      </c>
      <c r="E674" s="44" t="inlineStr">
        <is>
          <t>Oui</t>
        </is>
      </c>
    </row>
    <row r="675">
      <c r="A675" s="42" t="n">
        <v>91</v>
      </c>
      <c r="B675" s="30" t="inlineStr">
        <is>
          <t>Part prêts retard</t>
        </is>
      </c>
      <c r="C675" s="45" t="n">
        <v>0.05069280162216965</v>
      </c>
      <c r="D675" s="30" t="inlineStr">
        <is>
          <t>5,07 %</t>
        </is>
      </c>
      <c r="E675" s="46" t="inlineStr">
        <is>
          <t>Oui</t>
        </is>
      </c>
    </row>
    <row r="676">
      <c r="A676" s="42" t="n">
        <v>91</v>
      </c>
      <c r="B676" s="28" t="inlineStr">
        <is>
          <t>IC bas retard</t>
        </is>
      </c>
      <c r="C676" s="43" t="n">
        <v>0.04335492740466294</v>
      </c>
      <c r="D676" s="28" t="inlineStr">
        <is>
          <t>4,34 %</t>
        </is>
      </c>
      <c r="E676" s="44" t="inlineStr">
        <is>
          <t>Oui</t>
        </is>
      </c>
    </row>
    <row r="677">
      <c r="A677" s="42" t="n">
        <v>91</v>
      </c>
      <c r="B677" s="30" t="inlineStr">
        <is>
          <t>IC haut retard</t>
        </is>
      </c>
      <c r="C677" s="45" t="n">
        <v>0.05919577032859338</v>
      </c>
      <c r="D677" s="30" t="inlineStr">
        <is>
          <t>5,92 %</t>
        </is>
      </c>
      <c r="E677" s="46" t="inlineStr">
        <is>
          <t>Oui</t>
        </is>
      </c>
    </row>
    <row r="678">
      <c r="A678" s="42" t="n">
        <v>91</v>
      </c>
      <c r="B678" s="28" t="inlineStr">
        <is>
          <t>PAR30 (n)</t>
        </is>
      </c>
      <c r="C678" s="43" t="n">
        <v>0.01834967570356535</v>
      </c>
      <c r="D678" s="28" t="inlineStr">
        <is>
          <t>1,83 %</t>
        </is>
      </c>
      <c r="E678" s="44" t="inlineStr">
        <is>
          <t>Oui</t>
        </is>
      </c>
    </row>
    <row r="679">
      <c r="A679" s="42" t="n">
        <v>91</v>
      </c>
      <c r="B679" s="30" t="inlineStr">
        <is>
          <t>Prêts &gt; 180 j</t>
        </is>
      </c>
      <c r="C679" s="45" t="n">
        <v>126</v>
      </c>
      <c r="D679" s="30" t="inlineStr">
        <is>
          <t>126</t>
        </is>
      </c>
      <c r="E679" s="46" t="inlineStr">
        <is>
          <t>Oui</t>
        </is>
      </c>
    </row>
    <row r="680">
      <c r="A680" s="42" t="n">
        <v>93</v>
      </c>
      <c r="B680" s="28" t="inlineStr">
        <is>
          <t>Écart min</t>
        </is>
      </c>
      <c r="C680" s="43" t="n">
        <v>25226684</v>
      </c>
      <c r="D680" s="28" t="inlineStr">
        <is>
          <t>25 226 684 FCFA</t>
        </is>
      </c>
      <c r="E680" s="44" t="inlineStr">
        <is>
          <t>Oui</t>
        </is>
      </c>
    </row>
    <row r="681">
      <c r="A681" s="42" t="n">
        <v>93</v>
      </c>
      <c r="B681" s="30" t="inlineStr">
        <is>
          <t>Écart max</t>
        </is>
      </c>
      <c r="C681" s="45" t="n">
        <v>44655924</v>
      </c>
      <c r="D681" s="30" t="inlineStr">
        <is>
          <t>44 655 924 FCFA</t>
        </is>
      </c>
      <c r="E681" s="46" t="inlineStr">
        <is>
          <t>Oui</t>
        </is>
      </c>
    </row>
    <row r="682">
      <c r="A682" s="42" t="n">
        <v>93</v>
      </c>
      <c r="B682" s="28" t="inlineStr">
        <is>
          <t>Min précompte/éch</t>
        </is>
      </c>
      <c r="C682" s="43" t="n">
        <v>0.757405976633586</v>
      </c>
      <c r="D682" s="28" t="inlineStr">
        <is>
          <t>75,74 %</t>
        </is>
      </c>
      <c r="E682" s="44" t="inlineStr">
        <is>
          <t>Oui</t>
        </is>
      </c>
    </row>
    <row r="683">
      <c r="A683" s="42" t="n">
        <v>93</v>
      </c>
      <c r="B683" s="30" t="inlineStr">
        <is>
          <t>Max précompte/éch</t>
        </is>
      </c>
      <c r="C683" s="45" t="n">
        <v>0.8537598629374089</v>
      </c>
      <c r="D683" s="30" t="inlineStr">
        <is>
          <t>85,38 %</t>
        </is>
      </c>
      <c r="E683" s="46" t="inlineStr">
        <is>
          <t>Oui</t>
        </is>
      </c>
    </row>
    <row r="684">
      <c r="A684" s="42" t="n">
        <v>94</v>
      </c>
      <c r="B684" s="28" t="inlineStr">
        <is>
          <t>Encours 180</t>
        </is>
      </c>
      <c r="C684" s="43" t="n">
        <v>14826812</v>
      </c>
      <c r="D684" s="28" t="inlineStr">
        <is>
          <t>14 826 812 FCFA</t>
        </is>
      </c>
      <c r="E684" s="44" t="inlineStr">
        <is>
          <t>Oui</t>
        </is>
      </c>
    </row>
    <row r="685">
      <c r="A685" s="42" t="n">
        <v>94</v>
      </c>
      <c r="B685" s="30" t="inlineStr">
        <is>
          <t>Encours 90</t>
        </is>
      </c>
      <c r="C685" s="45" t="n">
        <v>17845260</v>
      </c>
      <c r="D685" s="30" t="inlineStr">
        <is>
          <t>17 845 260 FCFA</t>
        </is>
      </c>
      <c r="E685" s="46" t="inlineStr">
        <is>
          <t>Oui</t>
        </is>
      </c>
    </row>
    <row r="686">
      <c r="A686" s="42" t="n">
        <v>94</v>
      </c>
      <c r="B686" s="28" t="inlineStr">
        <is>
          <t>Perte 0.25</t>
        </is>
      </c>
      <c r="C686" s="43" t="n">
        <v>0.25</v>
      </c>
      <c r="D686" s="28" t="inlineStr">
        <is>
          <t>25,00 %</t>
        </is>
      </c>
      <c r="E686" s="44" t="inlineStr">
        <is>
          <t>Oui</t>
        </is>
      </c>
    </row>
    <row r="687">
      <c r="A687" s="42" t="n">
        <v>94</v>
      </c>
      <c r="B687" s="30" t="inlineStr">
        <is>
          <t>Prov180 0.25</t>
        </is>
      </c>
      <c r="C687" s="45" t="n">
        <v>3706703</v>
      </c>
      <c r="D687" s="30" t="inlineStr">
        <is>
          <t>3 706 703 FCFA</t>
        </is>
      </c>
      <c r="E687" s="46" t="inlineStr">
        <is>
          <t>Oui</t>
        </is>
      </c>
    </row>
    <row r="688">
      <c r="A688" s="42" t="n">
        <v>94</v>
      </c>
      <c r="B688" s="28" t="inlineStr">
        <is>
          <t>Prov90 0.25</t>
        </is>
      </c>
      <c r="C688" s="43" t="n">
        <v>4461315</v>
      </c>
      <c r="D688" s="28" t="inlineStr">
        <is>
          <t>4 461 315 FCFA</t>
        </is>
      </c>
      <c r="E688" s="44" t="inlineStr">
        <is>
          <t>Oui</t>
        </is>
      </c>
    </row>
    <row r="689">
      <c r="A689" s="42" t="n">
        <v>94</v>
      </c>
      <c r="B689" s="30" t="inlineStr">
        <is>
          <t>Perte 0.5</t>
        </is>
      </c>
      <c r="C689" s="45" t="n">
        <v>0.5</v>
      </c>
      <c r="D689" s="30" t="inlineStr">
        <is>
          <t>50,00 %</t>
        </is>
      </c>
      <c r="E689" s="46" t="inlineStr">
        <is>
          <t>Oui</t>
        </is>
      </c>
    </row>
    <row r="690">
      <c r="A690" s="42" t="n">
        <v>94</v>
      </c>
      <c r="B690" s="28" t="inlineStr">
        <is>
          <t>Prov180 0.5</t>
        </is>
      </c>
      <c r="C690" s="43" t="n">
        <v>7413406</v>
      </c>
      <c r="D690" s="28" t="inlineStr">
        <is>
          <t>7 413 406 FCFA</t>
        </is>
      </c>
      <c r="E690" s="44" t="inlineStr">
        <is>
          <t>Oui</t>
        </is>
      </c>
    </row>
    <row r="691">
      <c r="A691" s="42" t="n">
        <v>94</v>
      </c>
      <c r="B691" s="30" t="inlineStr">
        <is>
          <t>Prov90 0.5</t>
        </is>
      </c>
      <c r="C691" s="45" t="n">
        <v>8922630</v>
      </c>
      <c r="D691" s="30" t="inlineStr">
        <is>
          <t>8 922 630 FCFA</t>
        </is>
      </c>
      <c r="E691" s="46" t="inlineStr">
        <is>
          <t>Oui</t>
        </is>
      </c>
    </row>
    <row r="692">
      <c r="A692" s="42" t="n">
        <v>94</v>
      </c>
      <c r="B692" s="28" t="inlineStr">
        <is>
          <t>Perte 1.0</t>
        </is>
      </c>
      <c r="C692" s="43" t="n">
        <v>1</v>
      </c>
      <c r="D692" s="28" t="inlineStr">
        <is>
          <t>100,00 %</t>
        </is>
      </c>
      <c r="E692" s="44" t="inlineStr">
        <is>
          <t>Oui</t>
        </is>
      </c>
    </row>
    <row r="693">
      <c r="A693" s="42" t="n">
        <v>94</v>
      </c>
      <c r="B693" s="30" t="inlineStr">
        <is>
          <t>Prov180 1.0</t>
        </is>
      </c>
      <c r="C693" s="45" t="n">
        <v>14826812</v>
      </c>
      <c r="D693" s="30" t="inlineStr">
        <is>
          <t>14 826 812 FCFA</t>
        </is>
      </c>
      <c r="E693" s="46" t="inlineStr">
        <is>
          <t>Oui</t>
        </is>
      </c>
    </row>
    <row r="694">
      <c r="A694" s="42" t="n">
        <v>94</v>
      </c>
      <c r="B694" s="28" t="inlineStr">
        <is>
          <t>Prov90 1.0</t>
        </is>
      </c>
      <c r="C694" s="43" t="n">
        <v>17845260</v>
      </c>
      <c r="D694" s="28" t="inlineStr">
        <is>
          <t>17 845 260 FCFA</t>
        </is>
      </c>
      <c r="E694" s="44" t="inlineStr">
        <is>
          <t>Oui</t>
        </is>
      </c>
    </row>
    <row r="695">
      <c r="A695" s="42" t="n">
        <v>94</v>
      </c>
      <c r="B695" s="30" t="inlineStr">
        <is>
          <t>Perte max 90</t>
        </is>
      </c>
      <c r="C695" s="45" t="n">
        <v>17845260</v>
      </c>
      <c r="D695" s="30" t="inlineStr">
        <is>
          <t>17 845 260 FCFA</t>
        </is>
      </c>
      <c r="E695" s="46" t="inlineStr">
        <is>
          <t>Oui</t>
        </is>
      </c>
    </row>
    <row r="696">
      <c r="A696" s="42" t="n">
        <v>95</v>
      </c>
      <c r="B696" s="28" t="inlineStr">
        <is>
          <t>Part financement (ret)</t>
        </is>
      </c>
      <c r="C696" s="43" t="n">
        <v>0.8766402498506115</v>
      </c>
      <c r="D696" s="28" t="inlineStr">
        <is>
          <t>87,66 %</t>
        </is>
      </c>
      <c r="E696" s="44" t="inlineStr">
        <is>
          <t>Oui</t>
        </is>
      </c>
    </row>
    <row r="697">
      <c r="A697" s="42" t="n">
        <v>95</v>
      </c>
      <c r="B697" s="30" t="inlineStr">
        <is>
          <t>Encours (ret)</t>
        </is>
      </c>
      <c r="C697" s="45" t="n">
        <v>1044302107</v>
      </c>
      <c r="D697" s="30" t="inlineStr">
        <is>
          <t>1 044 302 107 FCFA</t>
        </is>
      </c>
      <c r="E697" s="46" t="inlineStr">
        <is>
          <t>Oui</t>
        </is>
      </c>
    </row>
    <row r="698">
      <c r="A698" s="42" t="n">
        <v>97</v>
      </c>
      <c r="B698" s="28" t="inlineStr">
        <is>
          <t>Moyen CGRAE (r)</t>
        </is>
      </c>
      <c r="C698" s="43" t="n">
        <v>11939.99518818191</v>
      </c>
      <c r="D698" s="28" t="inlineStr">
        <is>
          <t>11 940 FCFA</t>
        </is>
      </c>
      <c r="E698" s="44" t="inlineStr">
        <is>
          <t>Oui</t>
        </is>
      </c>
    </row>
    <row r="699">
      <c r="A699" s="42" t="n">
        <v>97</v>
      </c>
      <c r="B699" s="30" t="inlineStr">
        <is>
          <t>Retraités août 2026</t>
        </is>
      </c>
      <c r="C699" s="45" t="n">
        <v>610</v>
      </c>
      <c r="D699" s="30" t="inlineStr">
        <is>
          <t>610</t>
        </is>
      </c>
      <c r="E699" s="46" t="inlineStr">
        <is>
          <t>Oui</t>
        </is>
      </c>
    </row>
    <row r="700">
      <c r="A700" s="42" t="n">
        <v>97</v>
      </c>
      <c r="B700" s="28" t="inlineStr">
        <is>
          <t>Recouvrement CGRAE (r)</t>
        </is>
      </c>
      <c r="C700" s="43" t="n">
        <v>1.001858448497196</v>
      </c>
      <c r="D700" s="28" t="inlineStr">
        <is>
          <t>100,19 %</t>
        </is>
      </c>
      <c r="E700" s="44" t="inlineStr">
        <is>
          <t>Oui</t>
        </is>
      </c>
    </row>
    <row r="701">
      <c r="A701" s="42" t="n">
        <v>97</v>
      </c>
      <c r="B701" s="30" t="inlineStr">
        <is>
          <t>Mois CGRAE (r)</t>
        </is>
      </c>
      <c r="C701" s="45" t="n">
        <v>30</v>
      </c>
      <c r="D701" s="30" t="inlineStr">
        <is>
          <t>30</t>
        </is>
      </c>
      <c r="E701" s="46" t="inlineStr">
        <is>
          <t>Oui</t>
        </is>
      </c>
    </row>
    <row r="702">
      <c r="A702" s="42" t="n">
        <v>98</v>
      </c>
      <c r="B702" s="28" t="inlineStr">
        <is>
          <t>Retraités CGRAE (conv)</t>
        </is>
      </c>
      <c r="C702" s="43" t="n">
        <v>610</v>
      </c>
      <c r="D702" s="28" t="inlineStr">
        <is>
          <t>610</t>
        </is>
      </c>
      <c r="E702" s="44" t="inlineStr">
        <is>
          <t>Oui</t>
        </is>
      </c>
    </row>
    <row r="703">
      <c r="A703" s="42" t="n">
        <v>99</v>
      </c>
      <c r="B703" s="30" t="inlineStr">
        <is>
          <t>SR début</t>
        </is>
      </c>
      <c r="C703" s="45" t="n">
        <v>16</v>
      </c>
      <c r="D703" s="30" t="inlineStr">
        <is>
          <t>16</t>
        </is>
      </c>
      <c r="E703" s="46" t="inlineStr">
        <is>
          <t>Oui</t>
        </is>
      </c>
    </row>
    <row r="704">
      <c r="A704" s="42" t="n">
        <v>99</v>
      </c>
      <c r="B704" s="28" t="inlineStr">
        <is>
          <t>SR fin</t>
        </is>
      </c>
      <c r="C704" s="43" t="n">
        <v>610</v>
      </c>
      <c r="D704" s="28" t="inlineStr">
        <is>
          <t>610</t>
        </is>
      </c>
      <c r="E704" s="44" t="inlineStr">
        <is>
          <t>Oui</t>
        </is>
      </c>
    </row>
    <row r="705">
      <c r="A705" s="42" t="n">
        <v>99</v>
      </c>
      <c r="B705" s="30" t="inlineStr">
        <is>
          <t>SR n févr. 24</t>
        </is>
      </c>
      <c r="C705" s="45" t="n">
        <v>16</v>
      </c>
      <c r="D705" s="30" t="inlineStr">
        <is>
          <t>16</t>
        </is>
      </c>
      <c r="E705" s="46" t="inlineStr">
        <is>
          <t>Oui</t>
        </is>
      </c>
    </row>
    <row r="706">
      <c r="A706" s="42" t="n">
        <v>99</v>
      </c>
      <c r="B706" s="28" t="inlineStr">
        <is>
          <t>SR m févr. 24</t>
        </is>
      </c>
      <c r="C706" s="43" t="n">
        <v>202655</v>
      </c>
      <c r="D706" s="28" t="inlineStr">
        <is>
          <t>202 655 FCFA</t>
        </is>
      </c>
      <c r="E706" s="44" t="inlineStr">
        <is>
          <t>Oui</t>
        </is>
      </c>
    </row>
    <row r="707">
      <c r="A707" s="42" t="n">
        <v>99</v>
      </c>
      <c r="B707" s="30" t="inlineStr">
        <is>
          <t>SR moy févr. 24</t>
        </is>
      </c>
      <c r="C707" s="45" t="n">
        <v>12665.9375</v>
      </c>
      <c r="D707" s="30" t="inlineStr">
        <is>
          <t>12 666 FCFA</t>
        </is>
      </c>
      <c r="E707" s="46" t="inlineStr">
        <is>
          <t>Oui</t>
        </is>
      </c>
    </row>
    <row r="708">
      <c r="A708" s="42" t="n">
        <v>99</v>
      </c>
      <c r="B708" s="28" t="inlineStr">
        <is>
          <t>SR n juil. 24</t>
        </is>
      </c>
      <c r="C708" s="43" t="n">
        <v>176</v>
      </c>
      <c r="D708" s="28" t="inlineStr">
        <is>
          <t>176</t>
        </is>
      </c>
      <c r="E708" s="44" t="inlineStr">
        <is>
          <t>Oui</t>
        </is>
      </c>
    </row>
    <row r="709">
      <c r="A709" s="42" t="n">
        <v>99</v>
      </c>
      <c r="B709" s="30" t="inlineStr">
        <is>
          <t>SR m juil. 24</t>
        </is>
      </c>
      <c r="C709" s="45" t="n">
        <v>2097392</v>
      </c>
      <c r="D709" s="30" t="inlineStr">
        <is>
          <t>2 097 392 FCFA</t>
        </is>
      </c>
      <c r="E709" s="46" t="inlineStr">
        <is>
          <t>Oui</t>
        </is>
      </c>
    </row>
    <row r="710">
      <c r="A710" s="42" t="n">
        <v>99</v>
      </c>
      <c r="B710" s="28" t="inlineStr">
        <is>
          <t>SR moy juil. 24</t>
        </is>
      </c>
      <c r="C710" s="43" t="n">
        <v>11917</v>
      </c>
      <c r="D710" s="28" t="inlineStr">
        <is>
          <t>11 917 FCFA</t>
        </is>
      </c>
      <c r="E710" s="44" t="inlineStr">
        <is>
          <t>Oui</t>
        </is>
      </c>
    </row>
    <row r="711">
      <c r="A711" s="42" t="n">
        <v>99</v>
      </c>
      <c r="B711" s="30" t="inlineStr">
        <is>
          <t>SR n nov. 24</t>
        </is>
      </c>
      <c r="C711" s="45" t="n">
        <v>280</v>
      </c>
      <c r="D711" s="30" t="inlineStr">
        <is>
          <t>280</t>
        </is>
      </c>
      <c r="E711" s="46" t="inlineStr">
        <is>
          <t>Oui</t>
        </is>
      </c>
    </row>
    <row r="712">
      <c r="A712" s="42" t="n">
        <v>99</v>
      </c>
      <c r="B712" s="28" t="inlineStr">
        <is>
          <t>SR m nov. 24</t>
        </is>
      </c>
      <c r="C712" s="43" t="n">
        <v>3347635</v>
      </c>
      <c r="D712" s="28" t="inlineStr">
        <is>
          <t>3 347 635 FCFA</t>
        </is>
      </c>
      <c r="E712" s="44" t="inlineStr">
        <is>
          <t>Oui</t>
        </is>
      </c>
    </row>
    <row r="713">
      <c r="A713" s="42" t="n">
        <v>99</v>
      </c>
      <c r="B713" s="30" t="inlineStr">
        <is>
          <t>SR moy nov. 24</t>
        </is>
      </c>
      <c r="C713" s="45" t="n">
        <v>11955.83928571429</v>
      </c>
      <c r="D713" s="30" t="inlineStr">
        <is>
          <t>11 956 FCFA</t>
        </is>
      </c>
      <c r="E713" s="46" t="inlineStr">
        <is>
          <t>Oui</t>
        </is>
      </c>
    </row>
    <row r="714">
      <c r="A714" s="42" t="n">
        <v>99</v>
      </c>
      <c r="B714" s="28" t="inlineStr">
        <is>
          <t>SR n mars 25</t>
        </is>
      </c>
      <c r="C714" s="43" t="n">
        <v>322</v>
      </c>
      <c r="D714" s="28" t="inlineStr">
        <is>
          <t>322</t>
        </is>
      </c>
      <c r="E714" s="44" t="inlineStr">
        <is>
          <t>Oui</t>
        </is>
      </c>
    </row>
    <row r="715">
      <c r="A715" s="42" t="n">
        <v>99</v>
      </c>
      <c r="B715" s="30" t="inlineStr">
        <is>
          <t>SR m mars 25</t>
        </is>
      </c>
      <c r="C715" s="45" t="n">
        <v>3945438</v>
      </c>
      <c r="D715" s="30" t="inlineStr">
        <is>
          <t>3 945 438 FCFA</t>
        </is>
      </c>
      <c r="E715" s="46" t="inlineStr">
        <is>
          <t>Oui</t>
        </is>
      </c>
    </row>
    <row r="716">
      <c r="A716" s="42" t="n">
        <v>99</v>
      </c>
      <c r="B716" s="28" t="inlineStr">
        <is>
          <t>SR moy mars 25</t>
        </is>
      </c>
      <c r="C716" s="43" t="n">
        <v>12252.91304347826</v>
      </c>
      <c r="D716" s="28" t="inlineStr">
        <is>
          <t>12 253 FCFA</t>
        </is>
      </c>
      <c r="E716" s="44" t="inlineStr">
        <is>
          <t>Oui</t>
        </is>
      </c>
    </row>
    <row r="717">
      <c r="A717" s="42" t="n">
        <v>99</v>
      </c>
      <c r="B717" s="30" t="inlineStr">
        <is>
          <t>SR n juil. 25</t>
        </is>
      </c>
      <c r="C717" s="45" t="n">
        <v>386</v>
      </c>
      <c r="D717" s="30" t="inlineStr">
        <is>
          <t>386</t>
        </is>
      </c>
      <c r="E717" s="46" t="inlineStr">
        <is>
          <t>Oui</t>
        </is>
      </c>
    </row>
    <row r="718">
      <c r="A718" s="42" t="n">
        <v>99</v>
      </c>
      <c r="B718" s="28" t="inlineStr">
        <is>
          <t>SR m juil. 25</t>
        </is>
      </c>
      <c r="C718" s="43" t="n">
        <v>4646872</v>
      </c>
      <c r="D718" s="28" t="inlineStr">
        <is>
          <t>4 646 872 FCFA</t>
        </is>
      </c>
      <c r="E718" s="44" t="inlineStr">
        <is>
          <t>Oui</t>
        </is>
      </c>
    </row>
    <row r="719">
      <c r="A719" s="42" t="n">
        <v>99</v>
      </c>
      <c r="B719" s="30" t="inlineStr">
        <is>
          <t>SR moy juil. 25</t>
        </is>
      </c>
      <c r="C719" s="45" t="n">
        <v>12038.52849740933</v>
      </c>
      <c r="D719" s="30" t="inlineStr">
        <is>
          <t>12 039 FCFA</t>
        </is>
      </c>
      <c r="E719" s="46" t="inlineStr">
        <is>
          <t>Oui</t>
        </is>
      </c>
    </row>
    <row r="720">
      <c r="A720" s="42" t="n">
        <v>99</v>
      </c>
      <c r="B720" s="28" t="inlineStr">
        <is>
          <t>SR n nov. 25</t>
        </is>
      </c>
      <c r="C720" s="43" t="n">
        <v>506</v>
      </c>
      <c r="D720" s="28" t="inlineStr">
        <is>
          <t>506</t>
        </is>
      </c>
      <c r="E720" s="44" t="inlineStr">
        <is>
          <t>Oui</t>
        </is>
      </c>
    </row>
    <row r="721">
      <c r="A721" s="42" t="n">
        <v>99</v>
      </c>
      <c r="B721" s="30" t="inlineStr">
        <is>
          <t>SR m nov. 25</t>
        </is>
      </c>
      <c r="C721" s="45" t="n">
        <v>6010492</v>
      </c>
      <c r="D721" s="30" t="inlineStr">
        <is>
          <t>6 010 492 FCFA</t>
        </is>
      </c>
      <c r="E721" s="46" t="inlineStr">
        <is>
          <t>Oui</t>
        </is>
      </c>
    </row>
    <row r="722">
      <c r="A722" s="42" t="n">
        <v>99</v>
      </c>
      <c r="B722" s="28" t="inlineStr">
        <is>
          <t>SR moy nov. 25</t>
        </is>
      </c>
      <c r="C722" s="43" t="n">
        <v>11878.44268774704</v>
      </c>
      <c r="D722" s="28" t="inlineStr">
        <is>
          <t>11 878 FCFA</t>
        </is>
      </c>
      <c r="E722" s="44" t="inlineStr">
        <is>
          <t>Oui</t>
        </is>
      </c>
    </row>
    <row r="723">
      <c r="A723" s="42" t="n">
        <v>99</v>
      </c>
      <c r="B723" s="30" t="inlineStr">
        <is>
          <t>SR n mars 26</t>
        </is>
      </c>
      <c r="C723" s="45" t="n">
        <v>584</v>
      </c>
      <c r="D723" s="30" t="inlineStr">
        <is>
          <t>584</t>
        </is>
      </c>
      <c r="E723" s="46" t="inlineStr">
        <is>
          <t>Oui</t>
        </is>
      </c>
    </row>
    <row r="724">
      <c r="A724" s="42" t="n">
        <v>99</v>
      </c>
      <c r="B724" s="28" t="inlineStr">
        <is>
          <t>SR m mars 26</t>
        </is>
      </c>
      <c r="C724" s="43" t="n">
        <v>6862774</v>
      </c>
      <c r="D724" s="28" t="inlineStr">
        <is>
          <t>6 862 774 FCFA</t>
        </is>
      </c>
      <c r="E724" s="44" t="inlineStr">
        <is>
          <t>Oui</t>
        </is>
      </c>
    </row>
    <row r="725">
      <c r="A725" s="42" t="n">
        <v>99</v>
      </c>
      <c r="B725" s="30" t="inlineStr">
        <is>
          <t>SR moy mars 26</t>
        </is>
      </c>
      <c r="C725" s="45" t="n">
        <v>11751.32534246575</v>
      </c>
      <c r="D725" s="30" t="inlineStr">
        <is>
          <t>11 751 FCFA</t>
        </is>
      </c>
      <c r="E725" s="46" t="inlineStr">
        <is>
          <t>Oui</t>
        </is>
      </c>
    </row>
    <row r="726">
      <c r="A726" s="42" t="n">
        <v>99</v>
      </c>
      <c r="B726" s="28" t="inlineStr">
        <is>
          <t>SR n juil. 26</t>
        </is>
      </c>
      <c r="C726" s="43" t="n">
        <v>600</v>
      </c>
      <c r="D726" s="28" t="inlineStr">
        <is>
          <t>600</t>
        </is>
      </c>
      <c r="E726" s="44" t="inlineStr">
        <is>
          <t>Oui</t>
        </is>
      </c>
    </row>
    <row r="727">
      <c r="A727" s="42" t="n">
        <v>99</v>
      </c>
      <c r="B727" s="30" t="inlineStr">
        <is>
          <t>SR m juil. 26</t>
        </is>
      </c>
      <c r="C727" s="45" t="n">
        <v>7117178</v>
      </c>
      <c r="D727" s="30" t="inlineStr">
        <is>
          <t>7 117 178 FCFA</t>
        </is>
      </c>
      <c r="E727" s="46" t="inlineStr">
        <is>
          <t>Oui</t>
        </is>
      </c>
    </row>
    <row r="728">
      <c r="A728" s="42" t="n">
        <v>99</v>
      </c>
      <c r="B728" s="28" t="inlineStr">
        <is>
          <t>SR moy juil. 26</t>
        </is>
      </c>
      <c r="C728" s="43" t="n">
        <v>11861.96333333333</v>
      </c>
      <c r="D728" s="28" t="inlineStr">
        <is>
          <t>11 862 FCFA</t>
        </is>
      </c>
      <c r="E728" s="44" t="inlineStr">
        <is>
          <t>Oui</t>
        </is>
      </c>
    </row>
    <row r="729">
      <c r="A729" s="42" t="n">
        <v>99</v>
      </c>
      <c r="B729" s="30" t="inlineStr">
        <is>
          <t>SR n août 26</t>
        </is>
      </c>
      <c r="C729" s="45" t="n">
        <v>610</v>
      </c>
      <c r="D729" s="30" t="inlineStr">
        <is>
          <t>610</t>
        </is>
      </c>
      <c r="E729" s="46" t="inlineStr">
        <is>
          <t>Oui</t>
        </is>
      </c>
    </row>
    <row r="730">
      <c r="A730" s="42" t="n">
        <v>99</v>
      </c>
      <c r="B730" s="28" t="inlineStr">
        <is>
          <t>SR m août 26</t>
        </is>
      </c>
      <c r="C730" s="43" t="n">
        <v>7292072</v>
      </c>
      <c r="D730" s="28" t="inlineStr">
        <is>
          <t>7 292 072 FCFA</t>
        </is>
      </c>
      <c r="E730" s="44" t="inlineStr">
        <is>
          <t>Oui</t>
        </is>
      </c>
    </row>
    <row r="731">
      <c r="A731" s="42" t="n">
        <v>99</v>
      </c>
      <c r="B731" s="30" t="inlineStr">
        <is>
          <t>SR moy août 26</t>
        </is>
      </c>
      <c r="C731" s="45" t="n">
        <v>11954.21639344262</v>
      </c>
      <c r="D731" s="30" t="inlineStr">
        <is>
          <t>11 954 FCFA</t>
        </is>
      </c>
      <c r="E731" s="46" t="inlineStr">
        <is>
          <t>Oui</t>
        </is>
      </c>
    </row>
    <row r="732">
      <c r="A732" s="42" t="n">
        <v>99</v>
      </c>
      <c r="B732" s="28" t="inlineStr">
        <is>
          <t>SR dn</t>
        </is>
      </c>
      <c r="C732" s="43" t="n">
        <v>105</v>
      </c>
      <c r="D732" s="28" t="inlineStr">
        <is>
          <t>105</t>
        </is>
      </c>
      <c r="E732" s="44" t="inlineStr">
        <is>
          <t>Oui</t>
        </is>
      </c>
    </row>
    <row r="733">
      <c r="A733" s="42" t="n">
        <v>99</v>
      </c>
      <c r="B733" s="30" t="inlineStr">
        <is>
          <t>SR âge</t>
        </is>
      </c>
      <c r="C733" s="45" t="n">
        <v>63.31895309800853</v>
      </c>
      <c r="D733" s="30" t="inlineStr">
        <is>
          <t>63,3</t>
        </is>
      </c>
      <c r="E733" s="46" t="inlineStr">
        <is>
          <t>Oui</t>
        </is>
      </c>
    </row>
    <row r="734">
      <c r="A734" s="42" t="n">
        <v>103</v>
      </c>
      <c r="B734" s="28" t="inlineStr">
        <is>
          <t>Prov mal</t>
        </is>
      </c>
      <c r="C734" s="43" t="n">
        <v>2867602878</v>
      </c>
      <c r="D734" s="28" t="inlineStr">
        <is>
          <t>2 867 602 878 FCFA</t>
        </is>
      </c>
      <c r="E734" s="44" t="inlineStr">
        <is>
          <t>Oui</t>
        </is>
      </c>
    </row>
    <row r="735">
      <c r="A735" s="42" t="n">
        <v>103</v>
      </c>
      <c r="B735" s="30" t="inlineStr">
        <is>
          <t>Prov obs</t>
        </is>
      </c>
      <c r="C735" s="45" t="n">
        <v>1961695412</v>
      </c>
      <c r="D735" s="30" t="inlineStr">
        <is>
          <t>1 961 695 412 FCFA</t>
        </is>
      </c>
      <c r="E735" s="46" t="inlineStr">
        <is>
          <t>Oui</t>
        </is>
      </c>
    </row>
    <row r="736">
      <c r="A736" s="42" t="n">
        <v>104</v>
      </c>
      <c r="B736" s="28" t="inlineStr">
        <is>
          <t>Mois 2021</t>
        </is>
      </c>
      <c r="C736" s="43" t="n">
        <v>115.1409633187837</v>
      </c>
      <c r="D736" s="28" t="inlineStr">
        <is>
          <t>115,14</t>
        </is>
      </c>
      <c r="E736" s="44" t="inlineStr">
        <is>
          <t>Oui</t>
        </is>
      </c>
    </row>
    <row r="737">
      <c r="A737" s="42" t="n">
        <v>104</v>
      </c>
      <c r="B737" s="30" t="inlineStr">
        <is>
          <t>Mois 2025</t>
        </is>
      </c>
      <c r="C737" s="45" t="n">
        <v>29.49531990664889</v>
      </c>
      <c r="D737" s="30" t="inlineStr">
        <is>
          <t>29,50</t>
        </is>
      </c>
      <c r="E737" s="46" t="inlineStr">
        <is>
          <t>Oui</t>
        </is>
      </c>
    </row>
    <row r="738">
      <c r="A738" s="42" t="n">
        <v>104</v>
      </c>
      <c r="B738" s="28" t="inlineStr">
        <is>
          <t>Mois 2026</t>
        </is>
      </c>
      <c r="C738" s="43" t="n">
        <v>21.47720049884622</v>
      </c>
      <c r="D738" s="28" t="inlineStr">
        <is>
          <t>21,48</t>
        </is>
      </c>
      <c r="E738" s="44" t="inlineStr">
        <is>
          <t>Oui</t>
        </is>
      </c>
    </row>
    <row r="739">
      <c r="A739" s="42" t="n">
        <v>104</v>
      </c>
      <c r="B739" s="30" t="inlineStr">
        <is>
          <t>Prov tot (p)</t>
        </is>
      </c>
      <c r="C739" s="45" t="n">
        <v>4829298290</v>
      </c>
      <c r="D739" s="30" t="inlineStr">
        <is>
          <t>4 829 298 290 FCFA</t>
        </is>
      </c>
      <c r="E739" s="46" t="inlineStr">
        <is>
          <t>Oui</t>
        </is>
      </c>
    </row>
    <row r="740">
      <c r="A740" s="42" t="n">
        <v>104</v>
      </c>
      <c r="B740" s="28" t="inlineStr">
        <is>
          <t>Prest mens 2021</t>
        </is>
      </c>
      <c r="C740" s="43" t="n">
        <v>41942486.41666666</v>
      </c>
      <c r="D740" s="28" t="inlineStr">
        <is>
          <t>41 942 486 FCFA</t>
        </is>
      </c>
      <c r="E740" s="44" t="inlineStr">
        <is>
          <t>Oui</t>
        </is>
      </c>
    </row>
    <row r="741">
      <c r="A741" s="42" t="n">
        <v>104</v>
      </c>
      <c r="B741" s="30" t="inlineStr">
        <is>
          <t>Prest mens 2026</t>
        </is>
      </c>
      <c r="C741" s="45" t="n">
        <v>224856972.875</v>
      </c>
      <c r="D741" s="30" t="inlineStr">
        <is>
          <t>224 856 973 FCFA</t>
        </is>
      </c>
      <c r="E741" s="46" t="inlineStr">
        <is>
          <t>Oui</t>
        </is>
      </c>
    </row>
    <row r="742">
      <c r="A742" s="42" t="n">
        <v>105</v>
      </c>
      <c r="B742" s="28" t="inlineStr">
        <is>
          <t>PSAP maladie (p9)</t>
        </is>
      </c>
      <c r="C742" s="43" t="n">
        <v>2867602878</v>
      </c>
      <c r="D742" s="28" t="inlineStr">
        <is>
          <t>2 867 602 878 FCFA</t>
        </is>
      </c>
      <c r="E742" s="44" t="inlineStr">
        <is>
          <t>Oui</t>
        </is>
      </c>
    </row>
    <row r="743">
      <c r="A743" s="42" t="n">
        <v>105</v>
      </c>
      <c r="B743" s="30" t="inlineStr">
        <is>
          <t>PSAP décès (p9)</t>
        </is>
      </c>
      <c r="C743" s="45" t="n">
        <v>1961695412</v>
      </c>
      <c r="D743" s="30" t="inlineStr">
        <is>
          <t>1 961 695 412 FCFA</t>
        </is>
      </c>
      <c r="E743" s="46" t="inlineStr">
        <is>
          <t>Oui</t>
        </is>
      </c>
    </row>
    <row r="744">
      <c r="A744" s="42" t="n">
        <v>105</v>
      </c>
      <c r="B744" s="28" t="inlineStr">
        <is>
          <t>PPP int</t>
        </is>
      </c>
      <c r="C744" s="43" t="n">
        <v>3278913237.589167</v>
      </c>
      <c r="D744" s="28" t="inlineStr">
        <is>
          <t>3 278 913 238 FCFA</t>
        </is>
      </c>
      <c r="E744" s="44" t="inlineStr">
        <is>
          <t>Oui</t>
        </is>
      </c>
    </row>
    <row r="745">
      <c r="A745" s="42" t="n">
        <v>105</v>
      </c>
      <c r="B745" s="30" t="inlineStr">
        <is>
          <t>PIDR 2025 (p9)</t>
        </is>
      </c>
      <c r="C745" s="45" t="n">
        <v>43666678</v>
      </c>
      <c r="D745" s="30" t="inlineStr">
        <is>
          <t>43 666 678 FCFA</t>
        </is>
      </c>
      <c r="E745" s="46" t="inlineStr">
        <is>
          <t>Oui</t>
        </is>
      </c>
    </row>
    <row r="746">
      <c r="A746" s="42" t="n">
        <v>106</v>
      </c>
      <c r="B746" s="28" t="inlineStr">
        <is>
          <t>PSAP mal 2025 (c)</t>
        </is>
      </c>
      <c r="C746" s="43" t="n">
        <v>2867602878</v>
      </c>
      <c r="D746" s="28" t="inlineStr">
        <is>
          <t>2 867 602 878 FCFA</t>
        </is>
      </c>
      <c r="E746" s="44" t="inlineStr">
        <is>
          <t>Oui</t>
        </is>
      </c>
    </row>
    <row r="747">
      <c r="A747" s="42" t="n">
        <v>106</v>
      </c>
      <c r="B747" s="30" t="inlineStr">
        <is>
          <t>Dettes cliniques 2025</t>
        </is>
      </c>
      <c r="C747" s="45" t="n">
        <v>242140869</v>
      </c>
      <c r="D747" s="30" t="inlineStr">
        <is>
          <t>242 140 869 FCFA</t>
        </is>
      </c>
      <c r="E747" s="46" t="inlineStr">
        <is>
          <t>Oui</t>
        </is>
      </c>
    </row>
    <row r="748">
      <c r="A748" s="42" t="n">
        <v>106</v>
      </c>
      <c r="B748" s="28" t="inlineStr">
        <is>
          <t>Dettes cliniques mois 2025</t>
        </is>
      </c>
      <c r="C748" s="43" t="n">
        <v>1.640117651727093</v>
      </c>
      <c r="D748" s="28" t="inlineStr">
        <is>
          <t>1,64</t>
        </is>
      </c>
      <c r="E748" s="44" t="inlineStr">
        <is>
          <t>Oui</t>
        </is>
      </c>
    </row>
    <row r="749">
      <c r="A749" s="42" t="n">
        <v>106</v>
      </c>
      <c r="B749" s="30" t="inlineStr">
        <is>
          <t>PSAP mois 2025</t>
        </is>
      </c>
      <c r="C749" s="45" t="n">
        <v>19.42342950107779</v>
      </c>
      <c r="D749" s="30" t="inlineStr">
        <is>
          <t>19,42</t>
        </is>
      </c>
      <c r="E749" s="46" t="inlineStr">
        <is>
          <t>Oui</t>
        </is>
      </c>
    </row>
    <row r="750">
      <c r="A750" s="42" t="n">
        <v>106</v>
      </c>
      <c r="B750" s="28" t="inlineStr">
        <is>
          <t>Rapport PSAP 2025</t>
        </is>
      </c>
      <c r="C750" s="43" t="n">
        <v>11.84270499169638</v>
      </c>
      <c r="D750" s="28" t="inlineStr">
        <is>
          <t>11,84</t>
        </is>
      </c>
      <c r="E750" s="44" t="inlineStr">
        <is>
          <t>Oui</t>
        </is>
      </c>
    </row>
    <row r="751">
      <c r="A751" s="42" t="n">
        <v>106</v>
      </c>
      <c r="B751" s="30" t="inlineStr">
        <is>
          <t>PSAP décès mois 2025</t>
        </is>
      </c>
      <c r="C751" s="45" t="n">
        <v>121.8843911492187</v>
      </c>
      <c r="D751" s="30" t="inlineStr">
        <is>
          <t>121,88</t>
        </is>
      </c>
      <c r="E751" s="46" t="inlineStr">
        <is>
          <t>Oui</t>
        </is>
      </c>
    </row>
    <row r="752">
      <c r="A752" s="42" t="n">
        <v>107</v>
      </c>
      <c r="B752" s="28" t="inlineStr">
        <is>
          <t>PM délai 2020</t>
        </is>
      </c>
      <c r="C752" s="43" t="n">
        <v>53.37516872420808</v>
      </c>
      <c r="D752" s="28" t="inlineStr">
        <is>
          <t>53,4</t>
        </is>
      </c>
      <c r="E752" s="44" t="inlineStr">
        <is>
          <t>Oui</t>
        </is>
      </c>
    </row>
    <row r="753">
      <c r="A753" s="42" t="n">
        <v>107</v>
      </c>
      <c r="B753" s="30" t="inlineStr">
        <is>
          <t>PM délai 2025</t>
        </is>
      </c>
      <c r="C753" s="45" t="n">
        <v>2.622797716643295</v>
      </c>
      <c r="D753" s="30" t="inlineStr">
        <is>
          <t>2,62</t>
        </is>
      </c>
      <c r="E753" s="46" t="inlineStr">
        <is>
          <t>Oui</t>
        </is>
      </c>
    </row>
    <row r="754">
      <c r="A754" s="42" t="n">
        <v>107</v>
      </c>
      <c r="B754" s="28" t="inlineStr">
        <is>
          <t>PM fact 2020</t>
        </is>
      </c>
      <c r="C754" s="43" t="n">
        <v>313578298</v>
      </c>
      <c r="D754" s="28" t="inlineStr">
        <is>
          <t>313 578 298 FCFA</t>
        </is>
      </c>
      <c r="E754" s="44" t="inlineStr">
        <is>
          <t>Oui</t>
        </is>
      </c>
    </row>
    <row r="755">
      <c r="A755" s="42" t="n">
        <v>107</v>
      </c>
      <c r="B755" s="30" t="inlineStr">
        <is>
          <t>PM paie 2020</t>
        </is>
      </c>
      <c r="C755" s="45" t="n">
        <v>315748758</v>
      </c>
      <c r="D755" s="30" t="inlineStr">
        <is>
          <t>315 748 758 FCFA</t>
        </is>
      </c>
      <c r="E755" s="46" t="inlineStr">
        <is>
          <t>Oui</t>
        </is>
      </c>
    </row>
    <row r="756">
      <c r="A756" s="42" t="n">
        <v>107</v>
      </c>
      <c r="B756" s="28" t="inlineStr">
        <is>
          <t>PM dette 2020</t>
        </is>
      </c>
      <c r="C756" s="43" t="n">
        <v>1394774547</v>
      </c>
      <c r="D756" s="28" t="inlineStr">
        <is>
          <t>1 394 774 547 FCFA</t>
        </is>
      </c>
      <c r="E756" s="44" t="inlineStr">
        <is>
          <t>Oui</t>
        </is>
      </c>
    </row>
    <row r="757">
      <c r="A757" s="42" t="n">
        <v>107</v>
      </c>
      <c r="B757" s="30" t="inlineStr">
        <is>
          <t>PM délai 2020 (t)</t>
        </is>
      </c>
      <c r="C757" s="45" t="n">
        <v>53.37516872420808</v>
      </c>
      <c r="D757" s="30" t="inlineStr">
        <is>
          <t>53,38</t>
        </is>
      </c>
      <c r="E757" s="46" t="inlineStr">
        <is>
          <t>Oui</t>
        </is>
      </c>
    </row>
    <row r="758">
      <c r="A758" s="42" t="n">
        <v>107</v>
      </c>
      <c r="B758" s="28" t="inlineStr">
        <is>
          <t>PM prest 2020</t>
        </is>
      </c>
      <c r="C758" s="43" t="n">
        <v>205812056</v>
      </c>
      <c r="D758" s="28" t="inlineStr">
        <is>
          <t>205 812 056 FCFA</t>
        </is>
      </c>
      <c r="E758" s="44" t="inlineStr">
        <is>
          <t>Oui</t>
        </is>
      </c>
    </row>
    <row r="759">
      <c r="A759" s="42" t="n">
        <v>107</v>
      </c>
      <c r="B759" s="30" t="inlineStr">
        <is>
          <t>PM fact 2021</t>
        </is>
      </c>
      <c r="C759" s="45" t="n">
        <v>103385027</v>
      </c>
      <c r="D759" s="30" t="inlineStr">
        <is>
          <t>103 385 027 FCFA</t>
        </is>
      </c>
      <c r="E759" s="46" t="inlineStr">
        <is>
          <t>Oui</t>
        </is>
      </c>
    </row>
    <row r="760">
      <c r="A760" s="42" t="n">
        <v>107</v>
      </c>
      <c r="B760" s="28" t="inlineStr">
        <is>
          <t>PM paie 2021</t>
        </is>
      </c>
      <c r="C760" s="43" t="n">
        <v>622939017</v>
      </c>
      <c r="D760" s="28" t="inlineStr">
        <is>
          <t>622 939 017 FCFA</t>
        </is>
      </c>
      <c r="E760" s="44" t="inlineStr">
        <is>
          <t>Oui</t>
        </is>
      </c>
    </row>
    <row r="761">
      <c r="A761" s="42" t="n">
        <v>107</v>
      </c>
      <c r="B761" s="30" t="inlineStr">
        <is>
          <t>PM dette 2021</t>
        </is>
      </c>
      <c r="C761" s="45" t="n">
        <v>875220557</v>
      </c>
      <c r="D761" s="30" t="inlineStr">
        <is>
          <t>875 220 557 FCFA</t>
        </is>
      </c>
      <c r="E761" s="46" t="inlineStr">
        <is>
          <t>Oui</t>
        </is>
      </c>
    </row>
    <row r="762">
      <c r="A762" s="42" t="n">
        <v>107</v>
      </c>
      <c r="B762" s="28" t="inlineStr">
        <is>
          <t>PM délai 2021 (t)</t>
        </is>
      </c>
      <c r="C762" s="43" t="n">
        <v>101.5876959049399</v>
      </c>
      <c r="D762" s="28" t="inlineStr">
        <is>
          <t>101,59</t>
        </is>
      </c>
      <c r="E762" s="44" t="inlineStr">
        <is>
          <t>Oui</t>
        </is>
      </c>
    </row>
    <row r="763">
      <c r="A763" s="42" t="n">
        <v>107</v>
      </c>
      <c r="B763" s="30" t="inlineStr">
        <is>
          <t>PM prest 2021</t>
        </is>
      </c>
      <c r="C763" s="45" t="n">
        <v>101453171</v>
      </c>
      <c r="D763" s="30" t="inlineStr">
        <is>
          <t>101 453 171 FCFA</t>
        </is>
      </c>
      <c r="E763" s="46" t="inlineStr">
        <is>
          <t>Oui</t>
        </is>
      </c>
    </row>
    <row r="764">
      <c r="A764" s="42" t="n">
        <v>107</v>
      </c>
      <c r="B764" s="28" t="inlineStr">
        <is>
          <t>PM fact 2022</t>
        </is>
      </c>
      <c r="C764" s="43" t="n">
        <v>104085535</v>
      </c>
      <c r="D764" s="28" t="inlineStr">
        <is>
          <t>104 085 535 FCFA</t>
        </is>
      </c>
      <c r="E764" s="44" t="inlineStr">
        <is>
          <t>Oui</t>
        </is>
      </c>
    </row>
    <row r="765">
      <c r="A765" s="42" t="n">
        <v>107</v>
      </c>
      <c r="B765" s="30" t="inlineStr">
        <is>
          <t>PM paie 2022</t>
        </is>
      </c>
      <c r="C765" s="45" t="n">
        <v>446161744</v>
      </c>
      <c r="D765" s="30" t="inlineStr">
        <is>
          <t>446 161 744 FCFA</t>
        </is>
      </c>
      <c r="E765" s="46" t="inlineStr">
        <is>
          <t>Oui</t>
        </is>
      </c>
    </row>
    <row r="766">
      <c r="A766" s="42" t="n">
        <v>107</v>
      </c>
      <c r="B766" s="28" t="inlineStr">
        <is>
          <t>PM dette 2022</t>
        </is>
      </c>
      <c r="C766" s="43" t="n">
        <v>533144348</v>
      </c>
      <c r="D766" s="28" t="inlineStr">
        <is>
          <t>533 144 348 FCFA</t>
        </is>
      </c>
      <c r="E766" s="44" t="inlineStr">
        <is>
          <t>Oui</t>
        </is>
      </c>
    </row>
    <row r="767">
      <c r="A767" s="42" t="n">
        <v>107</v>
      </c>
      <c r="B767" s="30" t="inlineStr">
        <is>
          <t>PM délai 2022 (t)</t>
        </is>
      </c>
      <c r="C767" s="45" t="n">
        <v>61.46610262415425</v>
      </c>
      <c r="D767" s="30" t="inlineStr">
        <is>
          <t>61,47</t>
        </is>
      </c>
      <c r="E767" s="46" t="inlineStr">
        <is>
          <t>Oui</t>
        </is>
      </c>
    </row>
    <row r="768">
      <c r="A768" s="42" t="n">
        <v>107</v>
      </c>
      <c r="B768" s="28" t="inlineStr">
        <is>
          <t>PM prest 2022</t>
        </is>
      </c>
      <c r="C768" s="43" t="n">
        <v>115237773</v>
      </c>
      <c r="D768" s="28" t="inlineStr">
        <is>
          <t>115 237 773 FCFA</t>
        </is>
      </c>
      <c r="E768" s="44" t="inlineStr">
        <is>
          <t>Oui</t>
        </is>
      </c>
    </row>
    <row r="769">
      <c r="A769" s="42" t="n">
        <v>107</v>
      </c>
      <c r="B769" s="30" t="inlineStr">
        <is>
          <t>PM fact 2023</t>
        </is>
      </c>
      <c r="C769" s="45" t="n">
        <v>312091366</v>
      </c>
      <c r="D769" s="30" t="inlineStr">
        <is>
          <t>312 091 366 FCFA</t>
        </is>
      </c>
      <c r="E769" s="46" t="inlineStr">
        <is>
          <t>Oui</t>
        </is>
      </c>
    </row>
    <row r="770">
      <c r="A770" s="42" t="n">
        <v>107</v>
      </c>
      <c r="B770" s="28" t="inlineStr">
        <is>
          <t>PM paie 2023</t>
        </is>
      </c>
      <c r="C770" s="43" t="n">
        <v>573964958</v>
      </c>
      <c r="D770" s="28" t="inlineStr">
        <is>
          <t>573 964 958 FCFA</t>
        </is>
      </c>
      <c r="E770" s="44" t="inlineStr">
        <is>
          <t>Oui</t>
        </is>
      </c>
    </row>
    <row r="771">
      <c r="A771" s="42" t="n">
        <v>107</v>
      </c>
      <c r="B771" s="30" t="inlineStr">
        <is>
          <t>PM dette 2023</t>
        </is>
      </c>
      <c r="C771" s="45" t="n">
        <v>271270756</v>
      </c>
      <c r="D771" s="30" t="inlineStr">
        <is>
          <t>271 270 756 FCFA</t>
        </is>
      </c>
      <c r="E771" s="46" t="inlineStr">
        <is>
          <t>Oui</t>
        </is>
      </c>
    </row>
    <row r="772">
      <c r="A772" s="42" t="n">
        <v>107</v>
      </c>
      <c r="B772" s="28" t="inlineStr">
        <is>
          <t>PM délai 2023 (t)</t>
        </is>
      </c>
      <c r="C772" s="43" t="n">
        <v>10.43043616913132</v>
      </c>
      <c r="D772" s="28" t="inlineStr">
        <is>
          <t>10,43</t>
        </is>
      </c>
      <c r="E772" s="44" t="inlineStr">
        <is>
          <t>Oui</t>
        </is>
      </c>
    </row>
    <row r="773">
      <c r="A773" s="42" t="n">
        <v>107</v>
      </c>
      <c r="B773" s="30" t="inlineStr">
        <is>
          <t>PM prest 2023</t>
        </is>
      </c>
      <c r="C773" s="45" t="n">
        <v>521004362</v>
      </c>
      <c r="D773" s="30" t="inlineStr">
        <is>
          <t>521 004 362 FCFA</t>
        </is>
      </c>
      <c r="E773" s="46" t="inlineStr">
        <is>
          <t>Oui</t>
        </is>
      </c>
    </row>
    <row r="774">
      <c r="A774" s="42" t="n">
        <v>107</v>
      </c>
      <c r="B774" s="28" t="inlineStr">
        <is>
          <t>PM fact 2024</t>
        </is>
      </c>
      <c r="C774" s="43" t="n">
        <v>613863474</v>
      </c>
      <c r="D774" s="28" t="inlineStr">
        <is>
          <t>613 863 474 FCFA</t>
        </is>
      </c>
      <c r="E774" s="44" t="inlineStr">
        <is>
          <t>Oui</t>
        </is>
      </c>
    </row>
    <row r="775">
      <c r="A775" s="42" t="n">
        <v>107</v>
      </c>
      <c r="B775" s="30" t="inlineStr">
        <is>
          <t>PM paie 2024</t>
        </is>
      </c>
      <c r="C775" s="45" t="n">
        <v>648416917</v>
      </c>
      <c r="D775" s="30" t="inlineStr">
        <is>
          <t>648 416 917 FCFA</t>
        </is>
      </c>
      <c r="E775" s="46" t="inlineStr">
        <is>
          <t>Oui</t>
        </is>
      </c>
    </row>
    <row r="776">
      <c r="A776" s="42" t="n">
        <v>107</v>
      </c>
      <c r="B776" s="28" t="inlineStr">
        <is>
          <t>PM dette 2024</t>
        </is>
      </c>
      <c r="C776" s="43" t="n">
        <v>236353873</v>
      </c>
      <c r="D776" s="28" t="inlineStr">
        <is>
          <t>236 353 873 FCFA</t>
        </is>
      </c>
      <c r="E776" s="44" t="inlineStr">
        <is>
          <t>Oui</t>
        </is>
      </c>
    </row>
    <row r="777">
      <c r="A777" s="42" t="n">
        <v>107</v>
      </c>
      <c r="B777" s="30" t="inlineStr">
        <is>
          <t>PM délai 2024 (t)</t>
        </is>
      </c>
      <c r="C777" s="45" t="n">
        <v>4.620321286618855</v>
      </c>
      <c r="D777" s="30" t="inlineStr">
        <is>
          <t>4,62</t>
        </is>
      </c>
      <c r="E777" s="46" t="inlineStr">
        <is>
          <t>Oui</t>
        </is>
      </c>
    </row>
    <row r="778">
      <c r="A778" s="42" t="n">
        <v>107</v>
      </c>
      <c r="B778" s="28" t="inlineStr">
        <is>
          <t>PM prest 2024</t>
        </is>
      </c>
      <c r="C778" s="43" t="n">
        <v>1060419627</v>
      </c>
      <c r="D778" s="28" t="inlineStr">
        <is>
          <t>1 060 419 627 FCFA</t>
        </is>
      </c>
      <c r="E778" s="44" t="inlineStr">
        <is>
          <t>Oui</t>
        </is>
      </c>
    </row>
    <row r="779">
      <c r="A779" s="42" t="n">
        <v>107</v>
      </c>
      <c r="B779" s="30" t="inlineStr">
        <is>
          <t>PM fact 2025</t>
        </is>
      </c>
      <c r="C779" s="45" t="n">
        <v>1107859142</v>
      </c>
      <c r="D779" s="30" t="inlineStr">
        <is>
          <t>1 107 859 142 FCFA</t>
        </is>
      </c>
      <c r="E779" s="46" t="inlineStr">
        <is>
          <t>Oui</t>
        </is>
      </c>
    </row>
    <row r="780">
      <c r="A780" s="42" t="n">
        <v>107</v>
      </c>
      <c r="B780" s="28" t="inlineStr">
        <is>
          <t>PM paie 2025</t>
        </is>
      </c>
      <c r="C780" s="43" t="n">
        <v>1102072146</v>
      </c>
      <c r="D780" s="28" t="inlineStr">
        <is>
          <t>1 102 072 146 FCFA</t>
        </is>
      </c>
      <c r="E780" s="44" t="inlineStr">
        <is>
          <t>Oui</t>
        </is>
      </c>
    </row>
    <row r="781">
      <c r="A781" s="42" t="n">
        <v>107</v>
      </c>
      <c r="B781" s="30" t="inlineStr">
        <is>
          <t>PM dette 2025</t>
        </is>
      </c>
      <c r="C781" s="45" t="n">
        <v>242140869</v>
      </c>
      <c r="D781" s="30" t="inlineStr">
        <is>
          <t>242 140 869 FCFA</t>
        </is>
      </c>
      <c r="E781" s="46" t="inlineStr">
        <is>
          <t>Oui</t>
        </is>
      </c>
    </row>
    <row r="782">
      <c r="A782" s="42" t="n">
        <v>107</v>
      </c>
      <c r="B782" s="28" t="inlineStr">
        <is>
          <t>PM délai 2025 (t)</t>
        </is>
      </c>
      <c r="C782" s="43" t="n">
        <v>2.622797716643295</v>
      </c>
      <c r="D782" s="28" t="inlineStr">
        <is>
          <t>2,62</t>
        </is>
      </c>
      <c r="E782" s="44" t="inlineStr">
        <is>
          <t>Oui</t>
        </is>
      </c>
    </row>
    <row r="783">
      <c r="A783" s="42" t="n">
        <v>107</v>
      </c>
      <c r="B783" s="30" t="inlineStr">
        <is>
          <t>PM prest 2025</t>
        </is>
      </c>
      <c r="C783" s="45" t="n">
        <v>1771635361</v>
      </c>
      <c r="D783" s="30" t="inlineStr">
        <is>
          <t>1 771 635 361 FCFA</t>
        </is>
      </c>
      <c r="E783" s="46" t="inlineStr">
        <is>
          <t>Oui</t>
        </is>
      </c>
    </row>
    <row r="784">
      <c r="A784" s="42" t="n">
        <v>107</v>
      </c>
      <c r="B784" s="28" t="inlineStr">
        <is>
          <t>PM fact 2026</t>
        </is>
      </c>
      <c r="C784" s="43" t="n">
        <v>1104671563</v>
      </c>
      <c r="D784" s="28" t="inlineStr">
        <is>
          <t>1 104 671 563 FCFA</t>
        </is>
      </c>
      <c r="E784" s="44" t="inlineStr">
        <is>
          <t>Oui</t>
        </is>
      </c>
    </row>
    <row r="785">
      <c r="A785" s="42" t="n">
        <v>107</v>
      </c>
      <c r="B785" s="30" t="inlineStr">
        <is>
          <t>PM paie 2026</t>
        </is>
      </c>
      <c r="C785" s="45" t="n">
        <v>656525181</v>
      </c>
      <c r="D785" s="30" t="inlineStr">
        <is>
          <t>656 525 181 FCFA</t>
        </is>
      </c>
      <c r="E785" s="46" t="inlineStr">
        <is>
          <t>Oui</t>
        </is>
      </c>
    </row>
    <row r="786">
      <c r="A786" s="42" t="n">
        <v>107</v>
      </c>
      <c r="B786" s="28" t="inlineStr">
        <is>
          <t>PM dette 2026</t>
        </is>
      </c>
      <c r="C786" s="43" t="n">
        <v>690234451</v>
      </c>
      <c r="D786" s="28" t="inlineStr">
        <is>
          <t>690 234 451 FCFA</t>
        </is>
      </c>
      <c r="E786" s="44" t="inlineStr">
        <is>
          <t>Oui</t>
        </is>
      </c>
    </row>
    <row r="787">
      <c r="A787" s="42" t="n">
        <v>107</v>
      </c>
      <c r="B787" s="30" t="inlineStr">
        <is>
          <t>PM délai 2026 (t)</t>
        </is>
      </c>
      <c r="C787" s="45" t="n">
        <v>4.998658237389605</v>
      </c>
      <c r="D787" s="30" t="inlineStr">
        <is>
          <t>5,00</t>
        </is>
      </c>
      <c r="E787" s="46" t="inlineStr">
        <is>
          <t>Oui</t>
        </is>
      </c>
    </row>
    <row r="788">
      <c r="A788" s="42" t="n">
        <v>107</v>
      </c>
      <c r="B788" s="28" t="inlineStr">
        <is>
          <t>PM prest 2026</t>
        </is>
      </c>
      <c r="C788" s="43" t="n">
        <v>1646039117</v>
      </c>
      <c r="D788" s="28" t="inlineStr">
        <is>
          <t>1 646 039 117 FCFA</t>
        </is>
      </c>
      <c r="E788" s="44" t="inlineStr">
        <is>
          <t>Oui</t>
        </is>
      </c>
    </row>
    <row r="789">
      <c r="A789" s="42" t="n">
        <v>107</v>
      </c>
      <c r="B789" s="30" t="inlineStr">
        <is>
          <t>PM délai min arr</t>
        </is>
      </c>
      <c r="C789" s="45" t="n">
        <v>53.37516872420808</v>
      </c>
      <c r="D789" s="30" t="inlineStr">
        <is>
          <t>53</t>
        </is>
      </c>
      <c r="E789" s="46" t="inlineStr">
        <is>
          <t>Oui</t>
        </is>
      </c>
    </row>
    <row r="790">
      <c r="A790" s="42" t="n">
        <v>107</v>
      </c>
      <c r="B790" s="28" t="inlineStr">
        <is>
          <t>PM délai max arr</t>
        </is>
      </c>
      <c r="C790" s="43" t="n">
        <v>101.5876959049399</v>
      </c>
      <c r="D790" s="28" t="inlineStr">
        <is>
          <t>102</t>
        </is>
      </c>
      <c r="E790" s="44" t="inlineStr">
        <is>
          <t>Oui</t>
        </is>
      </c>
    </row>
    <row r="791">
      <c r="A791" s="42" t="n">
        <v>107</v>
      </c>
      <c r="B791" s="30" t="inlineStr">
        <is>
          <t>PM délai min réc</t>
        </is>
      </c>
      <c r="C791" s="45" t="n">
        <v>2.622797716643295</v>
      </c>
      <c r="D791" s="30" t="inlineStr">
        <is>
          <t>2,62</t>
        </is>
      </c>
      <c r="E791" s="46" t="inlineStr">
        <is>
          <t>Oui</t>
        </is>
      </c>
    </row>
    <row r="792">
      <c r="A792" s="42" t="n">
        <v>107</v>
      </c>
      <c r="B792" s="28" t="inlineStr">
        <is>
          <t>PM délai max réc</t>
        </is>
      </c>
      <c r="C792" s="43" t="n">
        <v>4.998658237389605</v>
      </c>
      <c r="D792" s="28" t="inlineStr">
        <is>
          <t>5,00</t>
        </is>
      </c>
      <c r="E792" s="44" t="inlineStr">
        <is>
          <t>Oui</t>
        </is>
      </c>
    </row>
    <row r="793">
      <c r="A793" s="42" t="n">
        <v>108</v>
      </c>
      <c r="B793" s="30" t="inlineStr">
        <is>
          <t>PMT fact 2022</t>
        </is>
      </c>
      <c r="C793" s="45" t="n">
        <v>309338647</v>
      </c>
      <c r="D793" s="30" t="inlineStr">
        <is>
          <t>309 338 647 FCFA</t>
        </is>
      </c>
      <c r="E793" s="46" t="inlineStr">
        <is>
          <t>Oui</t>
        </is>
      </c>
    </row>
    <row r="794">
      <c r="A794" s="42" t="n">
        <v>108</v>
      </c>
      <c r="B794" s="28" t="inlineStr">
        <is>
          <t>PMT lisible 2022</t>
        </is>
      </c>
      <c r="C794" s="43" t="n">
        <v>0.8129206694306127</v>
      </c>
      <c r="D794" s="28" t="inlineStr">
        <is>
          <t>81,29 %</t>
        </is>
      </c>
      <c r="E794" s="44" t="inlineStr">
        <is>
          <t>Oui</t>
        </is>
      </c>
    </row>
    <row r="795">
      <c r="A795" s="42" t="n">
        <v>108</v>
      </c>
      <c r="B795" s="30" t="inlineStr">
        <is>
          <t>PMT retard 2022</t>
        </is>
      </c>
      <c r="C795" s="45" t="n">
        <v>2748440</v>
      </c>
      <c r="D795" s="30" t="inlineStr">
        <is>
          <t>2 748 440 FCFA</t>
        </is>
      </c>
      <c r="E795" s="46" t="inlineStr">
        <is>
          <t>Oui</t>
        </is>
      </c>
    </row>
    <row r="796">
      <c r="A796" s="42" t="n">
        <v>108</v>
      </c>
      <c r="B796" s="28" t="inlineStr">
        <is>
          <t>PMT part 2022</t>
        </is>
      </c>
      <c r="C796" s="43" t="n">
        <v>0.00888489048056126</v>
      </c>
      <c r="D796" s="28" t="inlineStr">
        <is>
          <t>0,89 %</t>
        </is>
      </c>
      <c r="E796" s="44" t="inlineStr">
        <is>
          <t>Oui</t>
        </is>
      </c>
    </row>
    <row r="797">
      <c r="A797" s="42" t="n">
        <v>108</v>
      </c>
      <c r="B797" s="30" t="inlineStr">
        <is>
          <t>PMT fact 2023</t>
        </is>
      </c>
      <c r="C797" s="45" t="n">
        <v>609600324</v>
      </c>
      <c r="D797" s="30" t="inlineStr">
        <is>
          <t>609 600 324 FCFA</t>
        </is>
      </c>
      <c r="E797" s="46" t="inlineStr">
        <is>
          <t>Oui</t>
        </is>
      </c>
    </row>
    <row r="798">
      <c r="A798" s="42" t="n">
        <v>108</v>
      </c>
      <c r="B798" s="28" t="inlineStr">
        <is>
          <t>PMT lisible 2023</t>
        </is>
      </c>
      <c r="C798" s="43" t="n">
        <v>0.869522964689238</v>
      </c>
      <c r="D798" s="28" t="inlineStr">
        <is>
          <t>86,95 %</t>
        </is>
      </c>
      <c r="E798" s="44" t="inlineStr">
        <is>
          <t>Oui</t>
        </is>
      </c>
    </row>
    <row r="799">
      <c r="A799" s="42" t="n">
        <v>108</v>
      </c>
      <c r="B799" s="30" t="inlineStr">
        <is>
          <t>PMT retard 2023</t>
        </is>
      </c>
      <c r="C799" s="45" t="n">
        <v>1308550</v>
      </c>
      <c r="D799" s="30" t="inlineStr">
        <is>
          <t>1 308 550 FCFA</t>
        </is>
      </c>
      <c r="E799" s="46" t="inlineStr">
        <is>
          <t>Oui</t>
        </is>
      </c>
    </row>
    <row r="800">
      <c r="A800" s="42" t="n">
        <v>108</v>
      </c>
      <c r="B800" s="28" t="inlineStr">
        <is>
          <t>PMT part 2023</t>
        </is>
      </c>
      <c r="C800" s="43" t="n">
        <v>0.002146570381416005</v>
      </c>
      <c r="D800" s="28" t="inlineStr">
        <is>
          <t>0,21 %</t>
        </is>
      </c>
      <c r="E800" s="44" t="inlineStr">
        <is>
          <t>Oui</t>
        </is>
      </c>
    </row>
    <row r="801">
      <c r="A801" s="42" t="n">
        <v>108</v>
      </c>
      <c r="B801" s="30" t="inlineStr">
        <is>
          <t>PMT fact 2024</t>
        </is>
      </c>
      <c r="C801" s="45" t="n">
        <v>844124742</v>
      </c>
      <c r="D801" s="30" t="inlineStr">
        <is>
          <t>844 124 742 FCFA</t>
        </is>
      </c>
      <c r="E801" s="46" t="inlineStr">
        <is>
          <t>Oui</t>
        </is>
      </c>
    </row>
    <row r="802">
      <c r="A802" s="42" t="n">
        <v>108</v>
      </c>
      <c r="B802" s="28" t="inlineStr">
        <is>
          <t>PMT lisible 2024</t>
        </is>
      </c>
      <c r="C802" s="43" t="n">
        <v>0.1557462072353283</v>
      </c>
      <c r="D802" s="28" t="inlineStr">
        <is>
          <t>15,57 %</t>
        </is>
      </c>
      <c r="E802" s="44" t="inlineStr">
        <is>
          <t>Oui</t>
        </is>
      </c>
    </row>
    <row r="803">
      <c r="A803" s="42" t="n">
        <v>108</v>
      </c>
      <c r="B803" s="30" t="inlineStr">
        <is>
          <t>PMT retard 2024</t>
        </is>
      </c>
      <c r="C803" s="45" t="n">
        <v>1215600</v>
      </c>
      <c r="D803" s="30" t="inlineStr">
        <is>
          <t>1 215 600 FCFA</t>
        </is>
      </c>
      <c r="E803" s="46" t="inlineStr">
        <is>
          <t>Oui</t>
        </is>
      </c>
    </row>
    <row r="804">
      <c r="A804" s="42" t="n">
        <v>108</v>
      </c>
      <c r="B804" s="28" t="inlineStr">
        <is>
          <t>PMT part 2024</t>
        </is>
      </c>
      <c r="C804" s="43" t="n">
        <v>0.001440071519666462</v>
      </c>
      <c r="D804" s="28" t="inlineStr">
        <is>
          <t>0,14 %</t>
        </is>
      </c>
      <c r="E804" s="44" t="inlineStr">
        <is>
          <t>Oui</t>
        </is>
      </c>
    </row>
    <row r="805">
      <c r="A805" s="42" t="n">
        <v>108</v>
      </c>
      <c r="B805" s="30" t="inlineStr">
        <is>
          <t>PMT min</t>
        </is>
      </c>
      <c r="C805" s="45" t="n">
        <v>1215600</v>
      </c>
      <c r="D805" s="30" t="inlineStr">
        <is>
          <t>1 215 600 FCFA</t>
        </is>
      </c>
      <c r="E805" s="46" t="inlineStr">
        <is>
          <t>Oui</t>
        </is>
      </c>
    </row>
    <row r="806">
      <c r="A806" s="42" t="n">
        <v>108</v>
      </c>
      <c r="B806" s="28" t="inlineStr">
        <is>
          <t>PMT max</t>
        </is>
      </c>
      <c r="C806" s="43" t="n">
        <v>2748440</v>
      </c>
      <c r="D806" s="28" t="inlineStr">
        <is>
          <t>2 748 440 FCFA</t>
        </is>
      </c>
      <c r="E806" s="44" t="inlineStr">
        <is>
          <t>Oui</t>
        </is>
      </c>
    </row>
    <row r="807">
      <c r="A807" s="42" t="n">
        <v>108</v>
      </c>
      <c r="B807" s="30" t="inlineStr">
        <is>
          <t>PMT lisible 2024 (t)</t>
        </is>
      </c>
      <c r="C807" s="45" t="n">
        <v>0.1557462072353283</v>
      </c>
      <c r="D807" s="30" t="inlineStr">
        <is>
          <t>15,57 %</t>
        </is>
      </c>
      <c r="E807" s="46" t="inlineStr">
        <is>
          <t>Oui</t>
        </is>
      </c>
    </row>
    <row r="808">
      <c r="A808" s="42" t="n">
        <v>109</v>
      </c>
      <c r="B808" s="28" t="inlineStr">
        <is>
          <t>PMN prov</t>
        </is>
      </c>
      <c r="C808" s="43" t="n">
        <v>2867602878</v>
      </c>
      <c r="D808" s="28" t="inlineStr">
        <is>
          <t>2 867 602 878 FCFA</t>
        </is>
      </c>
      <c r="E808" s="44" t="inlineStr">
        <is>
          <t>Oui</t>
        </is>
      </c>
    </row>
    <row r="809">
      <c r="A809" s="42" t="n">
        <v>109</v>
      </c>
      <c r="B809" s="30" t="inlineStr">
        <is>
          <t>PMN besoin 2024</t>
        </is>
      </c>
      <c r="C809" s="45" t="n">
        <v>12481391.51090365</v>
      </c>
      <c r="D809" s="30" t="inlineStr">
        <is>
          <t>12 481 392 FCFA</t>
        </is>
      </c>
      <c r="E809" s="46" t="inlineStr">
        <is>
          <t>Oui</t>
        </is>
      </c>
    </row>
    <row r="810">
      <c r="A810" s="42" t="n">
        <v>109</v>
      </c>
      <c r="B810" s="28" t="inlineStr">
        <is>
          <t>PMN fois</t>
        </is>
      </c>
      <c r="C810" s="43" t="n">
        <v>229.7502546486811</v>
      </c>
      <c r="D810" s="28" t="inlineStr">
        <is>
          <t>230</t>
        </is>
      </c>
      <c r="E810" s="44" t="inlineStr">
        <is>
          <t>Oui</t>
        </is>
      </c>
    </row>
    <row r="811">
      <c r="A811" s="42" t="n">
        <v>109</v>
      </c>
      <c r="B811" s="30" t="inlineStr">
        <is>
          <t>PMN dette 2022</t>
        </is>
      </c>
      <c r="C811" s="45" t="n">
        <v>533144348</v>
      </c>
      <c r="D811" s="30" t="inlineStr">
        <is>
          <t>533 144 348 FCFA</t>
        </is>
      </c>
      <c r="E811" s="46" t="inlineStr">
        <is>
          <t>Oui</t>
        </is>
      </c>
    </row>
    <row r="812">
      <c r="A812" s="42" t="n">
        <v>109</v>
      </c>
      <c r="B812" s="28" t="inlineStr">
        <is>
          <t>PMN retard 2022</t>
        </is>
      </c>
      <c r="C812" s="43" t="n">
        <v>2748440</v>
      </c>
      <c r="D812" s="28" t="inlineStr">
        <is>
          <t>2 748 440 FCFA</t>
        </is>
      </c>
      <c r="E812" s="44" t="inlineStr">
        <is>
          <t>Oui</t>
        </is>
      </c>
    </row>
    <row r="813">
      <c r="A813" s="42" t="n">
        <v>109</v>
      </c>
      <c r="B813" s="30" t="inlineStr">
        <is>
          <t>PMN besoin 2022</t>
        </is>
      </c>
      <c r="C813" s="45" t="n">
        <v>5644138.986155632</v>
      </c>
      <c r="D813" s="30" t="inlineStr">
        <is>
          <t>5 644 139 FCFA</t>
        </is>
      </c>
      <c r="E813" s="46" t="inlineStr">
        <is>
          <t>Oui</t>
        </is>
      </c>
    </row>
    <row r="814">
      <c r="A814" s="42" t="n">
        <v>109</v>
      </c>
      <c r="B814" s="28" t="inlineStr">
        <is>
          <t>PMN prov 2022</t>
        </is>
      </c>
      <c r="C814" s="43" t="n">
        <v>2867602878</v>
      </c>
      <c r="D814" s="28" t="inlineStr">
        <is>
          <t>2 867 602 878 FCFA</t>
        </is>
      </c>
      <c r="E814" s="44" t="inlineStr">
        <is>
          <t>Oui</t>
        </is>
      </c>
    </row>
    <row r="815">
      <c r="A815" s="42" t="n">
        <v>109</v>
      </c>
      <c r="B815" s="30" t="inlineStr">
        <is>
          <t>PMN écart 2022</t>
        </is>
      </c>
      <c r="C815" s="45" t="n">
        <v>2861958739.013844</v>
      </c>
      <c r="D815" s="30" t="inlineStr">
        <is>
          <t>2 861 958 739 FCFA</t>
        </is>
      </c>
      <c r="E815" s="46" t="inlineStr">
        <is>
          <t>Oui</t>
        </is>
      </c>
    </row>
    <row r="816">
      <c r="A816" s="42" t="n">
        <v>109</v>
      </c>
      <c r="B816" s="28" t="inlineStr">
        <is>
          <t>PMN dette 2023</t>
        </is>
      </c>
      <c r="C816" s="43" t="n">
        <v>271270756</v>
      </c>
      <c r="D816" s="28" t="inlineStr">
        <is>
          <t>271 270 756 FCFA</t>
        </is>
      </c>
      <c r="E816" s="44" t="inlineStr">
        <is>
          <t>Oui</t>
        </is>
      </c>
    </row>
    <row r="817">
      <c r="A817" s="42" t="n">
        <v>109</v>
      </c>
      <c r="B817" s="30" t="inlineStr">
        <is>
          <t>PMN retard 2023</t>
        </is>
      </c>
      <c r="C817" s="45" t="n">
        <v>1308550</v>
      </c>
      <c r="D817" s="30" t="inlineStr">
        <is>
          <t>1 308 550 FCFA</t>
        </is>
      </c>
      <c r="E817" s="46" t="inlineStr">
        <is>
          <t>Oui</t>
        </is>
      </c>
    </row>
    <row r="818">
      <c r="A818" s="42" t="n">
        <v>109</v>
      </c>
      <c r="B818" s="28" t="inlineStr">
        <is>
          <t>PMN besoin 2023</t>
        </is>
      </c>
      <c r="C818" s="43" t="n">
        <v>2599652.086104453</v>
      </c>
      <c r="D818" s="28" t="inlineStr">
        <is>
          <t>2 599 652 FCFA</t>
        </is>
      </c>
      <c r="E818" s="44" t="inlineStr">
        <is>
          <t>Oui</t>
        </is>
      </c>
    </row>
    <row r="819">
      <c r="A819" s="42" t="n">
        <v>109</v>
      </c>
      <c r="B819" s="30" t="inlineStr">
        <is>
          <t>PMN prov 2023</t>
        </is>
      </c>
      <c r="C819" s="45" t="n">
        <v>2867602878</v>
      </c>
      <c r="D819" s="30" t="inlineStr">
        <is>
          <t>2 867 602 878 FCFA</t>
        </is>
      </c>
      <c r="E819" s="46" t="inlineStr">
        <is>
          <t>Oui</t>
        </is>
      </c>
    </row>
    <row r="820">
      <c r="A820" s="42" t="n">
        <v>109</v>
      </c>
      <c r="B820" s="28" t="inlineStr">
        <is>
          <t>PMN écart 2023</t>
        </is>
      </c>
      <c r="C820" s="43" t="n">
        <v>2865003225.913896</v>
      </c>
      <c r="D820" s="28" t="inlineStr">
        <is>
          <t>2 865 003 226 FCFA</t>
        </is>
      </c>
      <c r="E820" s="44" t="inlineStr">
        <is>
          <t>Oui</t>
        </is>
      </c>
    </row>
    <row r="821">
      <c r="A821" s="42" t="n">
        <v>109</v>
      </c>
      <c r="B821" s="30" t="inlineStr">
        <is>
          <t>PMN dette 2024</t>
        </is>
      </c>
      <c r="C821" s="45" t="n">
        <v>236353873</v>
      </c>
      <c r="D821" s="30" t="inlineStr">
        <is>
          <t>236 353 873 FCFA</t>
        </is>
      </c>
      <c r="E821" s="46" t="inlineStr">
        <is>
          <t>Oui</t>
        </is>
      </c>
    </row>
    <row r="822">
      <c r="A822" s="42" t="n">
        <v>109</v>
      </c>
      <c r="B822" s="28" t="inlineStr">
        <is>
          <t>PMN retard 2024</t>
        </is>
      </c>
      <c r="C822" s="43" t="n">
        <v>1215600</v>
      </c>
      <c r="D822" s="28" t="inlineStr">
        <is>
          <t>1 215 600 FCFA</t>
        </is>
      </c>
      <c r="E822" s="44" t="inlineStr">
        <is>
          <t>Oui</t>
        </is>
      </c>
    </row>
    <row r="823">
      <c r="A823" s="42" t="n">
        <v>109</v>
      </c>
      <c r="B823" s="30" t="inlineStr">
        <is>
          <t>PMN besoin 2024</t>
        </is>
      </c>
      <c r="C823" s="45" t="n">
        <v>12481391.51090365</v>
      </c>
      <c r="D823" s="30" t="inlineStr">
        <is>
          <t>12 481 392 FCFA</t>
        </is>
      </c>
      <c r="E823" s="46" t="inlineStr">
        <is>
          <t>Oui</t>
        </is>
      </c>
    </row>
    <row r="824">
      <c r="A824" s="42" t="n">
        <v>109</v>
      </c>
      <c r="B824" s="28" t="inlineStr">
        <is>
          <t>PMN prov 2024</t>
        </is>
      </c>
      <c r="C824" s="43" t="n">
        <v>2867602878</v>
      </c>
      <c r="D824" s="28" t="inlineStr">
        <is>
          <t>2 867 602 878 FCFA</t>
        </is>
      </c>
      <c r="E824" s="44" t="inlineStr">
        <is>
          <t>Oui</t>
        </is>
      </c>
    </row>
    <row r="825">
      <c r="A825" s="42" t="n">
        <v>109</v>
      </c>
      <c r="B825" s="30" t="inlineStr">
        <is>
          <t>PMN écart 2024</t>
        </is>
      </c>
      <c r="C825" s="45" t="n">
        <v>2855121486.489096</v>
      </c>
      <c r="D825" s="30" t="inlineStr">
        <is>
          <t>2 855 121 486 FCFA</t>
        </is>
      </c>
      <c r="E825" s="46" t="inlineStr">
        <is>
          <t>Oui</t>
        </is>
      </c>
    </row>
    <row r="826">
      <c r="A826" s="42" t="n">
        <v>109</v>
      </c>
      <c r="B826" s="28" t="inlineStr">
        <is>
          <t>PMN fois min</t>
        </is>
      </c>
      <c r="C826" s="43" t="n">
        <v>229.7502546486811</v>
      </c>
      <c r="D826" s="28" t="inlineStr">
        <is>
          <t>230</t>
        </is>
      </c>
      <c r="E826" s="44" t="inlineStr">
        <is>
          <t>Oui</t>
        </is>
      </c>
    </row>
    <row r="827">
      <c r="A827" s="42" t="n">
        <v>109</v>
      </c>
      <c r="B827" s="30" t="inlineStr">
        <is>
          <t>PMN fois max</t>
        </is>
      </c>
      <c r="C827" s="45" t="n">
        <v>1103.071789232023</v>
      </c>
      <c r="D827" s="30" t="inlineStr">
        <is>
          <t>1 103</t>
        </is>
      </c>
      <c r="E827" s="46" t="inlineStr">
        <is>
          <t>Oui</t>
        </is>
      </c>
    </row>
    <row r="828">
      <c r="A828" s="42" t="n">
        <v>109</v>
      </c>
      <c r="B828" s="28" t="inlineStr">
        <is>
          <t>PMN mult prest</t>
        </is>
      </c>
      <c r="C828" s="43" t="n">
        <v>8.608025182936805</v>
      </c>
      <c r="D828" s="28" t="inlineStr">
        <is>
          <t>8,6</t>
        </is>
      </c>
      <c r="E828" s="44" t="inlineStr">
        <is>
          <t>Oui</t>
        </is>
      </c>
    </row>
    <row r="829">
      <c r="A829" s="42" t="n">
        <v>111</v>
      </c>
      <c r="B829" s="30" t="inlineStr">
        <is>
          <t>DC dossiers 2021</t>
        </is>
      </c>
      <c r="C829" s="45" t="n">
        <v>81</v>
      </c>
      <c r="D829" s="30" t="inlineStr">
        <is>
          <t>81</t>
        </is>
      </c>
      <c r="E829" s="46" t="inlineStr">
        <is>
          <t>Oui</t>
        </is>
      </c>
    </row>
    <row r="830">
      <c r="A830" s="42" t="n">
        <v>111</v>
      </c>
      <c r="B830" s="28" t="inlineStr">
        <is>
          <t>DC total 2021</t>
        </is>
      </c>
      <c r="C830" s="43" t="n">
        <v>112820000</v>
      </c>
      <c r="D830" s="28" t="inlineStr">
        <is>
          <t>112 820 000 FCFA</t>
        </is>
      </c>
      <c r="E830" s="44" t="inlineStr">
        <is>
          <t>Oui</t>
        </is>
      </c>
    </row>
    <row r="831">
      <c r="A831" s="42" t="n">
        <v>111</v>
      </c>
      <c r="B831" s="30" t="inlineStr">
        <is>
          <t>DC crédit 2021</t>
        </is>
      </c>
      <c r="C831" s="45" t="n">
        <v>370503332</v>
      </c>
      <c r="D831" s="30" t="inlineStr">
        <is>
          <t>370 503 332 FCFA</t>
        </is>
      </c>
      <c r="E831" s="46" t="inlineStr">
        <is>
          <t>Oui</t>
        </is>
      </c>
    </row>
    <row r="832">
      <c r="A832" s="42" t="n">
        <v>111</v>
      </c>
      <c r="B832" s="28" t="inlineStr">
        <is>
          <t>DC écart 2021</t>
        </is>
      </c>
      <c r="C832" s="43" t="n">
        <v>257683332</v>
      </c>
      <c r="D832" s="28" t="inlineStr">
        <is>
          <t>257 683 332 FCFA</t>
        </is>
      </c>
      <c r="E832" s="44" t="inlineStr">
        <is>
          <t>Oui</t>
        </is>
      </c>
    </row>
    <row r="833">
      <c r="A833" s="42" t="n">
        <v>111</v>
      </c>
      <c r="B833" s="30" t="inlineStr">
        <is>
          <t>DC dossiers 2022</t>
        </is>
      </c>
      <c r="C833" s="45" t="n">
        <v>62</v>
      </c>
      <c r="D833" s="30" t="inlineStr">
        <is>
          <t>62</t>
        </is>
      </c>
      <c r="E833" s="46" t="inlineStr">
        <is>
          <t>Oui</t>
        </is>
      </c>
    </row>
    <row r="834">
      <c r="A834" s="42" t="n">
        <v>111</v>
      </c>
      <c r="B834" s="28" t="inlineStr">
        <is>
          <t>DC total 2022</t>
        </is>
      </c>
      <c r="C834" s="43" t="n">
        <v>88000000</v>
      </c>
      <c r="D834" s="28" t="inlineStr">
        <is>
          <t>88 000 000 FCFA</t>
        </is>
      </c>
      <c r="E834" s="44" t="inlineStr">
        <is>
          <t>Oui</t>
        </is>
      </c>
    </row>
    <row r="835">
      <c r="A835" s="42" t="n">
        <v>111</v>
      </c>
      <c r="B835" s="30" t="inlineStr">
        <is>
          <t>DC crédit 2022</t>
        </is>
      </c>
      <c r="C835" s="45" t="n">
        <v>97653333</v>
      </c>
      <c r="D835" s="30" t="inlineStr">
        <is>
          <t>97 653 333 FCFA</t>
        </is>
      </c>
      <c r="E835" s="46" t="inlineStr">
        <is>
          <t>Oui</t>
        </is>
      </c>
    </row>
    <row r="836">
      <c r="A836" s="42" t="n">
        <v>111</v>
      </c>
      <c r="B836" s="28" t="inlineStr">
        <is>
          <t>DC écart 2022</t>
        </is>
      </c>
      <c r="C836" s="43" t="n">
        <v>9653333</v>
      </c>
      <c r="D836" s="28" t="inlineStr">
        <is>
          <t>9 653 333 FCFA</t>
        </is>
      </c>
      <c r="E836" s="44" t="inlineStr">
        <is>
          <t>Oui</t>
        </is>
      </c>
    </row>
    <row r="837">
      <c r="A837" s="42" t="n">
        <v>111</v>
      </c>
      <c r="B837" s="30" t="inlineStr">
        <is>
          <t>DC dossiers 2023</t>
        </is>
      </c>
      <c r="C837" s="45" t="n">
        <v>106</v>
      </c>
      <c r="D837" s="30" t="inlineStr">
        <is>
          <t>106</t>
        </is>
      </c>
      <c r="E837" s="46" t="inlineStr">
        <is>
          <t>Oui</t>
        </is>
      </c>
    </row>
    <row r="838">
      <c r="A838" s="42" t="n">
        <v>111</v>
      </c>
      <c r="B838" s="28" t="inlineStr">
        <is>
          <t>DC total 2023</t>
        </is>
      </c>
      <c r="C838" s="43" t="n">
        <v>124690000</v>
      </c>
      <c r="D838" s="28" t="inlineStr">
        <is>
          <t>124 690 000 FCFA</t>
        </is>
      </c>
      <c r="E838" s="44" t="inlineStr">
        <is>
          <t>Oui</t>
        </is>
      </c>
    </row>
    <row r="839">
      <c r="A839" s="42" t="n">
        <v>111</v>
      </c>
      <c r="B839" s="30" t="inlineStr">
        <is>
          <t>DC crédit 2023</t>
        </is>
      </c>
      <c r="C839" s="45" t="n">
        <v>120690000</v>
      </c>
      <c r="D839" s="30" t="inlineStr">
        <is>
          <t>120 690 000 FCFA</t>
        </is>
      </c>
      <c r="E839" s="46" t="inlineStr">
        <is>
          <t>Oui</t>
        </is>
      </c>
    </row>
    <row r="840">
      <c r="A840" s="42" t="n">
        <v>111</v>
      </c>
      <c r="B840" s="28" t="inlineStr">
        <is>
          <t>DC écart 2023</t>
        </is>
      </c>
      <c r="C840" s="43" t="n">
        <v>-4000000</v>
      </c>
      <c r="D840" s="28" t="inlineStr">
        <is>
          <t>-4 000 000 FCFA</t>
        </is>
      </c>
      <c r="E840" s="44" t="inlineStr">
        <is>
          <t>Oui</t>
        </is>
      </c>
    </row>
    <row r="841">
      <c r="A841" s="42" t="n">
        <v>111</v>
      </c>
      <c r="B841" s="30" t="inlineStr">
        <is>
          <t>DC dossiers 2024</t>
        </is>
      </c>
      <c r="C841" s="45" t="n">
        <v>99</v>
      </c>
      <c r="D841" s="30" t="inlineStr">
        <is>
          <t>99</t>
        </is>
      </c>
      <c r="E841" s="46" t="inlineStr">
        <is>
          <t>Oui</t>
        </is>
      </c>
    </row>
    <row r="842">
      <c r="A842" s="42" t="n">
        <v>111</v>
      </c>
      <c r="B842" s="28" t="inlineStr">
        <is>
          <t>DC total 2024</t>
        </is>
      </c>
      <c r="C842" s="43" t="n">
        <v>140800000</v>
      </c>
      <c r="D842" s="28" t="inlineStr">
        <is>
          <t>140 800 000 FCFA</t>
        </is>
      </c>
      <c r="E842" s="44" t="inlineStr">
        <is>
          <t>Oui</t>
        </is>
      </c>
    </row>
    <row r="843">
      <c r="A843" s="42" t="n">
        <v>111</v>
      </c>
      <c r="B843" s="30" t="inlineStr">
        <is>
          <t>DC crédit 2024</t>
        </is>
      </c>
      <c r="C843" s="45" t="n">
        <v>140800000</v>
      </c>
      <c r="D843" s="30" t="inlineStr">
        <is>
          <t>140 800 000 FCFA</t>
        </is>
      </c>
      <c r="E843" s="46" t="inlineStr">
        <is>
          <t>Oui</t>
        </is>
      </c>
    </row>
    <row r="844">
      <c r="A844" s="42" t="n">
        <v>111</v>
      </c>
      <c r="B844" s="28" t="inlineStr">
        <is>
          <t>DC écart 2024</t>
        </is>
      </c>
      <c r="C844" s="43" t="n">
        <v>0</v>
      </c>
      <c r="D844" s="28" t="inlineStr">
        <is>
          <t>0 FCFA</t>
        </is>
      </c>
      <c r="E844" s="44" t="inlineStr">
        <is>
          <t>Oui</t>
        </is>
      </c>
    </row>
    <row r="845">
      <c r="A845" s="42" t="n">
        <v>111</v>
      </c>
      <c r="B845" s="30" t="inlineStr">
        <is>
          <t>DC dossiers 2025</t>
        </is>
      </c>
      <c r="C845" s="45" t="n">
        <v>89</v>
      </c>
      <c r="D845" s="30" t="inlineStr">
        <is>
          <t>89</t>
        </is>
      </c>
      <c r="E845" s="46" t="inlineStr">
        <is>
          <t>Oui</t>
        </is>
      </c>
    </row>
    <row r="846">
      <c r="A846" s="42" t="n">
        <v>111</v>
      </c>
      <c r="B846" s="28" t="inlineStr">
        <is>
          <t>DC total 2025</t>
        </is>
      </c>
      <c r="C846" s="43" t="n">
        <v>130600000</v>
      </c>
      <c r="D846" s="28" t="inlineStr">
        <is>
          <t>130 600 000 FCFA</t>
        </is>
      </c>
      <c r="E846" s="44" t="inlineStr">
        <is>
          <t>Oui</t>
        </is>
      </c>
    </row>
    <row r="847">
      <c r="A847" s="42" t="n">
        <v>111</v>
      </c>
      <c r="B847" s="30" t="inlineStr">
        <is>
          <t>DC crédit 2025</t>
        </is>
      </c>
      <c r="C847" s="45" t="n">
        <v>130600000</v>
      </c>
      <c r="D847" s="30" t="inlineStr">
        <is>
          <t>130 600 000 FCFA</t>
        </is>
      </c>
      <c r="E847" s="46" t="inlineStr">
        <is>
          <t>Oui</t>
        </is>
      </c>
    </row>
    <row r="848">
      <c r="A848" s="42" t="n">
        <v>111</v>
      </c>
      <c r="B848" s="28" t="inlineStr">
        <is>
          <t>DC écart 2025</t>
        </is>
      </c>
      <c r="C848" s="43" t="n">
        <v>0</v>
      </c>
      <c r="D848" s="28" t="inlineStr">
        <is>
          <t>0 FCFA</t>
        </is>
      </c>
      <c r="E848" s="44" t="inlineStr">
        <is>
          <t>Oui</t>
        </is>
      </c>
    </row>
    <row r="849">
      <c r="A849" s="42" t="n">
        <v>112</v>
      </c>
      <c r="B849" s="30" t="inlineStr">
        <is>
          <t>DD fois 2026</t>
        </is>
      </c>
      <c r="C849" s="45" t="n">
        <v>4.008207140526672</v>
      </c>
      <c r="D849" s="30" t="inlineStr">
        <is>
          <t>4,0</t>
        </is>
      </c>
      <c r="E849" s="46" t="inlineStr">
        <is>
          <t>Oui</t>
        </is>
      </c>
    </row>
    <row r="850">
      <c r="A850" s="42" t="n">
        <v>112</v>
      </c>
      <c r="B850" s="28" t="inlineStr">
        <is>
          <t>DD dette 2026</t>
        </is>
      </c>
      <c r="C850" s="43" t="n">
        <v>489419669</v>
      </c>
      <c r="D850" s="28" t="inlineStr">
        <is>
          <t>489 419 669 FCFA</t>
        </is>
      </c>
      <c r="E850" s="44" t="inlineStr">
        <is>
          <t>Oui</t>
        </is>
      </c>
    </row>
    <row r="851">
      <c r="A851" s="42" t="n">
        <v>112</v>
      </c>
      <c r="B851" s="30" t="inlineStr">
        <is>
          <t>DD prov</t>
        </is>
      </c>
      <c r="C851" s="45" t="n">
        <v>1961695412</v>
      </c>
      <c r="D851" s="30" t="inlineStr">
        <is>
          <t>1 961 695 412 FCFA</t>
        </is>
      </c>
      <c r="E851" s="46" t="inlineStr">
        <is>
          <t>Oui</t>
        </is>
      </c>
    </row>
    <row r="852">
      <c r="A852" s="42" t="n">
        <v>112</v>
      </c>
      <c r="B852" s="28" t="inlineStr">
        <is>
          <t>DD ajout 2021</t>
        </is>
      </c>
      <c r="C852" s="43" t="n">
        <v>370503332</v>
      </c>
      <c r="D852" s="28" t="inlineStr">
        <is>
          <t>370 503 332 FCFA</t>
        </is>
      </c>
      <c r="E852" s="44" t="inlineStr">
        <is>
          <t>Oui</t>
        </is>
      </c>
    </row>
    <row r="853">
      <c r="A853" s="42" t="n">
        <v>112</v>
      </c>
      <c r="B853" s="30" t="inlineStr">
        <is>
          <t>DD payé 2021</t>
        </is>
      </c>
      <c r="C853" s="45" t="n">
        <v>0</v>
      </c>
      <c r="D853" s="30" t="inlineStr">
        <is>
          <t>0 FCFA</t>
        </is>
      </c>
      <c r="E853" s="46" t="inlineStr">
        <is>
          <t>Oui</t>
        </is>
      </c>
    </row>
    <row r="854">
      <c r="A854" s="42" t="n">
        <v>112</v>
      </c>
      <c r="B854" s="28" t="inlineStr">
        <is>
          <t>DD all 2021</t>
        </is>
      </c>
      <c r="C854" s="43" t="n">
        <v>370503332</v>
      </c>
      <c r="D854" s="28" t="inlineStr">
        <is>
          <t>370 503 332 FCFA</t>
        </is>
      </c>
      <c r="E854" s="44" t="inlineStr">
        <is>
          <t>Oui</t>
        </is>
      </c>
    </row>
    <row r="855">
      <c r="A855" s="42" t="n">
        <v>112</v>
      </c>
      <c r="B855" s="30" t="inlineStr">
        <is>
          <t>DD ff 2021</t>
        </is>
      </c>
      <c r="C855" s="45" t="n">
        <v>0</v>
      </c>
      <c r="D855" s="30" t="inlineStr">
        <is>
          <t>0 FCFA</t>
        </is>
      </c>
      <c r="E855" s="46" t="inlineStr">
        <is>
          <t>Oui</t>
        </is>
      </c>
    </row>
    <row r="856">
      <c r="A856" s="42" t="n">
        <v>112</v>
      </c>
      <c r="B856" s="28" t="inlineStr">
        <is>
          <t>DD tot 2021</t>
        </is>
      </c>
      <c r="C856" s="43" t="n">
        <v>370503332</v>
      </c>
      <c r="D856" s="28" t="inlineStr">
        <is>
          <t>370 503 332 FCFA</t>
        </is>
      </c>
      <c r="E856" s="44" t="inlineStr">
        <is>
          <t>Oui</t>
        </is>
      </c>
    </row>
    <row r="857">
      <c r="A857" s="42" t="n">
        <v>112</v>
      </c>
      <c r="B857" s="30" t="inlineStr">
        <is>
          <t>DD prov 2021</t>
        </is>
      </c>
      <c r="C857" s="45" t="n">
        <v>1961695412</v>
      </c>
      <c r="D857" s="30" t="inlineStr">
        <is>
          <t>1 961 695 412 FCFA</t>
        </is>
      </c>
      <c r="E857" s="46" t="inlineStr">
        <is>
          <t>Oui</t>
        </is>
      </c>
    </row>
    <row r="858">
      <c r="A858" s="42" t="n">
        <v>112</v>
      </c>
      <c r="B858" s="28" t="inlineStr">
        <is>
          <t>DD ajout 2022</t>
        </is>
      </c>
      <c r="C858" s="43" t="n">
        <v>97653333</v>
      </c>
      <c r="D858" s="28" t="inlineStr">
        <is>
          <t>97 653 333 FCFA</t>
        </is>
      </c>
      <c r="E858" s="44" t="inlineStr">
        <is>
          <t>Oui</t>
        </is>
      </c>
    </row>
    <row r="859">
      <c r="A859" s="42" t="n">
        <v>112</v>
      </c>
      <c r="B859" s="30" t="inlineStr">
        <is>
          <t>DD payé 2022</t>
        </is>
      </c>
      <c r="C859" s="45" t="n">
        <v>87638748</v>
      </c>
      <c r="D859" s="30" t="inlineStr">
        <is>
          <t>87 638 748 FCFA</t>
        </is>
      </c>
      <c r="E859" s="46" t="inlineStr">
        <is>
          <t>Oui</t>
        </is>
      </c>
    </row>
    <row r="860">
      <c r="A860" s="42" t="n">
        <v>112</v>
      </c>
      <c r="B860" s="28" t="inlineStr">
        <is>
          <t>DD all 2022</t>
        </is>
      </c>
      <c r="C860" s="43" t="n">
        <v>380517917</v>
      </c>
      <c r="D860" s="28" t="inlineStr">
        <is>
          <t>380 517 917 FCFA</t>
        </is>
      </c>
      <c r="E860" s="44" t="inlineStr">
        <is>
          <t>Oui</t>
        </is>
      </c>
    </row>
    <row r="861">
      <c r="A861" s="42" t="n">
        <v>112</v>
      </c>
      <c r="B861" s="30" t="inlineStr">
        <is>
          <t>DD ff 2022</t>
        </is>
      </c>
      <c r="C861" s="45" t="n">
        <v>0</v>
      </c>
      <c r="D861" s="30" t="inlineStr">
        <is>
          <t>0 FCFA</t>
        </is>
      </c>
      <c r="E861" s="46" t="inlineStr">
        <is>
          <t>Oui</t>
        </is>
      </c>
    </row>
    <row r="862">
      <c r="A862" s="42" t="n">
        <v>112</v>
      </c>
      <c r="B862" s="28" t="inlineStr">
        <is>
          <t>DD tot 2022</t>
        </is>
      </c>
      <c r="C862" s="43" t="n">
        <v>380517917</v>
      </c>
      <c r="D862" s="28" t="inlineStr">
        <is>
          <t>380 517 917 FCFA</t>
        </is>
      </c>
      <c r="E862" s="44" t="inlineStr">
        <is>
          <t>Oui</t>
        </is>
      </c>
    </row>
    <row r="863">
      <c r="A863" s="42" t="n">
        <v>112</v>
      </c>
      <c r="B863" s="30" t="inlineStr">
        <is>
          <t>DD prov 2022</t>
        </is>
      </c>
      <c r="C863" s="45" t="n">
        <v>1961695412</v>
      </c>
      <c r="D863" s="30" t="inlineStr">
        <is>
          <t>1 961 695 412 FCFA</t>
        </is>
      </c>
      <c r="E863" s="46" t="inlineStr">
        <is>
          <t>Oui</t>
        </is>
      </c>
    </row>
    <row r="864">
      <c r="A864" s="42" t="n">
        <v>112</v>
      </c>
      <c r="B864" s="28" t="inlineStr">
        <is>
          <t>DD ajout 2023</t>
        </is>
      </c>
      <c r="C864" s="43" t="n">
        <v>120690000</v>
      </c>
      <c r="D864" s="28" t="inlineStr">
        <is>
          <t>120 690 000 FCFA</t>
        </is>
      </c>
      <c r="E864" s="44" t="inlineStr">
        <is>
          <t>Oui</t>
        </is>
      </c>
    </row>
    <row r="865">
      <c r="A865" s="42" t="n">
        <v>112</v>
      </c>
      <c r="B865" s="30" t="inlineStr">
        <is>
          <t>DD payé 2023</t>
        </is>
      </c>
      <c r="C865" s="45" t="n">
        <v>64112728</v>
      </c>
      <c r="D865" s="30" t="inlineStr">
        <is>
          <t>64 112 728 FCFA</t>
        </is>
      </c>
      <c r="E865" s="46" t="inlineStr">
        <is>
          <t>Oui</t>
        </is>
      </c>
    </row>
    <row r="866">
      <c r="A866" s="42" t="n">
        <v>112</v>
      </c>
      <c r="B866" s="28" t="inlineStr">
        <is>
          <t>DD all 2023</t>
        </is>
      </c>
      <c r="C866" s="43" t="n">
        <v>437095189</v>
      </c>
      <c r="D866" s="28" t="inlineStr">
        <is>
          <t>437 095 189 FCFA</t>
        </is>
      </c>
      <c r="E866" s="44" t="inlineStr">
        <is>
          <t>Oui</t>
        </is>
      </c>
    </row>
    <row r="867">
      <c r="A867" s="42" t="n">
        <v>112</v>
      </c>
      <c r="B867" s="30" t="inlineStr">
        <is>
          <t>DD ff 2023</t>
        </is>
      </c>
      <c r="C867" s="45" t="n">
        <v>0</v>
      </c>
      <c r="D867" s="30" t="inlineStr">
        <is>
          <t>0 FCFA</t>
        </is>
      </c>
      <c r="E867" s="46" t="inlineStr">
        <is>
          <t>Oui</t>
        </is>
      </c>
    </row>
    <row r="868">
      <c r="A868" s="42" t="n">
        <v>112</v>
      </c>
      <c r="B868" s="28" t="inlineStr">
        <is>
          <t>DD tot 2023</t>
        </is>
      </c>
      <c r="C868" s="43" t="n">
        <v>437095189</v>
      </c>
      <c r="D868" s="28" t="inlineStr">
        <is>
          <t>437 095 189 FCFA</t>
        </is>
      </c>
      <c r="E868" s="44" t="inlineStr">
        <is>
          <t>Oui</t>
        </is>
      </c>
    </row>
    <row r="869">
      <c r="A869" s="42" t="n">
        <v>112</v>
      </c>
      <c r="B869" s="30" t="inlineStr">
        <is>
          <t>DD prov 2023</t>
        </is>
      </c>
      <c r="C869" s="45" t="n">
        <v>1961695412</v>
      </c>
      <c r="D869" s="30" t="inlineStr">
        <is>
          <t>1 961 695 412 FCFA</t>
        </is>
      </c>
      <c r="E869" s="46" t="inlineStr">
        <is>
          <t>Oui</t>
        </is>
      </c>
    </row>
    <row r="870">
      <c r="A870" s="42" t="n">
        <v>112</v>
      </c>
      <c r="B870" s="28" t="inlineStr">
        <is>
          <t>DD ajout 2024</t>
        </is>
      </c>
      <c r="C870" s="43" t="n">
        <v>140800000</v>
      </c>
      <c r="D870" s="28" t="inlineStr">
        <is>
          <t>140 800 000 FCFA</t>
        </is>
      </c>
      <c r="E870" s="44" t="inlineStr">
        <is>
          <t>Oui</t>
        </is>
      </c>
    </row>
    <row r="871">
      <c r="A871" s="42" t="n">
        <v>112</v>
      </c>
      <c r="B871" s="30" t="inlineStr">
        <is>
          <t>DD payé 2024</t>
        </is>
      </c>
      <c r="C871" s="45" t="n">
        <v>185943302</v>
      </c>
      <c r="D871" s="30" t="inlineStr">
        <is>
          <t>185 943 302 FCFA</t>
        </is>
      </c>
      <c r="E871" s="46" t="inlineStr">
        <is>
          <t>Oui</t>
        </is>
      </c>
    </row>
    <row r="872">
      <c r="A872" s="42" t="n">
        <v>112</v>
      </c>
      <c r="B872" s="28" t="inlineStr">
        <is>
          <t>DD all 2024</t>
        </is>
      </c>
      <c r="C872" s="43" t="n">
        <v>391951887</v>
      </c>
      <c r="D872" s="28" t="inlineStr">
        <is>
          <t>391 951 887 FCFA</t>
        </is>
      </c>
      <c r="E872" s="44" t="inlineStr">
        <is>
          <t>Oui</t>
        </is>
      </c>
    </row>
    <row r="873">
      <c r="A873" s="42" t="n">
        <v>112</v>
      </c>
      <c r="B873" s="30" t="inlineStr">
        <is>
          <t>DD ff 2024</t>
        </is>
      </c>
      <c r="C873" s="45" t="n">
        <v>0</v>
      </c>
      <c r="D873" s="30" t="inlineStr">
        <is>
          <t>0 FCFA</t>
        </is>
      </c>
      <c r="E873" s="46" t="inlineStr">
        <is>
          <t>Oui</t>
        </is>
      </c>
    </row>
    <row r="874">
      <c r="A874" s="42" t="n">
        <v>112</v>
      </c>
      <c r="B874" s="28" t="inlineStr">
        <is>
          <t>DD tot 2024</t>
        </is>
      </c>
      <c r="C874" s="43" t="n">
        <v>391951887</v>
      </c>
      <c r="D874" s="28" t="inlineStr">
        <is>
          <t>391 951 887 FCFA</t>
        </is>
      </c>
      <c r="E874" s="44" t="inlineStr">
        <is>
          <t>Oui</t>
        </is>
      </c>
    </row>
    <row r="875">
      <c r="A875" s="42" t="n">
        <v>112</v>
      </c>
      <c r="B875" s="30" t="inlineStr">
        <is>
          <t>DD prov 2024</t>
        </is>
      </c>
      <c r="C875" s="45" t="n">
        <v>1961695412</v>
      </c>
      <c r="D875" s="30" t="inlineStr">
        <is>
          <t>1 961 695 412 FCFA</t>
        </is>
      </c>
      <c r="E875" s="46" t="inlineStr">
        <is>
          <t>Oui</t>
        </is>
      </c>
    </row>
    <row r="876">
      <c r="A876" s="42" t="n">
        <v>112</v>
      </c>
      <c r="B876" s="28" t="inlineStr">
        <is>
          <t>DD ajout 2025</t>
        </is>
      </c>
      <c r="C876" s="43" t="n">
        <v>130600000</v>
      </c>
      <c r="D876" s="28" t="inlineStr">
        <is>
          <t>130 600 000 FCFA</t>
        </is>
      </c>
      <c r="E876" s="44" t="inlineStr">
        <is>
          <t>Oui</t>
        </is>
      </c>
    </row>
    <row r="877">
      <c r="A877" s="42" t="n">
        <v>112</v>
      </c>
      <c r="B877" s="30" t="inlineStr">
        <is>
          <t>DD payé 2025</t>
        </is>
      </c>
      <c r="C877" s="45" t="n">
        <v>107207220</v>
      </c>
      <c r="D877" s="30" t="inlineStr">
        <is>
          <t>107 207 220 FCFA</t>
        </is>
      </c>
      <c r="E877" s="46" t="inlineStr">
        <is>
          <t>Oui</t>
        </is>
      </c>
    </row>
    <row r="878">
      <c r="A878" s="42" t="n">
        <v>112</v>
      </c>
      <c r="B878" s="28" t="inlineStr">
        <is>
          <t>DD all 2025</t>
        </is>
      </c>
      <c r="C878" s="43" t="n">
        <v>415344667</v>
      </c>
      <c r="D878" s="28" t="inlineStr">
        <is>
          <t>415 344 667 FCFA</t>
        </is>
      </c>
      <c r="E878" s="44" t="inlineStr">
        <is>
          <t>Oui</t>
        </is>
      </c>
    </row>
    <row r="879">
      <c r="A879" s="42" t="n">
        <v>112</v>
      </c>
      <c r="B879" s="30" t="inlineStr">
        <is>
          <t>DD ff 2025</t>
        </is>
      </c>
      <c r="C879" s="45" t="n">
        <v>17100000</v>
      </c>
      <c r="D879" s="30" t="inlineStr">
        <is>
          <t>17 100 000 FCFA</t>
        </is>
      </c>
      <c r="E879" s="46" t="inlineStr">
        <is>
          <t>Oui</t>
        </is>
      </c>
    </row>
    <row r="880">
      <c r="A880" s="42" t="n">
        <v>112</v>
      </c>
      <c r="B880" s="28" t="inlineStr">
        <is>
          <t>DD tot 2025</t>
        </is>
      </c>
      <c r="C880" s="43" t="n">
        <v>432444667</v>
      </c>
      <c r="D880" s="28" t="inlineStr">
        <is>
          <t>432 444 667 FCFA</t>
        </is>
      </c>
      <c r="E880" s="44" t="inlineStr">
        <is>
          <t>Oui</t>
        </is>
      </c>
    </row>
    <row r="881">
      <c r="A881" s="42" t="n">
        <v>112</v>
      </c>
      <c r="B881" s="30" t="inlineStr">
        <is>
          <t>DD prov 2025</t>
        </is>
      </c>
      <c r="C881" s="45" t="n">
        <v>1961695412</v>
      </c>
      <c r="D881" s="30" t="inlineStr">
        <is>
          <t>1 961 695 412 FCFA</t>
        </is>
      </c>
      <c r="E881" s="46" t="inlineStr">
        <is>
          <t>Oui</t>
        </is>
      </c>
    </row>
    <row r="882">
      <c r="A882" s="42" t="n">
        <v>112</v>
      </c>
      <c r="B882" s="28" t="inlineStr">
        <is>
          <t>DD ajout 2026</t>
        </is>
      </c>
      <c r="C882" s="43" t="n">
        <v>111000000</v>
      </c>
      <c r="D882" s="28" t="inlineStr">
        <is>
          <t>111 000 000 FCFA</t>
        </is>
      </c>
      <c r="E882" s="44" t="inlineStr">
        <is>
          <t>Oui</t>
        </is>
      </c>
    </row>
    <row r="883">
      <c r="A883" s="42" t="n">
        <v>112</v>
      </c>
      <c r="B883" s="30" t="inlineStr">
        <is>
          <t>DD payé 2026</t>
        </is>
      </c>
      <c r="C883" s="45" t="n">
        <v>69324998</v>
      </c>
      <c r="D883" s="30" t="inlineStr">
        <is>
          <t>69 324 998 FCFA</t>
        </is>
      </c>
      <c r="E883" s="46" t="inlineStr">
        <is>
          <t>Oui</t>
        </is>
      </c>
    </row>
    <row r="884">
      <c r="A884" s="42" t="n">
        <v>112</v>
      </c>
      <c r="B884" s="28" t="inlineStr">
        <is>
          <t>DD all 2026</t>
        </is>
      </c>
      <c r="C884" s="43" t="n">
        <v>457019669</v>
      </c>
      <c r="D884" s="28" t="inlineStr">
        <is>
          <t>457 019 669 FCFA</t>
        </is>
      </c>
      <c r="E884" s="44" t="inlineStr">
        <is>
          <t>Oui</t>
        </is>
      </c>
    </row>
    <row r="885">
      <c r="A885" s="42" t="n">
        <v>112</v>
      </c>
      <c r="B885" s="30" t="inlineStr">
        <is>
          <t>DD ff 2026</t>
        </is>
      </c>
      <c r="C885" s="45" t="n">
        <v>32400000</v>
      </c>
      <c r="D885" s="30" t="inlineStr">
        <is>
          <t>32 400 000 FCFA</t>
        </is>
      </c>
      <c r="E885" s="46" t="inlineStr">
        <is>
          <t>Oui</t>
        </is>
      </c>
    </row>
    <row r="886">
      <c r="A886" s="42" t="n">
        <v>112</v>
      </c>
      <c r="B886" s="28" t="inlineStr">
        <is>
          <t>DD tot 2026</t>
        </is>
      </c>
      <c r="C886" s="43" t="n">
        <v>489419669</v>
      </c>
      <c r="D886" s="28" t="inlineStr">
        <is>
          <t>489 419 669 FCFA</t>
        </is>
      </c>
      <c r="E886" s="44" t="inlineStr">
        <is>
          <t>Oui</t>
        </is>
      </c>
    </row>
    <row r="887">
      <c r="A887" s="42" t="n">
        <v>112</v>
      </c>
      <c r="B887" s="30" t="inlineStr">
        <is>
          <t>DD prov 2026</t>
        </is>
      </c>
      <c r="C887" s="45" t="n">
        <v>1961695412</v>
      </c>
      <c r="D887" s="30" t="inlineStr">
        <is>
          <t>1 961 695 412 FCFA</t>
        </is>
      </c>
      <c r="E887" s="46" t="inlineStr">
        <is>
          <t>Oui</t>
        </is>
      </c>
    </row>
    <row r="888">
      <c r="A888" s="42" t="n">
        <v>112</v>
      </c>
      <c r="B888" s="28" t="inlineStr">
        <is>
          <t>DD 2021</t>
        </is>
      </c>
      <c r="C888" s="43" t="n">
        <v>370503332</v>
      </c>
      <c r="D888" s="28" t="inlineStr">
        <is>
          <t>370 503 332 FCFA</t>
        </is>
      </c>
      <c r="E888" s="44" t="inlineStr">
        <is>
          <t>Oui</t>
        </is>
      </c>
    </row>
    <row r="889">
      <c r="A889" s="42" t="n">
        <v>112</v>
      </c>
      <c r="B889" s="30" t="inlineStr">
        <is>
          <t>DD 2026 (a)</t>
        </is>
      </c>
      <c r="C889" s="45" t="n">
        <v>489419669</v>
      </c>
      <c r="D889" s="30" t="inlineStr">
        <is>
          <t>489 419 669 FCFA</t>
        </is>
      </c>
      <c r="E889" s="46" t="inlineStr">
        <is>
          <t>Oui</t>
        </is>
      </c>
    </row>
    <row r="890">
      <c r="A890" s="42" t="n">
        <v>113</v>
      </c>
      <c r="B890" s="28" t="inlineStr">
        <is>
          <t>DT nombre</t>
        </is>
      </c>
      <c r="C890" s="43" t="n">
        <v>6</v>
      </c>
      <c r="D890" s="28" t="inlineStr">
        <is>
          <t>6</t>
        </is>
      </c>
      <c r="E890" s="44" t="inlineStr">
        <is>
          <t>Oui</t>
        </is>
      </c>
    </row>
    <row r="891">
      <c r="A891" s="42" t="n">
        <v>113</v>
      </c>
      <c r="B891" s="30" t="inlineStr">
        <is>
          <t>DT montant</t>
        </is>
      </c>
      <c r="C891" s="45" t="n">
        <v>7100000</v>
      </c>
      <c r="D891" s="30" t="inlineStr">
        <is>
          <t>7 100 000 FCFA</t>
        </is>
      </c>
      <c r="E891" s="46" t="inlineStr">
        <is>
          <t>Oui</t>
        </is>
      </c>
    </row>
    <row r="892">
      <c r="A892" s="42" t="n">
        <v>113</v>
      </c>
      <c r="B892" s="28" t="inlineStr">
        <is>
          <t>DT 0</t>
        </is>
      </c>
      <c r="C892" s="43" t="n">
        <v>1400000</v>
      </c>
      <c r="D892" s="28" t="inlineStr">
        <is>
          <t>1 400 000 FCFA</t>
        </is>
      </c>
      <c r="E892" s="44" t="inlineStr">
        <is>
          <t>Oui</t>
        </is>
      </c>
    </row>
    <row r="893">
      <c r="A893" s="42" t="n">
        <v>113</v>
      </c>
      <c r="B893" s="30" t="inlineStr">
        <is>
          <t>DT 1</t>
        </is>
      </c>
      <c r="C893" s="45" t="n">
        <v>600000</v>
      </c>
      <c r="D893" s="30" t="inlineStr">
        <is>
          <t>600 000 FCFA</t>
        </is>
      </c>
      <c r="E893" s="46" t="inlineStr">
        <is>
          <t>Oui</t>
        </is>
      </c>
    </row>
    <row r="894">
      <c r="A894" s="42" t="n">
        <v>113</v>
      </c>
      <c r="B894" s="28" t="inlineStr">
        <is>
          <t>DT 2</t>
        </is>
      </c>
      <c r="C894" s="43" t="n">
        <v>1400000</v>
      </c>
      <c r="D894" s="28" t="inlineStr">
        <is>
          <t>1 400 000 FCFA</t>
        </is>
      </c>
      <c r="E894" s="44" t="inlineStr">
        <is>
          <t>Oui</t>
        </is>
      </c>
    </row>
    <row r="895">
      <c r="A895" s="42" t="n">
        <v>113</v>
      </c>
      <c r="B895" s="30" t="inlineStr">
        <is>
          <t>DT 3</t>
        </is>
      </c>
      <c r="C895" s="45" t="n">
        <v>1400000</v>
      </c>
      <c r="D895" s="30" t="inlineStr">
        <is>
          <t>1 400 000 FCFA</t>
        </is>
      </c>
      <c r="E895" s="46" t="inlineStr">
        <is>
          <t>Oui</t>
        </is>
      </c>
    </row>
    <row r="896">
      <c r="A896" s="42" t="n">
        <v>113</v>
      </c>
      <c r="B896" s="28" t="inlineStr">
        <is>
          <t>DT 4</t>
        </is>
      </c>
      <c r="C896" s="43" t="n">
        <v>1600000</v>
      </c>
      <c r="D896" s="28" t="inlineStr">
        <is>
          <t>1 600 000 FCFA</t>
        </is>
      </c>
      <c r="E896" s="44" t="inlineStr">
        <is>
          <t>Oui</t>
        </is>
      </c>
    </row>
    <row r="897">
      <c r="A897" s="42" t="n">
        <v>113</v>
      </c>
      <c r="B897" s="30" t="inlineStr">
        <is>
          <t>DT 5</t>
        </is>
      </c>
      <c r="C897" s="45" t="n">
        <v>700000</v>
      </c>
      <c r="D897" s="30" t="inlineStr">
        <is>
          <t>700 000 FCFA</t>
        </is>
      </c>
      <c r="E897" s="46" t="inlineStr">
        <is>
          <t>Oui</t>
        </is>
      </c>
    </row>
    <row r="898">
      <c r="A898" s="42" t="n">
        <v>113</v>
      </c>
      <c r="B898" s="28" t="inlineStr">
        <is>
          <t>DT montant (a)</t>
        </is>
      </c>
      <c r="C898" s="43" t="n">
        <v>7100000</v>
      </c>
      <c r="D898" s="28" t="inlineStr">
        <is>
          <t>7 100 000 FCFA</t>
        </is>
      </c>
      <c r="E898" s="44" t="inlineStr">
        <is>
          <t>Oui</t>
        </is>
      </c>
    </row>
    <row r="899">
      <c r="A899" s="42" t="n">
        <v>114</v>
      </c>
      <c r="B899" s="30" t="inlineStr">
        <is>
          <t>RC charges 2020</t>
        </is>
      </c>
      <c r="C899" s="45" t="n">
        <v>1420369950</v>
      </c>
      <c r="D899" s="30" t="inlineStr">
        <is>
          <t>1 420 369 950 FCFA</t>
        </is>
      </c>
      <c r="E899" s="46" t="inlineStr">
        <is>
          <t>Oui</t>
        </is>
      </c>
    </row>
    <row r="900">
      <c r="A900" s="42" t="n">
        <v>114</v>
      </c>
      <c r="B900" s="28" t="inlineStr">
        <is>
          <t>RC prov 2020</t>
        </is>
      </c>
      <c r="C900" s="43" t="n">
        <v>0</v>
      </c>
      <c r="D900" s="28" t="inlineStr">
        <is>
          <t>0 FCFA</t>
        </is>
      </c>
      <c r="E900" s="44" t="inlineStr">
        <is>
          <t>Oui</t>
        </is>
      </c>
    </row>
    <row r="901">
      <c r="A901" s="42" t="n">
        <v>114</v>
      </c>
      <c r="B901" s="30" t="inlineStr">
        <is>
          <t>RC charges 2021</t>
        </is>
      </c>
      <c r="C901" s="45" t="n">
        <v>1465285314</v>
      </c>
      <c r="D901" s="30" t="inlineStr">
        <is>
          <t>1 465 285 314 FCFA</t>
        </is>
      </c>
      <c r="E901" s="46" t="inlineStr">
        <is>
          <t>Oui</t>
        </is>
      </c>
    </row>
    <row r="902">
      <c r="A902" s="42" t="n">
        <v>114</v>
      </c>
      <c r="B902" s="28" t="inlineStr">
        <is>
          <t>RC prov 2021</t>
        </is>
      </c>
      <c r="C902" s="43" t="n">
        <v>0</v>
      </c>
      <c r="D902" s="28" t="inlineStr">
        <is>
          <t>0 FCFA</t>
        </is>
      </c>
      <c r="E902" s="44" t="inlineStr">
        <is>
          <t>Oui</t>
        </is>
      </c>
    </row>
    <row r="903">
      <c r="A903" s="42" t="n">
        <v>114</v>
      </c>
      <c r="B903" s="30" t="inlineStr">
        <is>
          <t>RC charges 2022</t>
        </is>
      </c>
      <c r="C903" s="45" t="n">
        <v>1251789161</v>
      </c>
      <c r="D903" s="30" t="inlineStr">
        <is>
          <t>1 251 789 161 FCFA</t>
        </is>
      </c>
      <c r="E903" s="46" t="inlineStr">
        <is>
          <t>Oui</t>
        </is>
      </c>
    </row>
    <row r="904">
      <c r="A904" s="42" t="n">
        <v>114</v>
      </c>
      <c r="B904" s="28" t="inlineStr">
        <is>
          <t>RC prov 2022</t>
        </is>
      </c>
      <c r="C904" s="43" t="n">
        <v>0</v>
      </c>
      <c r="D904" s="28" t="inlineStr">
        <is>
          <t>0 FCFA</t>
        </is>
      </c>
      <c r="E904" s="44" t="inlineStr">
        <is>
          <t>Oui</t>
        </is>
      </c>
    </row>
    <row r="905">
      <c r="A905" s="42" t="n">
        <v>114</v>
      </c>
      <c r="B905" s="30" t="inlineStr">
        <is>
          <t>RC charges 2023</t>
        </is>
      </c>
      <c r="C905" s="45" t="n">
        <v>1702471561</v>
      </c>
      <c r="D905" s="30" t="inlineStr">
        <is>
          <t>1 702 471 561 FCFA</t>
        </is>
      </c>
      <c r="E905" s="46" t="inlineStr">
        <is>
          <t>Oui</t>
        </is>
      </c>
    </row>
    <row r="906">
      <c r="A906" s="42" t="n">
        <v>114</v>
      </c>
      <c r="B906" s="28" t="inlineStr">
        <is>
          <t>RC prov 2023</t>
        </is>
      </c>
      <c r="C906" s="43" t="n">
        <v>0</v>
      </c>
      <c r="D906" s="28" t="inlineStr">
        <is>
          <t>0 FCFA</t>
        </is>
      </c>
      <c r="E906" s="44" t="inlineStr">
        <is>
          <t>Oui</t>
        </is>
      </c>
    </row>
    <row r="907">
      <c r="A907" s="42" t="n">
        <v>114</v>
      </c>
      <c r="B907" s="30" t="inlineStr">
        <is>
          <t>RC charges 2024</t>
        </is>
      </c>
      <c r="C907" s="45" t="n">
        <v>2251530156</v>
      </c>
      <c r="D907" s="30" t="inlineStr">
        <is>
          <t>2 251 530 156 FCFA</t>
        </is>
      </c>
      <c r="E907" s="46" t="inlineStr">
        <is>
          <t>Oui</t>
        </is>
      </c>
    </row>
    <row r="908">
      <c r="A908" s="42" t="n">
        <v>114</v>
      </c>
      <c r="B908" s="28" t="inlineStr">
        <is>
          <t>RC prov 2024</t>
        </is>
      </c>
      <c r="C908" s="43" t="n">
        <v>0</v>
      </c>
      <c r="D908" s="28" t="inlineStr">
        <is>
          <t>0 FCFA</t>
        </is>
      </c>
      <c r="E908" s="44" t="inlineStr">
        <is>
          <t>Oui</t>
        </is>
      </c>
    </row>
    <row r="909">
      <c r="A909" s="42" t="n">
        <v>114</v>
      </c>
      <c r="B909" s="30" t="inlineStr">
        <is>
          <t>RC charges 2025</t>
        </is>
      </c>
      <c r="C909" s="45" t="n">
        <v>3066122048</v>
      </c>
      <c r="D909" s="30" t="inlineStr">
        <is>
          <t>3 066 122 048 FCFA</t>
        </is>
      </c>
      <c r="E909" s="46" t="inlineStr">
        <is>
          <t>Oui</t>
        </is>
      </c>
    </row>
    <row r="910">
      <c r="A910" s="42" t="n">
        <v>114</v>
      </c>
      <c r="B910" s="28" t="inlineStr">
        <is>
          <t>RC prov 2025</t>
        </is>
      </c>
      <c r="C910" s="43" t="n">
        <v>0</v>
      </c>
      <c r="D910" s="28" t="inlineStr">
        <is>
          <t>0 FCFA</t>
        </is>
      </c>
      <c r="E910" s="44" t="inlineStr">
        <is>
          <t>Oui</t>
        </is>
      </c>
    </row>
    <row r="911">
      <c r="A911" s="42" t="n">
        <v>115</v>
      </c>
      <c r="B911" s="30" t="inlineStr">
        <is>
          <t>GD 2026</t>
        </is>
      </c>
      <c r="C911" s="45" t="n">
        <v>14016391.8</v>
      </c>
      <c r="D911" s="30" t="inlineStr">
        <is>
          <t>14 016 392 FCFA</t>
        </is>
      </c>
      <c r="E911" s="46" t="inlineStr">
        <is>
          <t>Oui</t>
        </is>
      </c>
    </row>
    <row r="912">
      <c r="A912" s="42" t="n">
        <v>115</v>
      </c>
      <c r="B912" s="28" t="inlineStr">
        <is>
          <t>GD prêts 2025-12-31 91 à 180 jours</t>
        </is>
      </c>
      <c r="C912" s="43" t="n">
        <v>21</v>
      </c>
      <c r="D912" s="28" t="inlineStr">
        <is>
          <t>21</t>
        </is>
      </c>
      <c r="E912" s="44" t="inlineStr">
        <is>
          <t>Oui</t>
        </is>
      </c>
    </row>
    <row r="913">
      <c r="A913" s="42" t="n">
        <v>115</v>
      </c>
      <c r="B913" s="30" t="inlineStr">
        <is>
          <t>GD enc 2025-12-31 91 à 180 jours</t>
        </is>
      </c>
      <c r="C913" s="45" t="n">
        <v>2683220</v>
      </c>
      <c r="D913" s="30" t="inlineStr">
        <is>
          <t>2 683 220 FCFA</t>
        </is>
      </c>
      <c r="E913" s="46" t="inlineStr">
        <is>
          <t>Oui</t>
        </is>
      </c>
    </row>
    <row r="914">
      <c r="A914" s="42" t="n">
        <v>115</v>
      </c>
      <c r="B914" s="28" t="inlineStr">
        <is>
          <t>GD taux 2025-12-31 91 à 180 jours</t>
        </is>
      </c>
      <c r="C914" s="43" t="n">
        <v>0.4</v>
      </c>
      <c r="D914" s="28" t="inlineStr">
        <is>
          <t>40,00 %</t>
        </is>
      </c>
      <c r="E914" s="44" t="inlineStr">
        <is>
          <t>Oui</t>
        </is>
      </c>
    </row>
    <row r="915">
      <c r="A915" s="42" t="n">
        <v>115</v>
      </c>
      <c r="B915" s="30" t="inlineStr">
        <is>
          <t>GD dep 2025-12-31 91 à 180 jours</t>
        </is>
      </c>
      <c r="C915" s="45" t="n">
        <v>1073288</v>
      </c>
      <c r="D915" s="30" t="inlineStr">
        <is>
          <t>1 073 288 FCFA</t>
        </is>
      </c>
      <c r="E915" s="46" t="inlineStr">
        <is>
          <t>Oui</t>
        </is>
      </c>
    </row>
    <row r="916">
      <c r="A916" s="42" t="n">
        <v>115</v>
      </c>
      <c r="B916" s="28" t="inlineStr">
        <is>
          <t>GD prêts 2025-12-31 181 à 365 jours</t>
        </is>
      </c>
      <c r="C916" s="43" t="n">
        <v>22</v>
      </c>
      <c r="D916" s="28" t="inlineStr">
        <is>
          <t>22</t>
        </is>
      </c>
      <c r="E916" s="44" t="inlineStr">
        <is>
          <t>Oui</t>
        </is>
      </c>
    </row>
    <row r="917">
      <c r="A917" s="42" t="n">
        <v>115</v>
      </c>
      <c r="B917" s="30" t="inlineStr">
        <is>
          <t>GD enc 2025-12-31 181 à 365 jours</t>
        </is>
      </c>
      <c r="C917" s="45" t="n">
        <v>3441406</v>
      </c>
      <c r="D917" s="30" t="inlineStr">
        <is>
          <t>3 441 406 FCFA</t>
        </is>
      </c>
      <c r="E917" s="46" t="inlineStr">
        <is>
          <t>Oui</t>
        </is>
      </c>
    </row>
    <row r="918">
      <c r="A918" s="42" t="n">
        <v>115</v>
      </c>
      <c r="B918" s="28" t="inlineStr">
        <is>
          <t>GD taux 2025-12-31 181 à 365 jours</t>
        </is>
      </c>
      <c r="C918" s="43" t="n">
        <v>0.8</v>
      </c>
      <c r="D918" s="28" t="inlineStr">
        <is>
          <t>80,00 %</t>
        </is>
      </c>
      <c r="E918" s="44" t="inlineStr">
        <is>
          <t>Oui</t>
        </is>
      </c>
    </row>
    <row r="919">
      <c r="A919" s="42" t="n">
        <v>115</v>
      </c>
      <c r="B919" s="30" t="inlineStr">
        <is>
          <t>GD dep 2025-12-31 181 à 365 jours</t>
        </is>
      </c>
      <c r="C919" s="45" t="n">
        <v>2753124.8</v>
      </c>
      <c r="D919" s="30" t="inlineStr">
        <is>
          <t>2 753 125 FCFA</t>
        </is>
      </c>
      <c r="E919" s="46" t="inlineStr">
        <is>
          <t>Oui</t>
        </is>
      </c>
    </row>
    <row r="920">
      <c r="A920" s="42" t="n">
        <v>115</v>
      </c>
      <c r="B920" s="28" t="inlineStr">
        <is>
          <t>GD prêts 2025-12-31 Plus de 365 jours</t>
        </is>
      </c>
      <c r="C920" s="43" t="n">
        <v>7</v>
      </c>
      <c r="D920" s="28" t="inlineStr">
        <is>
          <t>7</t>
        </is>
      </c>
      <c r="E920" s="44" t="inlineStr">
        <is>
          <t>Oui</t>
        </is>
      </c>
    </row>
    <row r="921">
      <c r="A921" s="42" t="n">
        <v>115</v>
      </c>
      <c r="B921" s="30" t="inlineStr">
        <is>
          <t>GD enc 2025-12-31 Plus de 365 jours</t>
        </is>
      </c>
      <c r="C921" s="45" t="n">
        <v>919716</v>
      </c>
      <c r="D921" s="30" t="inlineStr">
        <is>
          <t>919 716 FCFA</t>
        </is>
      </c>
      <c r="E921" s="46" t="inlineStr">
        <is>
          <t>Oui</t>
        </is>
      </c>
    </row>
    <row r="922">
      <c r="A922" s="42" t="n">
        <v>115</v>
      </c>
      <c r="B922" s="28" t="inlineStr">
        <is>
          <t>GD taux 2025-12-31 Plus de 365 jours</t>
        </is>
      </c>
      <c r="C922" s="43" t="n">
        <v>1</v>
      </c>
      <c r="D922" s="28" t="inlineStr">
        <is>
          <t>100,00 %</t>
        </is>
      </c>
      <c r="E922" s="44" t="inlineStr">
        <is>
          <t>Oui</t>
        </is>
      </c>
    </row>
    <row r="923">
      <c r="A923" s="42" t="n">
        <v>115</v>
      </c>
      <c r="B923" s="30" t="inlineStr">
        <is>
          <t>GD dep 2025-12-31 Plus de 365 jours</t>
        </is>
      </c>
      <c r="C923" s="45" t="n">
        <v>919716</v>
      </c>
      <c r="D923" s="30" t="inlineStr">
        <is>
          <t>919 716 FCFA</t>
        </is>
      </c>
      <c r="E923" s="46" t="inlineStr">
        <is>
          <t>Oui</t>
        </is>
      </c>
    </row>
    <row r="924">
      <c r="A924" s="42" t="n">
        <v>115</v>
      </c>
      <c r="B924" s="28" t="inlineStr">
        <is>
          <t>GD prêts 2026-08-31 91 à 180 jours</t>
        </is>
      </c>
      <c r="C924" s="43" t="n">
        <v>17</v>
      </c>
      <c r="D924" s="28" t="inlineStr">
        <is>
          <t>17</t>
        </is>
      </c>
      <c r="E924" s="44" t="inlineStr">
        <is>
          <t>Oui</t>
        </is>
      </c>
    </row>
    <row r="925">
      <c r="A925" s="42" t="n">
        <v>115</v>
      </c>
      <c r="B925" s="30" t="inlineStr">
        <is>
          <t>GD enc 2026-08-31 91 à 180 jours</t>
        </is>
      </c>
      <c r="C925" s="45" t="n">
        <v>3018448</v>
      </c>
      <c r="D925" s="30" t="inlineStr">
        <is>
          <t>3 018 448 FCFA</t>
        </is>
      </c>
      <c r="E925" s="46" t="inlineStr">
        <is>
          <t>Oui</t>
        </is>
      </c>
    </row>
    <row r="926">
      <c r="A926" s="42" t="n">
        <v>115</v>
      </c>
      <c r="B926" s="28" t="inlineStr">
        <is>
          <t>GD taux 2026-08-31 91 à 180 jours</t>
        </is>
      </c>
      <c r="C926" s="43" t="n">
        <v>0.4</v>
      </c>
      <c r="D926" s="28" t="inlineStr">
        <is>
          <t>40,00 %</t>
        </is>
      </c>
      <c r="E926" s="44" t="inlineStr">
        <is>
          <t>Oui</t>
        </is>
      </c>
    </row>
    <row r="927">
      <c r="A927" s="42" t="n">
        <v>115</v>
      </c>
      <c r="B927" s="30" t="inlineStr">
        <is>
          <t>GD dep 2026-08-31 91 à 180 jours</t>
        </is>
      </c>
      <c r="C927" s="45" t="n">
        <v>1207379.2</v>
      </c>
      <c r="D927" s="30" t="inlineStr">
        <is>
          <t>1 207 379 FCFA</t>
        </is>
      </c>
      <c r="E927" s="46" t="inlineStr">
        <is>
          <t>Oui</t>
        </is>
      </c>
    </row>
    <row r="928">
      <c r="A928" s="42" t="n">
        <v>115</v>
      </c>
      <c r="B928" s="28" t="inlineStr">
        <is>
          <t>GD prêts 2026-08-31 181 à 365 jours</t>
        </is>
      </c>
      <c r="C928" s="43" t="n">
        <v>99</v>
      </c>
      <c r="D928" s="28" t="inlineStr">
        <is>
          <t>99</t>
        </is>
      </c>
      <c r="E928" s="44" t="inlineStr">
        <is>
          <t>Oui</t>
        </is>
      </c>
    </row>
    <row r="929">
      <c r="A929" s="42" t="n">
        <v>115</v>
      </c>
      <c r="B929" s="30" t="inlineStr">
        <is>
          <t>GD enc 2026-08-31 181 à 365 jours</t>
        </is>
      </c>
      <c r="C929" s="45" t="n">
        <v>10088997</v>
      </c>
      <c r="D929" s="30" t="inlineStr">
        <is>
          <t>10 088 997 FCFA</t>
        </is>
      </c>
      <c r="E929" s="46" t="inlineStr">
        <is>
          <t>Oui</t>
        </is>
      </c>
    </row>
    <row r="930">
      <c r="A930" s="42" t="n">
        <v>115</v>
      </c>
      <c r="B930" s="28" t="inlineStr">
        <is>
          <t>GD taux 2026-08-31 181 à 365 jours</t>
        </is>
      </c>
      <c r="C930" s="43" t="n">
        <v>0.8</v>
      </c>
      <c r="D930" s="28" t="inlineStr">
        <is>
          <t>80,00 %</t>
        </is>
      </c>
      <c r="E930" s="44" t="inlineStr">
        <is>
          <t>Oui</t>
        </is>
      </c>
    </row>
    <row r="931">
      <c r="A931" s="42" t="n">
        <v>115</v>
      </c>
      <c r="B931" s="30" t="inlineStr">
        <is>
          <t>GD dep 2026-08-31 181 à 365 jours</t>
        </is>
      </c>
      <c r="C931" s="45" t="n">
        <v>8071197.600000001</v>
      </c>
      <c r="D931" s="30" t="inlineStr">
        <is>
          <t>8 071 198 FCFA</t>
        </is>
      </c>
      <c r="E931" s="46" t="inlineStr">
        <is>
          <t>Oui</t>
        </is>
      </c>
    </row>
    <row r="932">
      <c r="A932" s="42" t="n">
        <v>115</v>
      </c>
      <c r="B932" s="28" t="inlineStr">
        <is>
          <t>GD prêts 2026-08-31 Plus de 365 jours</t>
        </is>
      </c>
      <c r="C932" s="43" t="n">
        <v>27</v>
      </c>
      <c r="D932" s="28" t="inlineStr">
        <is>
          <t>27</t>
        </is>
      </c>
      <c r="E932" s="44" t="inlineStr">
        <is>
          <t>Oui</t>
        </is>
      </c>
    </row>
    <row r="933">
      <c r="A933" s="42" t="n">
        <v>115</v>
      </c>
      <c r="B933" s="30" t="inlineStr">
        <is>
          <t>GD enc 2026-08-31 Plus de 365 jours</t>
        </is>
      </c>
      <c r="C933" s="45" t="n">
        <v>4737815</v>
      </c>
      <c r="D933" s="30" t="inlineStr">
        <is>
          <t>4 737 815 FCFA</t>
        </is>
      </c>
      <c r="E933" s="46" t="inlineStr">
        <is>
          <t>Oui</t>
        </is>
      </c>
    </row>
    <row r="934">
      <c r="A934" s="42" t="n">
        <v>115</v>
      </c>
      <c r="B934" s="28" t="inlineStr">
        <is>
          <t>GD taux 2026-08-31 Plus de 365 jours</t>
        </is>
      </c>
      <c r="C934" s="43" t="n">
        <v>1</v>
      </c>
      <c r="D934" s="28" t="inlineStr">
        <is>
          <t>100,00 %</t>
        </is>
      </c>
      <c r="E934" s="44" t="inlineStr">
        <is>
          <t>Oui</t>
        </is>
      </c>
    </row>
    <row r="935">
      <c r="A935" s="42" t="n">
        <v>115</v>
      </c>
      <c r="B935" s="30" t="inlineStr">
        <is>
          <t>GD dep 2026-08-31 Plus de 365 jours</t>
        </is>
      </c>
      <c r="C935" s="45" t="n">
        <v>4737815</v>
      </c>
      <c r="D935" s="30" t="inlineStr">
        <is>
          <t>4 737 815 FCFA</t>
        </is>
      </c>
      <c r="E935" s="46" t="inlineStr">
        <is>
          <t>Oui</t>
        </is>
      </c>
    </row>
    <row r="936">
      <c r="A936" s="42" t="n">
        <v>115</v>
      </c>
      <c r="B936" s="28" t="inlineStr">
        <is>
          <t>GD 2025</t>
        </is>
      </c>
      <c r="C936" s="43" t="n">
        <v>4746128.800000001</v>
      </c>
      <c r="D936" s="28" t="inlineStr">
        <is>
          <t>4 746 129 FCFA</t>
        </is>
      </c>
      <c r="E936" s="44" t="inlineStr">
        <is>
          <t>Oui</t>
        </is>
      </c>
    </row>
    <row r="937">
      <c r="A937" s="42" t="n">
        <v>115</v>
      </c>
      <c r="B937" s="30" t="inlineStr">
        <is>
          <t>GD 2026 (a)</t>
        </is>
      </c>
      <c r="C937" s="45" t="n">
        <v>14016391.8</v>
      </c>
      <c r="D937" s="30" t="inlineStr">
        <is>
          <t>14 016 392 FCFA</t>
        </is>
      </c>
      <c r="E937" s="46" t="inlineStr">
        <is>
          <t>Oui</t>
        </is>
      </c>
    </row>
    <row r="938">
      <c r="A938" s="42" t="n">
        <v>116</v>
      </c>
      <c r="B938" s="28" t="inlineStr">
        <is>
          <t>GNA débit 2023</t>
        </is>
      </c>
      <c r="C938" s="43" t="n">
        <v>1024011</v>
      </c>
      <c r="D938" s="28" t="inlineStr">
        <is>
          <t>1 024 011 FCFA</t>
        </is>
      </c>
      <c r="E938" s="44" t="inlineStr">
        <is>
          <t>Oui</t>
        </is>
      </c>
    </row>
    <row r="939">
      <c r="A939" s="42" t="n">
        <v>116</v>
      </c>
      <c r="B939" s="30" t="inlineStr">
        <is>
          <t>GNA solde 2023</t>
        </is>
      </c>
      <c r="C939" s="45" t="n">
        <v>1024011</v>
      </c>
      <c r="D939" s="30" t="inlineStr">
        <is>
          <t>1 024 011 FCFA</t>
        </is>
      </c>
      <c r="E939" s="46" t="inlineStr">
        <is>
          <t>Oui</t>
        </is>
      </c>
    </row>
    <row r="940">
      <c r="A940" s="42" t="n">
        <v>116</v>
      </c>
      <c r="B940" s="28" t="inlineStr">
        <is>
          <t>Produits annexes 2023</t>
        </is>
      </c>
      <c r="C940" s="43" t="n">
        <v>6024011</v>
      </c>
      <c r="D940" s="28" t="inlineStr">
        <is>
          <t>6 024 011 FCFA</t>
        </is>
      </c>
      <c r="E940" s="44" t="inlineStr">
        <is>
          <t>Oui</t>
        </is>
      </c>
    </row>
    <row r="941">
      <c r="A941" s="42" t="n">
        <v>116</v>
      </c>
      <c r="B941" s="30" t="inlineStr">
        <is>
          <t>GNA débit 2024</t>
        </is>
      </c>
      <c r="C941" s="45" t="n">
        <v>3676481</v>
      </c>
      <c r="D941" s="30" t="inlineStr">
        <is>
          <t>3 676 481 FCFA</t>
        </is>
      </c>
      <c r="E941" s="46" t="inlineStr">
        <is>
          <t>Oui</t>
        </is>
      </c>
    </row>
    <row r="942">
      <c r="A942" s="42" t="n">
        <v>116</v>
      </c>
      <c r="B942" s="28" t="inlineStr">
        <is>
          <t>GNA solde 2024</t>
        </is>
      </c>
      <c r="C942" s="43" t="n">
        <v>4700492</v>
      </c>
      <c r="D942" s="28" t="inlineStr">
        <is>
          <t>4 700 492 FCFA</t>
        </is>
      </c>
      <c r="E942" s="44" t="inlineStr">
        <is>
          <t>Oui</t>
        </is>
      </c>
    </row>
    <row r="943">
      <c r="A943" s="42" t="n">
        <v>116</v>
      </c>
      <c r="B943" s="30" t="inlineStr">
        <is>
          <t>Produits annexes 2024</t>
        </is>
      </c>
      <c r="C943" s="45" t="n">
        <v>3676481</v>
      </c>
      <c r="D943" s="30" t="inlineStr">
        <is>
          <t>3 676 481 FCFA</t>
        </is>
      </c>
      <c r="E943" s="46" t="inlineStr">
        <is>
          <t>Oui</t>
        </is>
      </c>
    </row>
    <row r="944">
      <c r="A944" s="42" t="n">
        <v>116</v>
      </c>
      <c r="B944" s="28" t="inlineStr">
        <is>
          <t>GNA débit 2025</t>
        </is>
      </c>
      <c r="C944" s="43" t="n">
        <v>837513</v>
      </c>
      <c r="D944" s="28" t="inlineStr">
        <is>
          <t>837 513 FCFA</t>
        </is>
      </c>
      <c r="E944" s="44" t="inlineStr">
        <is>
          <t>Oui</t>
        </is>
      </c>
    </row>
    <row r="945">
      <c r="A945" s="42" t="n">
        <v>116</v>
      </c>
      <c r="B945" s="30" t="inlineStr">
        <is>
          <t>GNA solde 2025</t>
        </is>
      </c>
      <c r="C945" s="45" t="n">
        <v>2457312</v>
      </c>
      <c r="D945" s="30" t="inlineStr">
        <is>
          <t>2 457 312 FCFA</t>
        </is>
      </c>
      <c r="E945" s="46" t="inlineStr">
        <is>
          <t>Oui</t>
        </is>
      </c>
    </row>
    <row r="946">
      <c r="A946" s="42" t="n">
        <v>116</v>
      </c>
      <c r="B946" s="28" t="inlineStr">
        <is>
          <t>Produits annexes 2025</t>
        </is>
      </c>
      <c r="C946" s="43" t="n">
        <v>43668069</v>
      </c>
      <c r="D946" s="28" t="inlineStr">
        <is>
          <t>43 668 069 FCFA</t>
        </is>
      </c>
      <c r="E946" s="44" t="inlineStr">
        <is>
          <t>Oui</t>
        </is>
      </c>
    </row>
    <row r="947">
      <c r="A947" s="42" t="n">
        <v>116</v>
      </c>
      <c r="B947" s="30" t="inlineStr">
        <is>
          <t>GNA débit 2026</t>
        </is>
      </c>
      <c r="C947" s="45" t="n">
        <v>600586</v>
      </c>
      <c r="D947" s="30" t="inlineStr">
        <is>
          <t>600 586 FCFA</t>
        </is>
      </c>
      <c r="E947" s="46" t="inlineStr">
        <is>
          <t>Oui</t>
        </is>
      </c>
    </row>
    <row r="948">
      <c r="A948" s="42" t="n">
        <v>116</v>
      </c>
      <c r="B948" s="28" t="inlineStr">
        <is>
          <t>GNA solde 2026</t>
        </is>
      </c>
      <c r="C948" s="43" t="n">
        <v>3057898</v>
      </c>
      <c r="D948" s="28" t="inlineStr">
        <is>
          <t>3 057 898 FCFA</t>
        </is>
      </c>
      <c r="E948" s="44" t="inlineStr">
        <is>
          <t>Oui</t>
        </is>
      </c>
    </row>
    <row r="949">
      <c r="A949" s="42" t="n">
        <v>116</v>
      </c>
      <c r="B949" s="30" t="inlineStr">
        <is>
          <t>Produits annexes 2026</t>
        </is>
      </c>
      <c r="C949" s="45" t="n">
        <v>932138</v>
      </c>
      <c r="D949" s="30" t="inlineStr">
        <is>
          <t>932 138 FCFA</t>
        </is>
      </c>
      <c r="E949" s="46" t="inlineStr">
        <is>
          <t>Oui</t>
        </is>
      </c>
    </row>
    <row r="950">
      <c r="A950" s="42" t="n">
        <v>116</v>
      </c>
      <c r="B950" s="28" t="inlineStr">
        <is>
          <t>Précomptes 9W3 2024</t>
        </is>
      </c>
      <c r="C950" s="43" t="n">
        <v>7913002</v>
      </c>
      <c r="D950" s="28" t="inlineStr">
        <is>
          <t>7 913 002 FCFA</t>
        </is>
      </c>
      <c r="E950" s="44" t="inlineStr">
        <is>
          <t>Oui</t>
        </is>
      </c>
    </row>
    <row r="951">
      <c r="A951" s="42" t="n">
        <v>117</v>
      </c>
      <c r="B951" s="30" t="inlineStr">
        <is>
          <t>PIDR 2020</t>
        </is>
      </c>
      <c r="C951" s="45" t="n">
        <v>24155943</v>
      </c>
      <c r="D951" s="30" t="inlineStr">
        <is>
          <t>24 155 943 FCFA</t>
        </is>
      </c>
      <c r="E951" s="46" t="inlineStr">
        <is>
          <t>Oui</t>
        </is>
      </c>
    </row>
    <row r="952">
      <c r="A952" s="42" t="n">
        <v>117</v>
      </c>
      <c r="B952" s="28" t="inlineStr">
        <is>
          <t>PIDR 2025</t>
        </is>
      </c>
      <c r="C952" s="43" t="n">
        <v>43666678</v>
      </c>
      <c r="D952" s="28" t="inlineStr">
        <is>
          <t>43 666 678 FCFA</t>
        </is>
      </c>
      <c r="E952" s="44" t="inlineStr">
        <is>
          <t>Oui</t>
        </is>
      </c>
    </row>
    <row r="953">
      <c r="A953" s="42" t="n">
        <v>117</v>
      </c>
      <c r="B953" s="30" t="inlineStr">
        <is>
          <t>PIDR prov 2020</t>
        </is>
      </c>
      <c r="C953" s="45" t="n">
        <v>24155943</v>
      </c>
      <c r="D953" s="30" t="inlineStr">
        <is>
          <t>24 155 943 FCFA</t>
        </is>
      </c>
      <c r="E953" s="46" t="inlineStr">
        <is>
          <t>Oui</t>
        </is>
      </c>
    </row>
    <row r="954">
      <c r="A954" s="42" t="n">
        <v>117</v>
      </c>
      <c r="B954" s="28" t="inlineStr">
        <is>
          <t>PIDR dot 2020</t>
        </is>
      </c>
      <c r="C954" s="43" t="n">
        <v>24155943</v>
      </c>
      <c r="D954" s="28" t="inlineStr">
        <is>
          <t>24 155 943 FCFA</t>
        </is>
      </c>
      <c r="E954" s="44" t="inlineStr">
        <is>
          <t>Oui</t>
        </is>
      </c>
    </row>
    <row r="955">
      <c r="A955" s="42" t="n">
        <v>117</v>
      </c>
      <c r="B955" s="30" t="inlineStr">
        <is>
          <t>PIDR rep 2020</t>
        </is>
      </c>
      <c r="C955" s="45" t="n">
        <v>21855876</v>
      </c>
      <c r="D955" s="30" t="inlineStr">
        <is>
          <t>21 855 876 FCFA</t>
        </is>
      </c>
      <c r="E955" s="46" t="inlineStr">
        <is>
          <t>Oui</t>
        </is>
      </c>
    </row>
    <row r="956">
      <c r="A956" s="42" t="n">
        <v>117</v>
      </c>
      <c r="B956" s="28" t="inlineStr">
        <is>
          <t>PIDR prov 2021</t>
        </is>
      </c>
      <c r="C956" s="43" t="n">
        <v>22542542</v>
      </c>
      <c r="D956" s="28" t="inlineStr">
        <is>
          <t>22 542 542 FCFA</t>
        </is>
      </c>
      <c r="E956" s="44" t="inlineStr">
        <is>
          <t>Oui</t>
        </is>
      </c>
    </row>
    <row r="957">
      <c r="A957" s="42" t="n">
        <v>117</v>
      </c>
      <c r="B957" s="30" t="inlineStr">
        <is>
          <t>PIDR dot 2021</t>
        </is>
      </c>
      <c r="C957" s="45" t="n">
        <v>22542542</v>
      </c>
      <c r="D957" s="30" t="inlineStr">
        <is>
          <t>22 542 542 FCFA</t>
        </is>
      </c>
      <c r="E957" s="46" t="inlineStr">
        <is>
          <t>Oui</t>
        </is>
      </c>
    </row>
    <row r="958">
      <c r="A958" s="42" t="n">
        <v>117</v>
      </c>
      <c r="B958" s="28" t="inlineStr">
        <is>
          <t>PIDR rep 2021</t>
        </is>
      </c>
      <c r="C958" s="43" t="n">
        <v>24155943</v>
      </c>
      <c r="D958" s="28" t="inlineStr">
        <is>
          <t>24 155 943 FCFA</t>
        </is>
      </c>
      <c r="E958" s="44" t="inlineStr">
        <is>
          <t>Oui</t>
        </is>
      </c>
    </row>
    <row r="959">
      <c r="A959" s="42" t="n">
        <v>117</v>
      </c>
      <c r="B959" s="30" t="inlineStr">
        <is>
          <t>PIDR prov 2022</t>
        </is>
      </c>
      <c r="C959" s="45" t="n">
        <v>28325794</v>
      </c>
      <c r="D959" s="30" t="inlineStr">
        <is>
          <t>28 325 794 FCFA</t>
        </is>
      </c>
      <c r="E959" s="46" t="inlineStr">
        <is>
          <t>Oui</t>
        </is>
      </c>
    </row>
    <row r="960">
      <c r="A960" s="42" t="n">
        <v>117</v>
      </c>
      <c r="B960" s="28" t="inlineStr">
        <is>
          <t>PIDR dot 2022</t>
        </is>
      </c>
      <c r="C960" s="43" t="n">
        <v>28325794</v>
      </c>
      <c r="D960" s="28" t="inlineStr">
        <is>
          <t>28 325 794 FCFA</t>
        </is>
      </c>
      <c r="E960" s="44" t="inlineStr">
        <is>
          <t>Oui</t>
        </is>
      </c>
    </row>
    <row r="961">
      <c r="A961" s="42" t="n">
        <v>117</v>
      </c>
      <c r="B961" s="30" t="inlineStr">
        <is>
          <t>PIDR rep 2022</t>
        </is>
      </c>
      <c r="C961" s="45" t="n">
        <v>22542542</v>
      </c>
      <c r="D961" s="30" t="inlineStr">
        <is>
          <t>22 542 542 FCFA</t>
        </is>
      </c>
      <c r="E961" s="46" t="inlineStr">
        <is>
          <t>Oui</t>
        </is>
      </c>
    </row>
    <row r="962">
      <c r="A962" s="42" t="n">
        <v>117</v>
      </c>
      <c r="B962" s="28" t="inlineStr">
        <is>
          <t>PIDR prov 2023</t>
        </is>
      </c>
      <c r="C962" s="43" t="n">
        <v>35312179</v>
      </c>
      <c r="D962" s="28" t="inlineStr">
        <is>
          <t>35 312 179 FCFA</t>
        </is>
      </c>
      <c r="E962" s="44" t="inlineStr">
        <is>
          <t>Oui</t>
        </is>
      </c>
    </row>
    <row r="963">
      <c r="A963" s="42" t="n">
        <v>117</v>
      </c>
      <c r="B963" s="30" t="inlineStr">
        <is>
          <t>PIDR dot 2023</t>
        </is>
      </c>
      <c r="C963" s="45" t="n">
        <v>35312179</v>
      </c>
      <c r="D963" s="30" t="inlineStr">
        <is>
          <t>35 312 179 FCFA</t>
        </is>
      </c>
      <c r="E963" s="46" t="inlineStr">
        <is>
          <t>Oui</t>
        </is>
      </c>
    </row>
    <row r="964">
      <c r="A964" s="42" t="n">
        <v>117</v>
      </c>
      <c r="B964" s="28" t="inlineStr">
        <is>
          <t>PIDR rep 2023</t>
        </is>
      </c>
      <c r="C964" s="43" t="n">
        <v>28325794</v>
      </c>
      <c r="D964" s="28" t="inlineStr">
        <is>
          <t>28 325 794 FCFA</t>
        </is>
      </c>
      <c r="E964" s="44" t="inlineStr">
        <is>
          <t>Oui</t>
        </is>
      </c>
    </row>
    <row r="965">
      <c r="A965" s="42" t="n">
        <v>117</v>
      </c>
      <c r="B965" s="30" t="inlineStr">
        <is>
          <t>PIDR prov 2024</t>
        </is>
      </c>
      <c r="C965" s="45" t="n">
        <v>34753547</v>
      </c>
      <c r="D965" s="30" t="inlineStr">
        <is>
          <t>34 753 547 FCFA</t>
        </is>
      </c>
      <c r="E965" s="46" t="inlineStr">
        <is>
          <t>Oui</t>
        </is>
      </c>
    </row>
    <row r="966">
      <c r="A966" s="42" t="n">
        <v>117</v>
      </c>
      <c r="B966" s="28" t="inlineStr">
        <is>
          <t>PIDR dot 2024</t>
        </is>
      </c>
      <c r="C966" s="43" t="n">
        <v>34753547</v>
      </c>
      <c r="D966" s="28" t="inlineStr">
        <is>
          <t>34 753 547 FCFA</t>
        </is>
      </c>
      <c r="E966" s="44" t="inlineStr">
        <is>
          <t>Oui</t>
        </is>
      </c>
    </row>
    <row r="967">
      <c r="A967" s="42" t="n">
        <v>117</v>
      </c>
      <c r="B967" s="30" t="inlineStr">
        <is>
          <t>PIDR rep 2024</t>
        </is>
      </c>
      <c r="C967" s="45" t="n">
        <v>35312179</v>
      </c>
      <c r="D967" s="30" t="inlineStr">
        <is>
          <t>35 312 179 FCFA</t>
        </is>
      </c>
      <c r="E967" s="46" t="inlineStr">
        <is>
          <t>Oui</t>
        </is>
      </c>
    </row>
    <row r="968">
      <c r="A968" s="42" t="n">
        <v>117</v>
      </c>
      <c r="B968" s="28" t="inlineStr">
        <is>
          <t>PIDR prov 2025</t>
        </is>
      </c>
      <c r="C968" s="43" t="n">
        <v>43666678</v>
      </c>
      <c r="D968" s="28" t="inlineStr">
        <is>
          <t>43 666 678 FCFA</t>
        </is>
      </c>
      <c r="E968" s="44" t="inlineStr">
        <is>
          <t>Oui</t>
        </is>
      </c>
    </row>
    <row r="969">
      <c r="A969" s="42" t="n">
        <v>117</v>
      </c>
      <c r="B969" s="30" t="inlineStr">
        <is>
          <t>PIDR dot 2025</t>
        </is>
      </c>
      <c r="C969" s="45" t="n">
        <v>43666678</v>
      </c>
      <c r="D969" s="30" t="inlineStr">
        <is>
          <t>43 666 678 FCFA</t>
        </is>
      </c>
      <c r="E969" s="46" t="inlineStr">
        <is>
          <t>Oui</t>
        </is>
      </c>
    </row>
    <row r="970">
      <c r="A970" s="42" t="n">
        <v>117</v>
      </c>
      <c r="B970" s="28" t="inlineStr">
        <is>
          <t>PIDR rep 2025</t>
        </is>
      </c>
      <c r="C970" s="43" t="n">
        <v>34753547</v>
      </c>
      <c r="D970" s="28" t="inlineStr">
        <is>
          <t>34 753 547 FCFA</t>
        </is>
      </c>
      <c r="E970" s="44" t="inlineStr">
        <is>
          <t>Oui</t>
        </is>
      </c>
    </row>
    <row r="971">
      <c r="A971" s="42" t="n">
        <v>118</v>
      </c>
      <c r="B971" s="30" t="inlineStr">
        <is>
          <t>PIDR âge</t>
        </is>
      </c>
      <c r="C971" s="45" t="n">
        <v>55</v>
      </c>
      <c r="D971" s="30" t="inlineStr">
        <is>
          <t>55</t>
        </is>
      </c>
      <c r="E971" s="46" t="inlineStr">
        <is>
          <t>Oui</t>
        </is>
      </c>
    </row>
    <row r="972">
      <c r="A972" s="42" t="n">
        <v>118</v>
      </c>
      <c r="B972" s="28" t="inlineStr">
        <is>
          <t>PIDR taux</t>
        </is>
      </c>
      <c r="C972" s="43" t="n">
        <v>0.07191774193548386</v>
      </c>
      <c r="D972" s="28" t="inlineStr">
        <is>
          <t>7,19 %</t>
        </is>
      </c>
      <c r="E972" s="44" t="inlineStr">
        <is>
          <t>Oui</t>
        </is>
      </c>
    </row>
    <row r="973">
      <c r="A973" s="42" t="n">
        <v>118</v>
      </c>
      <c r="B973" s="30" t="inlineStr">
        <is>
          <t>PIDR cotations</t>
        </is>
      </c>
      <c r="C973" s="45" t="n">
        <v>248</v>
      </c>
      <c r="D973" s="30" t="inlineStr">
        <is>
          <t>248</t>
        </is>
      </c>
      <c r="E973" s="46" t="inlineStr">
        <is>
          <t>Oui</t>
        </is>
      </c>
    </row>
    <row r="974">
      <c r="A974" s="42" t="n">
        <v>118</v>
      </c>
      <c r="B974" s="28" t="inlineStr">
        <is>
          <t>PIDR croissance</t>
        </is>
      </c>
      <c r="C974" s="43" t="n">
        <v>0.1035700401317873</v>
      </c>
      <c r="D974" s="28" t="inlineStr">
        <is>
          <t>10,36 %</t>
        </is>
      </c>
      <c r="E974" s="44" t="inlineStr">
        <is>
          <t>Oui</t>
        </is>
      </c>
    </row>
    <row r="975">
      <c r="A975" s="42" t="n">
        <v>118</v>
      </c>
      <c r="B975" s="30" t="inlineStr">
        <is>
          <t>PIDR agents croiss</t>
        </is>
      </c>
      <c r="C975" s="45" t="n">
        <v>26</v>
      </c>
      <c r="D975" s="30" t="inlineStr">
        <is>
          <t>26</t>
        </is>
      </c>
      <c r="E975" s="46" t="inlineStr">
        <is>
          <t>Oui</t>
        </is>
      </c>
    </row>
    <row r="976">
      <c r="A976" s="42" t="n">
        <v>118</v>
      </c>
      <c r="B976" s="28" t="inlineStr">
        <is>
          <t>PIDR rotation</t>
        </is>
      </c>
      <c r="C976" s="43" t="n">
        <v>0.09792809702304928</v>
      </c>
      <c r="D976" s="28" t="inlineStr">
        <is>
          <t>9,79 %</t>
        </is>
      </c>
      <c r="E976" s="44" t="inlineStr">
        <is>
          <t>Oui</t>
        </is>
      </c>
    </row>
    <row r="977">
      <c r="A977" s="42" t="n">
        <v>119</v>
      </c>
      <c r="B977" s="30" t="inlineStr">
        <is>
          <t>PIDR 2025 total</t>
        </is>
      </c>
      <c r="C977" s="45" t="n">
        <v>24446566.18199894</v>
      </c>
      <c r="D977" s="30" t="inlineStr">
        <is>
          <t>24 446 566 FCFA</t>
        </is>
      </c>
      <c r="E977" s="46" t="inlineStr">
        <is>
          <t>Oui</t>
        </is>
      </c>
    </row>
    <row r="978">
      <c r="A978" s="42" t="n">
        <v>119</v>
      </c>
      <c r="B978" s="28" t="inlineStr">
        <is>
          <t>PIDR 2025 acquis</t>
        </is>
      </c>
      <c r="C978" s="43" t="n">
        <v>43195084.20679563</v>
      </c>
      <c r="D978" s="28" t="inlineStr">
        <is>
          <t>43 195 084 FCFA</t>
        </is>
      </c>
      <c r="E978" s="44" t="inlineStr">
        <is>
          <t>Oui</t>
        </is>
      </c>
    </row>
    <row r="979">
      <c r="A979" s="42" t="n">
        <v>119</v>
      </c>
      <c r="B979" s="30" t="inlineStr">
        <is>
          <t>PIDR 2025 196</t>
        </is>
      </c>
      <c r="C979" s="45" t="n">
        <v>43666678</v>
      </c>
      <c r="D979" s="30" t="inlineStr">
        <is>
          <t>43 666 678 FCFA</t>
        </is>
      </c>
      <c r="E979" s="46" t="inlineStr">
        <is>
          <t>Oui</t>
        </is>
      </c>
    </row>
    <row r="980">
      <c r="A980" s="42" t="n">
        <v>119</v>
      </c>
      <c r="B980" s="28" t="inlineStr">
        <is>
          <t>PIDR agents 2021</t>
        </is>
      </c>
      <c r="C980" s="43" t="n">
        <v>49</v>
      </c>
      <c r="D980" s="28" t="inlineStr">
        <is>
          <t>49</t>
        </is>
      </c>
      <c r="E980" s="44" t="inlineStr">
        <is>
          <t>Oui</t>
        </is>
      </c>
    </row>
    <row r="981">
      <c r="A981" s="42" t="n">
        <v>119</v>
      </c>
      <c r="B981" s="30" t="inlineStr">
        <is>
          <t>PIDR Direction Générale 2021</t>
        </is>
      </c>
      <c r="C981" s="45" t="n">
        <v>7630201.180242183</v>
      </c>
      <c r="D981" s="30" t="inlineStr">
        <is>
          <t>7 630 201</t>
        </is>
      </c>
      <c r="E981" s="46" t="inlineStr">
        <is>
          <t>Oui</t>
        </is>
      </c>
    </row>
    <row r="982">
      <c r="A982" s="42" t="n">
        <v>119</v>
      </c>
      <c r="B982" s="28" t="inlineStr">
        <is>
          <t>PIDR CMP 2021</t>
        </is>
      </c>
      <c r="C982" s="43" t="n">
        <v>1319886.244518312</v>
      </c>
      <c r="D982" s="28" t="inlineStr">
        <is>
          <t>1 319 886</t>
        </is>
      </c>
      <c r="E982" s="44" t="inlineStr">
        <is>
          <t>Oui</t>
        </is>
      </c>
    </row>
    <row r="983">
      <c r="A983" s="42" t="n">
        <v>119</v>
      </c>
      <c r="B983" s="30" t="inlineStr">
        <is>
          <t>PIDR Grenier 2021</t>
        </is>
      </c>
      <c r="C983" s="45" t="n">
        <v>466837.6691840867</v>
      </c>
      <c r="D983" s="30" t="inlineStr">
        <is>
          <t>466 838</t>
        </is>
      </c>
      <c r="E983" s="46" t="inlineStr">
        <is>
          <t>Oui</t>
        </is>
      </c>
    </row>
    <row r="984">
      <c r="A984" s="42" t="n">
        <v>119</v>
      </c>
      <c r="B984" s="28" t="inlineStr">
        <is>
          <t>PIDR Non documentée 2021</t>
        </is>
      </c>
      <c r="C984" s="43" t="n">
        <v>5602747.848961045</v>
      </c>
      <c r="D984" s="28" t="inlineStr">
        <is>
          <t>5 602 748</t>
        </is>
      </c>
      <c r="E984" s="44" t="inlineStr">
        <is>
          <t>Oui</t>
        </is>
      </c>
    </row>
    <row r="985">
      <c r="A985" s="42" t="n">
        <v>119</v>
      </c>
      <c r="B985" s="30" t="inlineStr">
        <is>
          <t>PIDR tot 2021</t>
        </is>
      </c>
      <c r="C985" s="45" t="n">
        <v>15019672.94290563</v>
      </c>
      <c r="D985" s="30" t="inlineStr">
        <is>
          <t>15 019 673</t>
        </is>
      </c>
      <c r="E985" s="46" t="inlineStr">
        <is>
          <t>Oui</t>
        </is>
      </c>
    </row>
    <row r="986">
      <c r="A986" s="42" t="n">
        <v>119</v>
      </c>
      <c r="B986" s="28" t="inlineStr">
        <is>
          <t>PIDR acq 2021</t>
        </is>
      </c>
      <c r="C986" s="43" t="n">
        <v>28162298.20252976</v>
      </c>
      <c r="D986" s="28" t="inlineStr">
        <is>
          <t>28 162 298</t>
        </is>
      </c>
      <c r="E986" s="44" t="inlineStr">
        <is>
          <t>Oui</t>
        </is>
      </c>
    </row>
    <row r="987">
      <c r="A987" s="42" t="n">
        <v>119</v>
      </c>
      <c r="B987" s="30" t="inlineStr">
        <is>
          <t>PIDR 196 2021</t>
        </is>
      </c>
      <c r="C987" s="45" t="n">
        <v>22542542</v>
      </c>
      <c r="D987" s="30" t="inlineStr">
        <is>
          <t>22 542 542</t>
        </is>
      </c>
      <c r="E987" s="46" t="inlineStr">
        <is>
          <t>Oui</t>
        </is>
      </c>
    </row>
    <row r="988">
      <c r="A988" s="42" t="n">
        <v>119</v>
      </c>
      <c r="B988" s="28" t="inlineStr">
        <is>
          <t>PIDR agents 2022</t>
        </is>
      </c>
      <c r="C988" s="43" t="n">
        <v>56</v>
      </c>
      <c r="D988" s="28" t="inlineStr">
        <is>
          <t>56</t>
        </is>
      </c>
      <c r="E988" s="44" t="inlineStr">
        <is>
          <t>Oui</t>
        </is>
      </c>
    </row>
    <row r="989">
      <c r="A989" s="42" t="n">
        <v>119</v>
      </c>
      <c r="B989" s="30" t="inlineStr">
        <is>
          <t>PIDR Direction Générale 2022</t>
        </is>
      </c>
      <c r="C989" s="45" t="n">
        <v>9003702.381355697</v>
      </c>
      <c r="D989" s="30" t="inlineStr">
        <is>
          <t>9 003 702</t>
        </is>
      </c>
      <c r="E989" s="46" t="inlineStr">
        <is>
          <t>Oui</t>
        </is>
      </c>
    </row>
    <row r="990">
      <c r="A990" s="42" t="n">
        <v>119</v>
      </c>
      <c r="B990" s="28" t="inlineStr">
        <is>
          <t>PIDR CMP 2022</t>
        </is>
      </c>
      <c r="C990" s="43" t="n">
        <v>2099651.198869355</v>
      </c>
      <c r="D990" s="28" t="inlineStr">
        <is>
          <t>2 099 651</t>
        </is>
      </c>
      <c r="E990" s="44" t="inlineStr">
        <is>
          <t>Oui</t>
        </is>
      </c>
    </row>
    <row r="991">
      <c r="A991" s="42" t="n">
        <v>119</v>
      </c>
      <c r="B991" s="30" t="inlineStr">
        <is>
          <t>PIDR Grenier 2022</t>
        </is>
      </c>
      <c r="C991" s="45" t="n">
        <v>593156.3770654761</v>
      </c>
      <c r="D991" s="30" t="inlineStr">
        <is>
          <t>593 156</t>
        </is>
      </c>
      <c r="E991" s="46" t="inlineStr">
        <is>
          <t>Oui</t>
        </is>
      </c>
    </row>
    <row r="992">
      <c r="A992" s="42" t="n">
        <v>119</v>
      </c>
      <c r="B992" s="28" t="inlineStr">
        <is>
          <t>PIDR Non documentée 2022</t>
        </is>
      </c>
      <c r="C992" s="43" t="n">
        <v>7367570.853693796</v>
      </c>
      <c r="D992" s="28" t="inlineStr">
        <is>
          <t>7 367 571</t>
        </is>
      </c>
      <c r="E992" s="44" t="inlineStr">
        <is>
          <t>Oui</t>
        </is>
      </c>
    </row>
    <row r="993">
      <c r="A993" s="42" t="n">
        <v>119</v>
      </c>
      <c r="B993" s="30" t="inlineStr">
        <is>
          <t>PIDR tot 2022</t>
        </is>
      </c>
      <c r="C993" s="45" t="n">
        <v>19064080.81098432</v>
      </c>
      <c r="D993" s="30" t="inlineStr">
        <is>
          <t>19 064 081</t>
        </is>
      </c>
      <c r="E993" s="46" t="inlineStr">
        <is>
          <t>Oui</t>
        </is>
      </c>
    </row>
    <row r="994">
      <c r="A994" s="42" t="n">
        <v>119</v>
      </c>
      <c r="B994" s="28" t="inlineStr">
        <is>
          <t>PIDR acq 2022</t>
        </is>
      </c>
      <c r="C994" s="43" t="n">
        <v>33558812.37555555</v>
      </c>
      <c r="D994" s="28" t="inlineStr">
        <is>
          <t>33 558 812</t>
        </is>
      </c>
      <c r="E994" s="44" t="inlineStr">
        <is>
          <t>Oui</t>
        </is>
      </c>
    </row>
    <row r="995">
      <c r="A995" s="42" t="n">
        <v>119</v>
      </c>
      <c r="B995" s="30" t="inlineStr">
        <is>
          <t>PIDR 196 2022</t>
        </is>
      </c>
      <c r="C995" s="45" t="n">
        <v>28325794</v>
      </c>
      <c r="D995" s="30" t="inlineStr">
        <is>
          <t>28 325 794</t>
        </is>
      </c>
      <c r="E995" s="46" t="inlineStr">
        <is>
          <t>Oui</t>
        </is>
      </c>
    </row>
    <row r="996">
      <c r="A996" s="42" t="n">
        <v>119</v>
      </c>
      <c r="B996" s="28" t="inlineStr">
        <is>
          <t>PIDR agents 2023</t>
        </is>
      </c>
      <c r="C996" s="43" t="n">
        <v>62</v>
      </c>
      <c r="D996" s="28" t="inlineStr">
        <is>
          <t>62</t>
        </is>
      </c>
      <c r="E996" s="44" t="inlineStr">
        <is>
          <t>Oui</t>
        </is>
      </c>
    </row>
    <row r="997">
      <c r="A997" s="42" t="n">
        <v>119</v>
      </c>
      <c r="B997" s="30" t="inlineStr">
        <is>
          <t>PIDR Direction Générale 2023</t>
        </is>
      </c>
      <c r="C997" s="45" t="n">
        <v>12501712.30683265</v>
      </c>
      <c r="D997" s="30" t="inlineStr">
        <is>
          <t>12 501 712</t>
        </is>
      </c>
      <c r="E997" s="46" t="inlineStr">
        <is>
          <t>Oui</t>
        </is>
      </c>
    </row>
    <row r="998">
      <c r="A998" s="42" t="n">
        <v>119</v>
      </c>
      <c r="B998" s="28" t="inlineStr">
        <is>
          <t>PIDR CMP 2023</t>
        </is>
      </c>
      <c r="C998" s="43" t="n">
        <v>3243122.301370226</v>
      </c>
      <c r="D998" s="28" t="inlineStr">
        <is>
          <t>3 243 122</t>
        </is>
      </c>
      <c r="E998" s="44" t="inlineStr">
        <is>
          <t>Oui</t>
        </is>
      </c>
    </row>
    <row r="999">
      <c r="A999" s="42" t="n">
        <v>119</v>
      </c>
      <c r="B999" s="30" t="inlineStr">
        <is>
          <t>PIDR Grenier 2023</t>
        </is>
      </c>
      <c r="C999" s="45" t="n">
        <v>851185.7075445807</v>
      </c>
      <c r="D999" s="30" t="inlineStr">
        <is>
          <t>851 186</t>
        </is>
      </c>
      <c r="E999" s="46" t="inlineStr">
        <is>
          <t>Oui</t>
        </is>
      </c>
    </row>
    <row r="1000">
      <c r="A1000" s="42" t="n">
        <v>119</v>
      </c>
      <c r="B1000" s="28" t="inlineStr">
        <is>
          <t>PIDR Non documentée 2023</t>
        </is>
      </c>
      <c r="C1000" s="43" t="n">
        <v>6302573.424405518</v>
      </c>
      <c r="D1000" s="28" t="inlineStr">
        <is>
          <t>6 302 573</t>
        </is>
      </c>
      <c r="E1000" s="44" t="inlineStr">
        <is>
          <t>Oui</t>
        </is>
      </c>
    </row>
    <row r="1001">
      <c r="A1001" s="42" t="n">
        <v>119</v>
      </c>
      <c r="B1001" s="30" t="inlineStr">
        <is>
          <t>PIDR tot 2023</t>
        </is>
      </c>
      <c r="C1001" s="45" t="n">
        <v>22898593.74015297</v>
      </c>
      <c r="D1001" s="30" t="inlineStr">
        <is>
          <t>22 898 594</t>
        </is>
      </c>
      <c r="E1001" s="46" t="inlineStr">
        <is>
          <t>Oui</t>
        </is>
      </c>
    </row>
    <row r="1002">
      <c r="A1002" s="42" t="n">
        <v>119</v>
      </c>
      <c r="B1002" s="28" t="inlineStr">
        <is>
          <t>PIDR acq 2023</t>
        </is>
      </c>
      <c r="C1002" s="43" t="n">
        <v>40339550.78189123</v>
      </c>
      <c r="D1002" s="28" t="inlineStr">
        <is>
          <t>40 339 551</t>
        </is>
      </c>
      <c r="E1002" s="44" t="inlineStr">
        <is>
          <t>Oui</t>
        </is>
      </c>
    </row>
    <row r="1003">
      <c r="A1003" s="42" t="n">
        <v>119</v>
      </c>
      <c r="B1003" s="30" t="inlineStr">
        <is>
          <t>PIDR 196 2023</t>
        </is>
      </c>
      <c r="C1003" s="45" t="n">
        <v>35312179</v>
      </c>
      <c r="D1003" s="30" t="inlineStr">
        <is>
          <t>35 312 179</t>
        </is>
      </c>
      <c r="E1003" s="46" t="inlineStr">
        <is>
          <t>Oui</t>
        </is>
      </c>
    </row>
    <row r="1004">
      <c r="A1004" s="42" t="n">
        <v>119</v>
      </c>
      <c r="B1004" s="28" t="inlineStr">
        <is>
          <t>PIDR agents 2025</t>
        </is>
      </c>
      <c r="C1004" s="43" t="n">
        <v>79</v>
      </c>
      <c r="D1004" s="28" t="inlineStr">
        <is>
          <t>79</t>
        </is>
      </c>
      <c r="E1004" s="44" t="inlineStr">
        <is>
          <t>Oui</t>
        </is>
      </c>
    </row>
    <row r="1005">
      <c r="A1005" s="42" t="n">
        <v>119</v>
      </c>
      <c r="B1005" s="30" t="inlineStr">
        <is>
          <t>PIDR Direction Générale 2025</t>
        </is>
      </c>
      <c r="C1005" s="45" t="n">
        <v>16118201.53799411</v>
      </c>
      <c r="D1005" s="30" t="inlineStr">
        <is>
          <t>16 118 202</t>
        </is>
      </c>
      <c r="E1005" s="46" t="inlineStr">
        <is>
          <t>Oui</t>
        </is>
      </c>
    </row>
    <row r="1006">
      <c r="A1006" s="42" t="n">
        <v>119</v>
      </c>
      <c r="B1006" s="28" t="inlineStr">
        <is>
          <t>PIDR CMP 2025</t>
        </is>
      </c>
      <c r="C1006" s="43" t="n">
        <v>6680599.655510077</v>
      </c>
      <c r="D1006" s="28" t="inlineStr">
        <is>
          <t>6 680 600</t>
        </is>
      </c>
      <c r="E1006" s="44" t="inlineStr">
        <is>
          <t>Oui</t>
        </is>
      </c>
    </row>
    <row r="1007">
      <c r="A1007" s="42" t="n">
        <v>119</v>
      </c>
      <c r="B1007" s="30" t="inlineStr">
        <is>
          <t>PIDR Grenier 2025</t>
        </is>
      </c>
      <c r="C1007" s="45" t="n">
        <v>1454295.879773582</v>
      </c>
      <c r="D1007" s="30" t="inlineStr">
        <is>
          <t>1 454 296</t>
        </is>
      </c>
      <c r="E1007" s="46" t="inlineStr">
        <is>
          <t>Oui</t>
        </is>
      </c>
    </row>
    <row r="1008">
      <c r="A1008" s="42" t="n">
        <v>119</v>
      </c>
      <c r="B1008" s="28" t="inlineStr">
        <is>
          <t>PIDR Non documentée 2025</t>
        </is>
      </c>
      <c r="C1008" s="43" t="n">
        <v>193469.1087211707</v>
      </c>
      <c r="D1008" s="28" t="inlineStr">
        <is>
          <t>193 469</t>
        </is>
      </c>
      <c r="E1008" s="44" t="inlineStr">
        <is>
          <t>Oui</t>
        </is>
      </c>
    </row>
    <row r="1009">
      <c r="A1009" s="42" t="n">
        <v>119</v>
      </c>
      <c r="B1009" s="30" t="inlineStr">
        <is>
          <t>PIDR tot 2025</t>
        </is>
      </c>
      <c r="C1009" s="45" t="n">
        <v>24446566.18199894</v>
      </c>
      <c r="D1009" s="30" t="inlineStr">
        <is>
          <t>24 446 566</t>
        </is>
      </c>
      <c r="E1009" s="46" t="inlineStr">
        <is>
          <t>Oui</t>
        </is>
      </c>
    </row>
    <row r="1010">
      <c r="A1010" s="42" t="n">
        <v>119</v>
      </c>
      <c r="B1010" s="28" t="inlineStr">
        <is>
          <t>PIDR acq 2025</t>
        </is>
      </c>
      <c r="C1010" s="43" t="n">
        <v>43195084.20679563</v>
      </c>
      <c r="D1010" s="28" t="inlineStr">
        <is>
          <t>43 195 084</t>
        </is>
      </c>
      <c r="E1010" s="44" t="inlineStr">
        <is>
          <t>Oui</t>
        </is>
      </c>
    </row>
    <row r="1011">
      <c r="A1011" s="42" t="n">
        <v>119</v>
      </c>
      <c r="B1011" s="30" t="inlineStr">
        <is>
          <t>PIDR 196 2025</t>
        </is>
      </c>
      <c r="C1011" s="45" t="n">
        <v>43666678</v>
      </c>
      <c r="D1011" s="30" t="inlineStr">
        <is>
          <t>43 666 678</t>
        </is>
      </c>
      <c r="E1011" s="46" t="inlineStr">
        <is>
          <t>Oui</t>
        </is>
      </c>
    </row>
    <row r="1012">
      <c r="A1012" s="42" t="n">
        <v>119</v>
      </c>
      <c r="B1012" s="28" t="inlineStr">
        <is>
          <t>PIDR ratio 196</t>
        </is>
      </c>
      <c r="C1012" s="43" t="n">
        <v>0.5598448817654262</v>
      </c>
      <c r="D1012" s="28" t="inlineStr">
        <is>
          <t>55,98 %</t>
        </is>
      </c>
      <c r="E1012" s="44" t="inlineStr">
        <is>
          <t>Oui</t>
        </is>
      </c>
    </row>
    <row r="1013">
      <c r="A1013" s="42" t="n">
        <v>119</v>
      </c>
      <c r="B1013" s="30" t="inlineStr">
        <is>
          <t>PIDR ratio acquis</t>
        </is>
      </c>
      <c r="C1013" s="45" t="n">
        <v>0.9892001449433738</v>
      </c>
      <c r="D1013" s="30" t="inlineStr">
        <is>
          <t>98,92 %</t>
        </is>
      </c>
      <c r="E1013" s="46" t="inlineStr">
        <is>
          <t>Oui</t>
        </is>
      </c>
    </row>
    <row r="1014">
      <c r="A1014" s="42" t="n">
        <v>119</v>
      </c>
      <c r="B1014" s="28" t="inlineStr">
        <is>
          <t>PIDR part DG</t>
        </is>
      </c>
      <c r="C1014" s="43" t="n">
        <v>0.6593237437928046</v>
      </c>
      <c r="D1014" s="28" t="inlineStr">
        <is>
          <t>65,93 %</t>
        </is>
      </c>
      <c r="E1014" s="44" t="inlineStr">
        <is>
          <t>Oui</t>
        </is>
      </c>
    </row>
    <row r="1015">
      <c r="A1015" s="42" t="n">
        <v>119</v>
      </c>
      <c r="B1015" s="30" t="inlineStr">
        <is>
          <t>PIDR agents DG</t>
        </is>
      </c>
      <c r="C1015" s="45" t="n">
        <v>20</v>
      </c>
      <c r="D1015" s="30" t="inlineStr">
        <is>
          <t>20</t>
        </is>
      </c>
      <c r="E1015" s="46" t="inlineStr">
        <is>
          <t>Oui</t>
        </is>
      </c>
    </row>
    <row r="1016">
      <c r="A1016" s="42" t="n">
        <v>119</v>
      </c>
      <c r="B1016" s="28" t="inlineStr">
        <is>
          <t>PIDR agents CMP</t>
        </is>
      </c>
      <c r="C1016" s="43" t="n">
        <v>37</v>
      </c>
      <c r="D1016" s="28" t="inlineStr">
        <is>
          <t>37</t>
        </is>
      </c>
      <c r="E1016" s="44" t="inlineStr">
        <is>
          <t>Oui</t>
        </is>
      </c>
    </row>
    <row r="1017">
      <c r="A1017" s="42" t="n">
        <v>119</v>
      </c>
      <c r="B1017" s="30" t="inlineStr">
        <is>
          <t>PIDR CMP depuis 2022</t>
        </is>
      </c>
      <c r="C1017" s="45" t="n">
        <v>27</v>
      </c>
      <c r="D1017" s="30" t="inlineStr">
        <is>
          <t>27</t>
        </is>
      </c>
      <c r="E1017" s="46" t="inlineStr">
        <is>
          <t>Oui</t>
        </is>
      </c>
    </row>
    <row r="1018">
      <c r="A1018" s="42" t="n">
        <v>120</v>
      </c>
      <c r="B1018" s="28" t="inlineStr">
        <is>
          <t>PIDR part top5 DG</t>
        </is>
      </c>
      <c r="C1018" s="43" t="n">
        <v>0.6603571467689807</v>
      </c>
      <c r="D1018" s="28" t="inlineStr">
        <is>
          <t>66,04 %</t>
        </is>
      </c>
      <c r="E1018" s="44" t="inlineStr">
        <is>
          <t>Oui</t>
        </is>
      </c>
    </row>
    <row r="1019">
      <c r="A1019" s="42" t="n">
        <v>120</v>
      </c>
      <c r="B1019" s="30" t="inlineStr">
        <is>
          <t>PIDR nd n</t>
        </is>
      </c>
      <c r="C1019" s="45" t="n">
        <v>19</v>
      </c>
      <c r="D1019" s="30" t="inlineStr">
        <is>
          <t>19</t>
        </is>
      </c>
      <c r="E1019" s="46" t="inlineStr">
        <is>
          <t>Oui</t>
        </is>
      </c>
    </row>
    <row r="1020">
      <c r="A1020" s="42" t="n">
        <v>120</v>
      </c>
      <c r="B1020" s="28" t="inlineStr">
        <is>
          <t>PIDR n Direction Générale (1/2)</t>
        </is>
      </c>
      <c r="C1020" s="43" t="n">
        <v>10</v>
      </c>
      <c r="D1020" s="28" t="inlineStr">
        <is>
          <t>10</t>
        </is>
      </c>
      <c r="E1020" s="44" t="inlineStr">
        <is>
          <t>Oui</t>
        </is>
      </c>
    </row>
    <row r="1021">
      <c r="A1021" s="42" t="n">
        <v>120</v>
      </c>
      <c r="B1021" s="30" t="inlineStr">
        <is>
          <t>PIDR somme Direction Générale (1/2)</t>
        </is>
      </c>
      <c r="C1021" s="45" t="n">
        <v>14040396.33016461</v>
      </c>
      <c r="D1021" s="30" t="inlineStr">
        <is>
          <t>14 040 396 FCFA</t>
        </is>
      </c>
      <c r="E1021" s="46" t="inlineStr">
        <is>
          <t>Oui</t>
        </is>
      </c>
    </row>
    <row r="1022">
      <c r="A1022" s="42" t="n">
        <v>120</v>
      </c>
      <c r="B1022" s="28" t="inlineStr">
        <is>
          <t>PIDR acq somme Direction Générale (1/2)</t>
        </is>
      </c>
      <c r="C1022" s="43" t="n">
        <v>21620322.50555556</v>
      </c>
      <c r="D1022" s="28" t="inlineStr">
        <is>
          <t>21 620 323 FCFA</t>
        </is>
      </c>
      <c r="E1022" s="44" t="inlineStr">
        <is>
          <t>Oui</t>
        </is>
      </c>
    </row>
    <row r="1023">
      <c r="A1023" s="42" t="n">
        <v>120</v>
      </c>
      <c r="B1023" s="30" t="inlineStr">
        <is>
          <t>PIDR âge A25-01</t>
        </is>
      </c>
      <c r="C1023" s="45" t="n">
        <v>50</v>
      </c>
      <c r="D1023" s="30" t="inlineStr">
        <is>
          <t>50</t>
        </is>
      </c>
      <c r="E1023" s="46" t="inlineStr">
        <is>
          <t>Oui</t>
        </is>
      </c>
    </row>
    <row r="1024">
      <c r="A1024" s="42" t="n">
        <v>120</v>
      </c>
      <c r="B1024" s="28" t="inlineStr">
        <is>
          <t>PIDR anc A25-01</t>
        </is>
      </c>
      <c r="C1024" s="43" t="n">
        <v>12.16666666666667</v>
      </c>
      <c r="D1024" s="28" t="inlineStr">
        <is>
          <t>12,17</t>
        </is>
      </c>
      <c r="E1024" s="44" t="inlineStr">
        <is>
          <t>Oui</t>
        </is>
      </c>
    </row>
    <row r="1025">
      <c r="A1025" s="42" t="n">
        <v>120</v>
      </c>
      <c r="B1025" s="30" t="inlineStr">
        <is>
          <t>PIDR sal A25-01</t>
        </is>
      </c>
      <c r="C1025" s="45" t="n">
        <v>1234372.75</v>
      </c>
      <c r="D1025" s="30" t="inlineStr">
        <is>
          <t>1 234 373</t>
        </is>
      </c>
      <c r="E1025" s="46" t="inlineStr">
        <is>
          <t>Oui</t>
        </is>
      </c>
    </row>
    <row r="1026">
      <c r="A1026" s="42" t="n">
        <v>120</v>
      </c>
      <c r="B1026" s="28" t="inlineStr">
        <is>
          <t>PIDR acq A25-01</t>
        </is>
      </c>
      <c r="C1026" s="43" t="n">
        <v>5081501.154166666</v>
      </c>
      <c r="D1026" s="28" t="inlineStr">
        <is>
          <t>5 081 501</t>
        </is>
      </c>
      <c r="E1026" s="44" t="inlineStr">
        <is>
          <t>Oui</t>
        </is>
      </c>
    </row>
    <row r="1027">
      <c r="A1027" s="42" t="n">
        <v>120</v>
      </c>
      <c r="B1027" s="30" t="inlineStr">
        <is>
          <t>PIDR dbo A25-01</t>
        </is>
      </c>
      <c r="C1027" s="45" t="n">
        <v>3617603.600955443</v>
      </c>
      <c r="D1027" s="30" t="inlineStr">
        <is>
          <t>3 617 604</t>
        </is>
      </c>
      <c r="E1027" s="46" t="inlineStr">
        <is>
          <t>Oui</t>
        </is>
      </c>
    </row>
    <row r="1028">
      <c r="A1028" s="42" t="n">
        <v>120</v>
      </c>
      <c r="B1028" s="28" t="inlineStr">
        <is>
          <t>PIDR âge A25-04</t>
        </is>
      </c>
      <c r="C1028" s="43" t="n">
        <v>47</v>
      </c>
      <c r="D1028" s="28" t="inlineStr">
        <is>
          <t>47</t>
        </is>
      </c>
      <c r="E1028" s="44" t="inlineStr">
        <is>
          <t>Oui</t>
        </is>
      </c>
    </row>
    <row r="1029">
      <c r="A1029" s="42" t="n">
        <v>120</v>
      </c>
      <c r="B1029" s="30" t="inlineStr">
        <is>
          <t>PIDR anc A25-04</t>
        </is>
      </c>
      <c r="C1029" s="45" t="n">
        <v>11.16666666666667</v>
      </c>
      <c r="D1029" s="30" t="inlineStr">
        <is>
          <t>11,17</t>
        </is>
      </c>
      <c r="E1029" s="46" t="inlineStr">
        <is>
          <t>Oui</t>
        </is>
      </c>
    </row>
    <row r="1030">
      <c r="A1030" s="42" t="n">
        <v>120</v>
      </c>
      <c r="B1030" s="28" t="inlineStr">
        <is>
          <t>PIDR sal A25-04</t>
        </is>
      </c>
      <c r="C1030" s="43" t="n">
        <v>1341089.5</v>
      </c>
      <c r="D1030" s="28" t="inlineStr">
        <is>
          <t>1 341 090</t>
        </is>
      </c>
      <c r="E1030" s="44" t="inlineStr">
        <is>
          <t>Oui</t>
        </is>
      </c>
    </row>
    <row r="1031">
      <c r="A1031" s="42" t="n">
        <v>120</v>
      </c>
      <c r="B1031" s="30" t="inlineStr">
        <is>
          <t>PIDR acq A25-04</t>
        </is>
      </c>
      <c r="C1031" s="45" t="n">
        <v>4984382.641666667</v>
      </c>
      <c r="D1031" s="30" t="inlineStr">
        <is>
          <t>4 984 383</t>
        </is>
      </c>
      <c r="E1031" s="46" t="inlineStr">
        <is>
          <t>Oui</t>
        </is>
      </c>
    </row>
    <row r="1032">
      <c r="A1032" s="42" t="n">
        <v>120</v>
      </c>
      <c r="B1032" s="28" t="inlineStr">
        <is>
          <t>PIDR dbo A25-04</t>
        </is>
      </c>
      <c r="C1032" s="43" t="n">
        <v>2896107.084412873</v>
      </c>
      <c r="D1032" s="28" t="inlineStr">
        <is>
          <t>2 896 107</t>
        </is>
      </c>
      <c r="E1032" s="44" t="inlineStr">
        <is>
          <t>Oui</t>
        </is>
      </c>
    </row>
    <row r="1033">
      <c r="A1033" s="42" t="n">
        <v>120</v>
      </c>
      <c r="B1033" s="30" t="inlineStr">
        <is>
          <t>PIDR âge A25-02</t>
        </is>
      </c>
      <c r="C1033" s="45" t="n">
        <v>51</v>
      </c>
      <c r="D1033" s="30" t="inlineStr">
        <is>
          <t>51</t>
        </is>
      </c>
      <c r="E1033" s="46" t="inlineStr">
        <is>
          <t>Oui</t>
        </is>
      </c>
    </row>
    <row r="1034">
      <c r="A1034" s="42" t="n">
        <v>120</v>
      </c>
      <c r="B1034" s="28" t="inlineStr">
        <is>
          <t>PIDR anc A25-02</t>
        </is>
      </c>
      <c r="C1034" s="43" t="n">
        <v>12.16666666666667</v>
      </c>
      <c r="D1034" s="28" t="inlineStr">
        <is>
          <t>12,17</t>
        </is>
      </c>
      <c r="E1034" s="44" t="inlineStr">
        <is>
          <t>Oui</t>
        </is>
      </c>
    </row>
    <row r="1035">
      <c r="A1035" s="42" t="n">
        <v>120</v>
      </c>
      <c r="B1035" s="30" t="inlineStr">
        <is>
          <t>PIDR sal A25-02</t>
        </is>
      </c>
      <c r="C1035" s="45" t="n">
        <v>617329.3333333334</v>
      </c>
      <c r="D1035" s="30" t="inlineStr">
        <is>
          <t>617 329</t>
        </is>
      </c>
      <c r="E1035" s="46" t="inlineStr">
        <is>
          <t>Oui</t>
        </is>
      </c>
    </row>
    <row r="1036">
      <c r="A1036" s="42" t="n">
        <v>120</v>
      </c>
      <c r="B1036" s="28" t="inlineStr">
        <is>
          <t>PIDR acq A25-02</t>
        </is>
      </c>
      <c r="C1036" s="43" t="n">
        <v>2541339.088888889</v>
      </c>
      <c r="D1036" s="28" t="inlineStr">
        <is>
          <t>2 541 339</t>
        </is>
      </c>
      <c r="E1036" s="44" t="inlineStr">
        <is>
          <t>Oui</t>
        </is>
      </c>
    </row>
    <row r="1037">
      <c r="A1037" s="42" t="n">
        <v>120</v>
      </c>
      <c r="B1037" s="30" t="inlineStr">
        <is>
          <t>PIDR dbo A25-02</t>
        </is>
      </c>
      <c r="C1037" s="45" t="n">
        <v>1940838.699150008</v>
      </c>
      <c r="D1037" s="30" t="inlineStr">
        <is>
          <t>1 940 839</t>
        </is>
      </c>
      <c r="E1037" s="46" t="inlineStr">
        <is>
          <t>Oui</t>
        </is>
      </c>
    </row>
    <row r="1038">
      <c r="A1038" s="42" t="n">
        <v>120</v>
      </c>
      <c r="B1038" s="28" t="inlineStr">
        <is>
          <t>PIDR âge A25-05</t>
        </is>
      </c>
      <c r="C1038" s="43" t="n">
        <v>43</v>
      </c>
      <c r="D1038" s="28" t="inlineStr">
        <is>
          <t>43</t>
        </is>
      </c>
      <c r="E1038" s="44" t="inlineStr">
        <is>
          <t>Oui</t>
        </is>
      </c>
    </row>
    <row r="1039">
      <c r="A1039" s="42" t="n">
        <v>120</v>
      </c>
      <c r="B1039" s="30" t="inlineStr">
        <is>
          <t>PIDR anc A25-05</t>
        </is>
      </c>
      <c r="C1039" s="45" t="n">
        <v>11.91666666666667</v>
      </c>
      <c r="D1039" s="30" t="inlineStr">
        <is>
          <t>11,92</t>
        </is>
      </c>
      <c r="E1039" s="46" t="inlineStr">
        <is>
          <t>Oui</t>
        </is>
      </c>
    </row>
    <row r="1040">
      <c r="A1040" s="42" t="n">
        <v>120</v>
      </c>
      <c r="B1040" s="28" t="inlineStr">
        <is>
          <t>PIDR sal A25-05</t>
        </is>
      </c>
      <c r="C1040" s="43" t="n">
        <v>677034.1666666666</v>
      </c>
      <c r="D1040" s="28" t="inlineStr">
        <is>
          <t>677 034</t>
        </is>
      </c>
      <c r="E1040" s="44" t="inlineStr">
        <is>
          <t>Oui</t>
        </is>
      </c>
    </row>
    <row r="1041">
      <c r="A1041" s="42" t="n">
        <v>120</v>
      </c>
      <c r="B1041" s="30" t="inlineStr">
        <is>
          <t>PIDR acq A25-05</t>
        </is>
      </c>
      <c r="C1041" s="45" t="n">
        <v>2719420.569444444</v>
      </c>
      <c r="D1041" s="30" t="inlineStr">
        <is>
          <t>2 719 421</t>
        </is>
      </c>
      <c r="E1041" s="46" t="inlineStr">
        <is>
          <t>Oui</t>
        </is>
      </c>
    </row>
    <row r="1042">
      <c r="A1042" s="42" t="n">
        <v>120</v>
      </c>
      <c r="B1042" s="28" t="inlineStr">
        <is>
          <t>PIDR dbo A25-05</t>
        </is>
      </c>
      <c r="C1042" s="43" t="n">
        <v>1172708.59554775</v>
      </c>
      <c r="D1042" s="28" t="inlineStr">
        <is>
          <t>1 172 709</t>
        </is>
      </c>
      <c r="E1042" s="44" t="inlineStr">
        <is>
          <t>Oui</t>
        </is>
      </c>
    </row>
    <row r="1043">
      <c r="A1043" s="42" t="n">
        <v>120</v>
      </c>
      <c r="B1043" s="30" t="inlineStr">
        <is>
          <t>PIDR âge A25-07</t>
        </is>
      </c>
      <c r="C1043" s="45" t="n">
        <v>55</v>
      </c>
      <c r="D1043" s="30" t="inlineStr">
        <is>
          <t>55</t>
        </is>
      </c>
      <c r="E1043" s="46" t="inlineStr">
        <is>
          <t>Oui</t>
        </is>
      </c>
    </row>
    <row r="1044">
      <c r="A1044" s="42" t="n">
        <v>120</v>
      </c>
      <c r="B1044" s="28" t="inlineStr">
        <is>
          <t>PIDR anc A25-07</t>
        </is>
      </c>
      <c r="C1044" s="43" t="n">
        <v>11.41666666666667</v>
      </c>
      <c r="D1044" s="28" t="inlineStr">
        <is>
          <t>11,42</t>
        </is>
      </c>
      <c r="E1044" s="44" t="inlineStr">
        <is>
          <t>Oui</t>
        </is>
      </c>
    </row>
    <row r="1045">
      <c r="A1045" s="42" t="n">
        <v>120</v>
      </c>
      <c r="B1045" s="30" t="inlineStr">
        <is>
          <t>PIDR sal A25-07</t>
        </is>
      </c>
      <c r="C1045" s="45" t="n">
        <v>266334.9166666667</v>
      </c>
      <c r="D1045" s="30" t="inlineStr">
        <is>
          <t>266 335</t>
        </is>
      </c>
      <c r="E1045" s="46" t="inlineStr">
        <is>
          <t>Oui</t>
        </is>
      </c>
    </row>
    <row r="1046">
      <c r="A1046" s="42" t="n">
        <v>120</v>
      </c>
      <c r="B1046" s="28" t="inlineStr">
        <is>
          <t>PIDR acq A25-07</t>
        </is>
      </c>
      <c r="C1046" s="43" t="n">
        <v>1016511.598611111</v>
      </c>
      <c r="D1046" s="28" t="inlineStr">
        <is>
          <t>1 016 512</t>
        </is>
      </c>
      <c r="E1046" s="44" t="inlineStr">
        <is>
          <t>Oui</t>
        </is>
      </c>
    </row>
    <row r="1047">
      <c r="A1047" s="42" t="n">
        <v>120</v>
      </c>
      <c r="B1047" s="30" t="inlineStr">
        <is>
          <t>PIDR dbo A25-07</t>
        </is>
      </c>
      <c r="C1047" s="45" t="n">
        <v>1016511.598611111</v>
      </c>
      <c r="D1047" s="30" t="inlineStr">
        <is>
          <t>1 016 512</t>
        </is>
      </c>
      <c r="E1047" s="46" t="inlineStr">
        <is>
          <t>Oui</t>
        </is>
      </c>
    </row>
    <row r="1048">
      <c r="A1048" s="42" t="n">
        <v>120</v>
      </c>
      <c r="B1048" s="28" t="inlineStr">
        <is>
          <t>PIDR âge A25-09</t>
        </is>
      </c>
      <c r="C1048" s="43" t="n">
        <v>46</v>
      </c>
      <c r="D1048" s="28" t="inlineStr">
        <is>
          <t>46</t>
        </is>
      </c>
      <c r="E1048" s="44" t="inlineStr">
        <is>
          <t>Oui</t>
        </is>
      </c>
    </row>
    <row r="1049">
      <c r="A1049" s="42" t="n">
        <v>120</v>
      </c>
      <c r="B1049" s="30" t="inlineStr">
        <is>
          <t>PIDR anc A25-09</t>
        </is>
      </c>
      <c r="C1049" s="45" t="n">
        <v>9.25</v>
      </c>
      <c r="D1049" s="30" t="inlineStr">
        <is>
          <t>9,25</t>
        </is>
      </c>
      <c r="E1049" s="46" t="inlineStr">
        <is>
          <t>Oui</t>
        </is>
      </c>
    </row>
    <row r="1050">
      <c r="A1050" s="42" t="n">
        <v>120</v>
      </c>
      <c r="B1050" s="28" t="inlineStr">
        <is>
          <t>PIDR sal A25-09</t>
        </is>
      </c>
      <c r="C1050" s="43" t="n">
        <v>609510</v>
      </c>
      <c r="D1050" s="28" t="inlineStr">
        <is>
          <t>609 510</t>
        </is>
      </c>
      <c r="E1050" s="44" t="inlineStr">
        <is>
          <t>Oui</t>
        </is>
      </c>
    </row>
    <row r="1051">
      <c r="A1051" s="42" t="n">
        <v>120</v>
      </c>
      <c r="B1051" s="30" t="inlineStr">
        <is>
          <t>PIDR acq A25-09</t>
        </is>
      </c>
      <c r="C1051" s="45" t="n">
        <v>1820911.125</v>
      </c>
      <c r="D1051" s="30" t="inlineStr">
        <is>
          <t>1 820 911</t>
        </is>
      </c>
      <c r="E1051" s="46" t="inlineStr">
        <is>
          <t>Oui</t>
        </is>
      </c>
    </row>
    <row r="1052">
      <c r="A1052" s="42" t="n">
        <v>120</v>
      </c>
      <c r="B1052" s="28" t="inlineStr">
        <is>
          <t>PIDR dbo A25-09</t>
        </is>
      </c>
      <c r="C1052" s="43" t="n">
        <v>1003991.783042807</v>
      </c>
      <c r="D1052" s="28" t="inlineStr">
        <is>
          <t>1 003 992</t>
        </is>
      </c>
      <c r="E1052" s="44" t="inlineStr">
        <is>
          <t>Oui</t>
        </is>
      </c>
    </row>
    <row r="1053">
      <c r="A1053" s="42" t="n">
        <v>120</v>
      </c>
      <c r="B1053" s="30" t="inlineStr">
        <is>
          <t>PIDR âge A25-03</t>
        </is>
      </c>
      <c r="C1053" s="45" t="n">
        <v>47</v>
      </c>
      <c r="D1053" s="30" t="inlineStr">
        <is>
          <t>47</t>
        </is>
      </c>
      <c r="E1053" s="46" t="inlineStr">
        <is>
          <t>Oui</t>
        </is>
      </c>
    </row>
    <row r="1054">
      <c r="A1054" s="42" t="n">
        <v>120</v>
      </c>
      <c r="B1054" s="28" t="inlineStr">
        <is>
          <t>PIDR anc A25-03</t>
        </is>
      </c>
      <c r="C1054" s="43" t="n">
        <v>12.16666666666667</v>
      </c>
      <c r="D1054" s="28" t="inlineStr">
        <is>
          <t>12,17</t>
        </is>
      </c>
      <c r="E1054" s="44" t="inlineStr">
        <is>
          <t>Oui</t>
        </is>
      </c>
    </row>
    <row r="1055">
      <c r="A1055" s="42" t="n">
        <v>120</v>
      </c>
      <c r="B1055" s="30" t="inlineStr">
        <is>
          <t>PIDR sal A25-03</t>
        </is>
      </c>
      <c r="C1055" s="45" t="n">
        <v>296617.4166666667</v>
      </c>
      <c r="D1055" s="30" t="inlineStr">
        <is>
          <t>296 617</t>
        </is>
      </c>
      <c r="E1055" s="46" t="inlineStr">
        <is>
          <t>Oui</t>
        </is>
      </c>
    </row>
    <row r="1056">
      <c r="A1056" s="42" t="n">
        <v>120</v>
      </c>
      <c r="B1056" s="28" t="inlineStr">
        <is>
          <t>PIDR acq A25-03</t>
        </is>
      </c>
      <c r="C1056" s="43" t="n">
        <v>1221075.031944444</v>
      </c>
      <c r="D1056" s="28" t="inlineStr">
        <is>
          <t>1 221 075</t>
        </is>
      </c>
      <c r="E1056" s="44" t="inlineStr">
        <is>
          <t>Oui</t>
        </is>
      </c>
    </row>
    <row r="1057">
      <c r="A1057" s="42" t="n">
        <v>120</v>
      </c>
      <c r="B1057" s="30" t="inlineStr">
        <is>
          <t>PIDR dbo A25-03</t>
        </is>
      </c>
      <c r="C1057" s="45" t="n">
        <v>701666.0324670749</v>
      </c>
      <c r="D1057" s="30" t="inlineStr">
        <is>
          <t>701 666</t>
        </is>
      </c>
      <c r="E1057" s="46" t="inlineStr">
        <is>
          <t>Oui</t>
        </is>
      </c>
    </row>
    <row r="1058">
      <c r="A1058" s="42" t="n">
        <v>120</v>
      </c>
      <c r="B1058" s="28" t="inlineStr">
        <is>
          <t>PIDR âge A25-10</t>
        </is>
      </c>
      <c r="C1058" s="43" t="n">
        <v>60</v>
      </c>
      <c r="D1058" s="28" t="inlineStr">
        <is>
          <t>60</t>
        </is>
      </c>
      <c r="E1058" s="44" t="inlineStr">
        <is>
          <t>Oui</t>
        </is>
      </c>
    </row>
    <row r="1059">
      <c r="A1059" s="42" t="n">
        <v>120</v>
      </c>
      <c r="B1059" s="30" t="inlineStr">
        <is>
          <t>PIDR anc A25-10</t>
        </is>
      </c>
      <c r="C1059" s="45" t="n">
        <v>8.916666666666666</v>
      </c>
      <c r="D1059" s="30" t="inlineStr">
        <is>
          <t>8,92</t>
        </is>
      </c>
      <c r="E1059" s="46" t="inlineStr">
        <is>
          <t>Oui</t>
        </is>
      </c>
    </row>
    <row r="1060">
      <c r="A1060" s="42" t="n">
        <v>120</v>
      </c>
      <c r="B1060" s="28" t="inlineStr">
        <is>
          <t>PIDR sal A25-10</t>
        </is>
      </c>
      <c r="C1060" s="43" t="n">
        <v>235750.25</v>
      </c>
      <c r="D1060" s="28" t="inlineStr">
        <is>
          <t>235 750</t>
        </is>
      </c>
      <c r="E1060" s="44" t="inlineStr">
        <is>
          <t>Oui</t>
        </is>
      </c>
    </row>
    <row r="1061">
      <c r="A1061" s="42" t="n">
        <v>120</v>
      </c>
      <c r="B1061" s="30" t="inlineStr">
        <is>
          <t>PIDR acq A25-10</t>
        </is>
      </c>
      <c r="C1061" s="45" t="n">
        <v>676799.6760416667</v>
      </c>
      <c r="D1061" s="30" t="inlineStr">
        <is>
          <t>676 800</t>
        </is>
      </c>
      <c r="E1061" s="46" t="inlineStr">
        <is>
          <t>Oui</t>
        </is>
      </c>
    </row>
    <row r="1062">
      <c r="A1062" s="42" t="n">
        <v>120</v>
      </c>
      <c r="B1062" s="28" t="inlineStr">
        <is>
          <t>PIDR dbo A25-10</t>
        </is>
      </c>
      <c r="C1062" s="43" t="n">
        <v>676799.6760416667</v>
      </c>
      <c r="D1062" s="28" t="inlineStr">
        <is>
          <t>676 800</t>
        </is>
      </c>
      <c r="E1062" s="44" t="inlineStr">
        <is>
          <t>Oui</t>
        </is>
      </c>
    </row>
    <row r="1063">
      <c r="A1063" s="42" t="n">
        <v>120</v>
      </c>
      <c r="B1063" s="30" t="inlineStr">
        <is>
          <t>PIDR âge A25-08</t>
        </is>
      </c>
      <c r="C1063" s="45" t="n">
        <v>46</v>
      </c>
      <c r="D1063" s="30" t="inlineStr">
        <is>
          <t>46</t>
        </is>
      </c>
      <c r="E1063" s="46" t="inlineStr">
        <is>
          <t>Oui</t>
        </is>
      </c>
    </row>
    <row r="1064">
      <c r="A1064" s="42" t="n">
        <v>120</v>
      </c>
      <c r="B1064" s="28" t="inlineStr">
        <is>
          <t>PIDR anc A25-08</t>
        </is>
      </c>
      <c r="C1064" s="43" t="n">
        <v>9.5</v>
      </c>
      <c r="D1064" s="28" t="inlineStr">
        <is>
          <t>9,50</t>
        </is>
      </c>
      <c r="E1064" s="44" t="inlineStr">
        <is>
          <t>Oui</t>
        </is>
      </c>
    </row>
    <row r="1065">
      <c r="A1065" s="42" t="n">
        <v>120</v>
      </c>
      <c r="B1065" s="30" t="inlineStr">
        <is>
          <t>PIDR sal A25-08</t>
        </is>
      </c>
      <c r="C1065" s="45" t="n">
        <v>323675.25</v>
      </c>
      <c r="D1065" s="30" t="inlineStr">
        <is>
          <t>323 675</t>
        </is>
      </c>
      <c r="E1065" s="46" t="inlineStr">
        <is>
          <t>Oui</t>
        </is>
      </c>
    </row>
    <row r="1066">
      <c r="A1066" s="42" t="n">
        <v>120</v>
      </c>
      <c r="B1066" s="28" t="inlineStr">
        <is>
          <t>PIDR acq A25-08</t>
        </is>
      </c>
      <c r="C1066" s="43" t="n">
        <v>995301.39375</v>
      </c>
      <c r="D1066" s="28" t="inlineStr">
        <is>
          <t>995 301</t>
        </is>
      </c>
      <c r="E1066" s="44" t="inlineStr">
        <is>
          <t>Oui</t>
        </is>
      </c>
    </row>
    <row r="1067">
      <c r="A1067" s="42" t="n">
        <v>120</v>
      </c>
      <c r="B1067" s="30" t="inlineStr">
        <is>
          <t>PIDR dbo A25-08</t>
        </is>
      </c>
      <c r="C1067" s="45" t="n">
        <v>548418.5971094671</v>
      </c>
      <c r="D1067" s="30" t="inlineStr">
        <is>
          <t>548 419</t>
        </is>
      </c>
      <c r="E1067" s="46" t="inlineStr">
        <is>
          <t>Oui</t>
        </is>
      </c>
    </row>
    <row r="1068">
      <c r="A1068" s="42" t="n">
        <v>120</v>
      </c>
      <c r="B1068" s="28" t="inlineStr">
        <is>
          <t>PIDR âge A25-11</t>
        </is>
      </c>
      <c r="C1068" s="43" t="n">
        <v>52</v>
      </c>
      <c r="D1068" s="28" t="inlineStr">
        <is>
          <t>52</t>
        </is>
      </c>
      <c r="E1068" s="44" t="inlineStr">
        <is>
          <t>Oui</t>
        </is>
      </c>
    </row>
    <row r="1069">
      <c r="A1069" s="42" t="n">
        <v>120</v>
      </c>
      <c r="B1069" s="30" t="inlineStr">
        <is>
          <t>PIDR anc A25-11</t>
        </is>
      </c>
      <c r="C1069" s="45" t="n">
        <v>8.916666666666666</v>
      </c>
      <c r="D1069" s="30" t="inlineStr">
        <is>
          <t>8,92</t>
        </is>
      </c>
      <c r="E1069" s="46" t="inlineStr">
        <is>
          <t>Oui</t>
        </is>
      </c>
    </row>
    <row r="1070">
      <c r="A1070" s="42" t="n">
        <v>120</v>
      </c>
      <c r="B1070" s="28" t="inlineStr">
        <is>
          <t>PIDR sal A25-11</t>
        </is>
      </c>
      <c r="C1070" s="43" t="n">
        <v>196138.25</v>
      </c>
      <c r="D1070" s="28" t="inlineStr">
        <is>
          <t>196 138</t>
        </is>
      </c>
      <c r="E1070" s="44" t="inlineStr">
        <is>
          <t>Oui</t>
        </is>
      </c>
    </row>
    <row r="1071">
      <c r="A1071" s="42" t="n">
        <v>120</v>
      </c>
      <c r="B1071" s="30" t="inlineStr">
        <is>
          <t>PIDR acq A25-11</t>
        </is>
      </c>
      <c r="C1071" s="45" t="n">
        <v>563080.2260416666</v>
      </c>
      <c r="D1071" s="30" t="inlineStr">
        <is>
          <t>563 080</t>
        </is>
      </c>
      <c r="E1071" s="46" t="inlineStr">
        <is>
          <t>Oui</t>
        </is>
      </c>
    </row>
    <row r="1072">
      <c r="A1072" s="42" t="n">
        <v>120</v>
      </c>
      <c r="B1072" s="28" t="inlineStr">
        <is>
          <t>PIDR dbo A25-11</t>
        </is>
      </c>
      <c r="C1072" s="43" t="n">
        <v>465750.662826412</v>
      </c>
      <c r="D1072" s="28" t="inlineStr">
        <is>
          <t>465 751</t>
        </is>
      </c>
      <c r="E1072" s="44" t="inlineStr">
        <is>
          <t>Oui</t>
        </is>
      </c>
    </row>
    <row r="1073">
      <c r="A1073" s="42" t="n">
        <v>120</v>
      </c>
      <c r="B1073" s="30" t="inlineStr">
        <is>
          <t>PIDR top Direction Générale (1/2)</t>
        </is>
      </c>
      <c r="C1073" s="45" t="n">
        <v>3617603.600955443</v>
      </c>
      <c r="D1073" s="30" t="inlineStr">
        <is>
          <t>3 617 604 FCFA</t>
        </is>
      </c>
      <c r="E1073" s="46" t="inlineStr">
        <is>
          <t>Oui</t>
        </is>
      </c>
    </row>
    <row r="1074">
      <c r="A1074" s="42" t="n">
        <v>120</v>
      </c>
      <c r="B1074" s="28" t="inlineStr">
        <is>
          <t>PIDR top anc Direction Générale (1/2)</t>
        </is>
      </c>
      <c r="C1074" s="43" t="n">
        <v>12.16666666666667</v>
      </c>
      <c r="D1074" s="28" t="inlineStr">
        <is>
          <t>12,17</t>
        </is>
      </c>
      <c r="E1074" s="44" t="inlineStr">
        <is>
          <t>Oui</t>
        </is>
      </c>
    </row>
    <row r="1075">
      <c r="A1075" s="42" t="n">
        <v>121</v>
      </c>
      <c r="B1075" s="30" t="inlineStr">
        <is>
          <t>PIDR n Direction Générale (2/2)</t>
        </is>
      </c>
      <c r="C1075" s="45" t="n">
        <v>10</v>
      </c>
      <c r="D1075" s="30" t="inlineStr">
        <is>
          <t>10</t>
        </is>
      </c>
      <c r="E1075" s="46" t="inlineStr">
        <is>
          <t>Oui</t>
        </is>
      </c>
    </row>
    <row r="1076">
      <c r="A1076" s="42" t="n">
        <v>121</v>
      </c>
      <c r="B1076" s="28" t="inlineStr">
        <is>
          <t>PIDR somme Direction Générale (2/2)</t>
        </is>
      </c>
      <c r="C1076" s="43" t="n">
        <v>2077805.207829495</v>
      </c>
      <c r="D1076" s="28" t="inlineStr">
        <is>
          <t>2 077 805 FCFA</t>
        </is>
      </c>
      <c r="E1076" s="44" t="inlineStr">
        <is>
          <t>Oui</t>
        </is>
      </c>
    </row>
    <row r="1077">
      <c r="A1077" s="42" t="n">
        <v>121</v>
      </c>
      <c r="B1077" s="30" t="inlineStr">
        <is>
          <t>PIDR acq somme Direction Générale (2/2)</t>
        </is>
      </c>
      <c r="C1077" s="45" t="n">
        <v>5820350.682986111</v>
      </c>
      <c r="D1077" s="30" t="inlineStr">
        <is>
          <t>5 820 351 FCFA</t>
        </is>
      </c>
      <c r="E1077" s="46" t="inlineStr">
        <is>
          <t>Oui</t>
        </is>
      </c>
    </row>
    <row r="1078">
      <c r="A1078" s="42" t="n">
        <v>121</v>
      </c>
      <c r="B1078" s="28" t="inlineStr">
        <is>
          <t>PIDR âge A25-16</t>
        </is>
      </c>
      <c r="C1078" s="43" t="n">
        <v>47</v>
      </c>
      <c r="D1078" s="28" t="inlineStr">
        <is>
          <t>47</t>
        </is>
      </c>
      <c r="E1078" s="44" t="inlineStr">
        <is>
          <t>Oui</t>
        </is>
      </c>
    </row>
    <row r="1079">
      <c r="A1079" s="42" t="n">
        <v>121</v>
      </c>
      <c r="B1079" s="30" t="inlineStr">
        <is>
          <t>PIDR anc A25-16</t>
        </is>
      </c>
      <c r="C1079" s="45" t="n">
        <v>7.916666666666667</v>
      </c>
      <c r="D1079" s="30" t="inlineStr">
        <is>
          <t>7,92</t>
        </is>
      </c>
      <c r="E1079" s="46" t="inlineStr">
        <is>
          <t>Oui</t>
        </is>
      </c>
    </row>
    <row r="1080">
      <c r="A1080" s="42" t="n">
        <v>121</v>
      </c>
      <c r="B1080" s="28" t="inlineStr">
        <is>
          <t>PIDR sal A25-16</t>
        </is>
      </c>
      <c r="C1080" s="43" t="n">
        <v>226048.6666666667</v>
      </c>
      <c r="D1080" s="28" t="inlineStr">
        <is>
          <t>226 049</t>
        </is>
      </c>
      <c r="E1080" s="44" t="inlineStr">
        <is>
          <t>Oui</t>
        </is>
      </c>
    </row>
    <row r="1081">
      <c r="A1081" s="42" t="n">
        <v>121</v>
      </c>
      <c r="B1081" s="30" t="inlineStr">
        <is>
          <t>PIDR acq A25-16</t>
        </is>
      </c>
      <c r="C1081" s="45" t="n">
        <v>569831.0138888889</v>
      </c>
      <c r="D1081" s="30" t="inlineStr">
        <is>
          <t>569 831</t>
        </is>
      </c>
      <c r="E1081" s="46" t="inlineStr">
        <is>
          <t>Oui</t>
        </is>
      </c>
    </row>
    <row r="1082">
      <c r="A1082" s="42" t="n">
        <v>121</v>
      </c>
      <c r="B1082" s="28" t="inlineStr">
        <is>
          <t>PIDR dbo A25-16</t>
        </is>
      </c>
      <c r="C1082" s="43" t="n">
        <v>338418.3341390833</v>
      </c>
      <c r="D1082" s="28" t="inlineStr">
        <is>
          <t>338 418</t>
        </is>
      </c>
      <c r="E1082" s="44" t="inlineStr">
        <is>
          <t>Oui</t>
        </is>
      </c>
    </row>
    <row r="1083">
      <c r="A1083" s="42" t="n">
        <v>121</v>
      </c>
      <c r="B1083" s="30" t="inlineStr">
        <is>
          <t>PIDR âge A25-15</t>
        </is>
      </c>
      <c r="C1083" s="45" t="n">
        <v>35</v>
      </c>
      <c r="D1083" s="30" t="inlineStr">
        <is>
          <t>35</t>
        </is>
      </c>
      <c r="E1083" s="46" t="inlineStr">
        <is>
          <t>Oui</t>
        </is>
      </c>
    </row>
    <row r="1084">
      <c r="A1084" s="42" t="n">
        <v>121</v>
      </c>
      <c r="B1084" s="28" t="inlineStr">
        <is>
          <t>PIDR anc A25-15</t>
        </is>
      </c>
      <c r="C1084" s="43" t="n">
        <v>7.916666666666667</v>
      </c>
      <c r="D1084" s="28" t="inlineStr">
        <is>
          <t>7,92</t>
        </is>
      </c>
      <c r="E1084" s="44" t="inlineStr">
        <is>
          <t>Oui</t>
        </is>
      </c>
    </row>
    <row r="1085">
      <c r="A1085" s="42" t="n">
        <v>121</v>
      </c>
      <c r="B1085" s="30" t="inlineStr">
        <is>
          <t>PIDR sal A25-15</t>
        </is>
      </c>
      <c r="C1085" s="45" t="n">
        <v>477571.0833333333</v>
      </c>
      <c r="D1085" s="30" t="inlineStr">
        <is>
          <t>477 571</t>
        </is>
      </c>
      <c r="E1085" s="46" t="inlineStr">
        <is>
          <t>Oui</t>
        </is>
      </c>
    </row>
    <row r="1086">
      <c r="A1086" s="42" t="n">
        <v>121</v>
      </c>
      <c r="B1086" s="28" t="inlineStr">
        <is>
          <t>PIDR acq A25-15</t>
        </is>
      </c>
      <c r="C1086" s="43" t="n">
        <v>1203877.105902778</v>
      </c>
      <c r="D1086" s="28" t="inlineStr">
        <is>
          <t>1 203 877</t>
        </is>
      </c>
      <c r="E1086" s="44" t="inlineStr">
        <is>
          <t>Oui</t>
        </is>
      </c>
    </row>
    <row r="1087">
      <c r="A1087" s="42" t="n">
        <v>121</v>
      </c>
      <c r="B1087" s="30" t="inlineStr">
        <is>
          <t>PIDR dbo A25-15</t>
        </is>
      </c>
      <c r="C1087" s="45" t="n">
        <v>303589.5414209459</v>
      </c>
      <c r="D1087" s="30" t="inlineStr">
        <is>
          <t>303 590</t>
        </is>
      </c>
      <c r="E1087" s="46" t="inlineStr">
        <is>
          <t>Oui</t>
        </is>
      </c>
    </row>
    <row r="1088">
      <c r="A1088" s="42" t="n">
        <v>121</v>
      </c>
      <c r="B1088" s="28" t="inlineStr">
        <is>
          <t>PIDR âge A25-27</t>
        </is>
      </c>
      <c r="C1088" s="43" t="n">
        <v>45</v>
      </c>
      <c r="D1088" s="28" t="inlineStr">
        <is>
          <t>45</t>
        </is>
      </c>
      <c r="E1088" s="44" t="inlineStr">
        <is>
          <t>Oui</t>
        </is>
      </c>
    </row>
    <row r="1089">
      <c r="A1089" s="42" t="n">
        <v>121</v>
      </c>
      <c r="B1089" s="30" t="inlineStr">
        <is>
          <t>PIDR anc A25-27</t>
        </is>
      </c>
      <c r="C1089" s="45" t="n">
        <v>5.166666666666667</v>
      </c>
      <c r="D1089" s="30" t="inlineStr">
        <is>
          <t>5,17</t>
        </is>
      </c>
      <c r="E1089" s="46" t="inlineStr">
        <is>
          <t>Oui</t>
        </is>
      </c>
    </row>
    <row r="1090">
      <c r="A1090" s="42" t="n">
        <v>121</v>
      </c>
      <c r="B1090" s="28" t="inlineStr">
        <is>
          <t>PIDR sal A25-27</t>
        </is>
      </c>
      <c r="C1090" s="43" t="n">
        <v>309298.9166666667</v>
      </c>
      <c r="D1090" s="28" t="inlineStr">
        <is>
          <t>309 299</t>
        </is>
      </c>
      <c r="E1090" s="44" t="inlineStr">
        <is>
          <t>Oui</t>
        </is>
      </c>
    </row>
    <row r="1091">
      <c r="A1091" s="42" t="n">
        <v>121</v>
      </c>
      <c r="B1091" s="30" t="inlineStr">
        <is>
          <t>PIDR acq A25-27</t>
        </is>
      </c>
      <c r="C1091" s="45" t="n">
        <v>481990.8118055556</v>
      </c>
      <c r="D1091" s="30" t="inlineStr">
        <is>
          <t>481 991</t>
        </is>
      </c>
      <c r="E1091" s="46" t="inlineStr">
        <is>
          <t>Oui</t>
        </is>
      </c>
    </row>
    <row r="1092">
      <c r="A1092" s="42" t="n">
        <v>121</v>
      </c>
      <c r="B1092" s="28" t="inlineStr">
        <is>
          <t>PIDR dbo A25-27</t>
        </is>
      </c>
      <c r="C1092" s="43" t="n">
        <v>257398.5159482984</v>
      </c>
      <c r="D1092" s="28" t="inlineStr">
        <is>
          <t>257 399</t>
        </is>
      </c>
      <c r="E1092" s="44" t="inlineStr">
        <is>
          <t>Oui</t>
        </is>
      </c>
    </row>
    <row r="1093">
      <c r="A1093" s="42" t="n">
        <v>121</v>
      </c>
      <c r="B1093" s="30" t="inlineStr">
        <is>
          <t>PIDR âge A25-26</t>
        </is>
      </c>
      <c r="C1093" s="45" t="n">
        <v>35</v>
      </c>
      <c r="D1093" s="30" t="inlineStr">
        <is>
          <t>35</t>
        </is>
      </c>
      <c r="E1093" s="46" t="inlineStr">
        <is>
          <t>Oui</t>
        </is>
      </c>
    </row>
    <row r="1094">
      <c r="A1094" s="42" t="n">
        <v>121</v>
      </c>
      <c r="B1094" s="28" t="inlineStr">
        <is>
          <t>PIDR anc A25-26</t>
        </is>
      </c>
      <c r="C1094" s="43" t="n">
        <v>5.916666666666667</v>
      </c>
      <c r="D1094" s="28" t="inlineStr">
        <is>
          <t>5,92</t>
        </is>
      </c>
      <c r="E1094" s="44" t="inlineStr">
        <is>
          <t>Oui</t>
        </is>
      </c>
    </row>
    <row r="1095">
      <c r="A1095" s="42" t="n">
        <v>121</v>
      </c>
      <c r="B1095" s="30" t="inlineStr">
        <is>
          <t>PIDR sal A25-26</t>
        </is>
      </c>
      <c r="C1095" s="45" t="n">
        <v>507094.0833333333</v>
      </c>
      <c r="D1095" s="30" t="inlineStr">
        <is>
          <t>507 094</t>
        </is>
      </c>
      <c r="E1095" s="46" t="inlineStr">
        <is>
          <t>Oui</t>
        </is>
      </c>
    </row>
    <row r="1096">
      <c r="A1096" s="42" t="n">
        <v>121</v>
      </c>
      <c r="B1096" s="28" t="inlineStr">
        <is>
          <t>PIDR acq A25-26</t>
        </is>
      </c>
      <c r="C1096" s="43" t="n">
        <v>923333.8100694444</v>
      </c>
      <c r="D1096" s="28" t="inlineStr">
        <is>
          <t>923 334</t>
        </is>
      </c>
      <c r="E1096" s="44" t="inlineStr">
        <is>
          <t>Oui</t>
        </is>
      </c>
    </row>
    <row r="1097">
      <c r="A1097" s="42" t="n">
        <v>121</v>
      </c>
      <c r="B1097" s="30" t="inlineStr">
        <is>
          <t>PIDR dbo A25-26</t>
        </is>
      </c>
      <c r="C1097" s="45" t="n">
        <v>239580.9507882737</v>
      </c>
      <c r="D1097" s="30" t="inlineStr">
        <is>
          <t>239 581</t>
        </is>
      </c>
      <c r="E1097" s="46" t="inlineStr">
        <is>
          <t>Oui</t>
        </is>
      </c>
    </row>
    <row r="1098">
      <c r="A1098" s="42" t="n">
        <v>121</v>
      </c>
      <c r="B1098" s="28" t="inlineStr">
        <is>
          <t>PIDR âge A25-30</t>
        </is>
      </c>
      <c r="C1098" s="43" t="n">
        <v>35</v>
      </c>
      <c r="D1098" s="28" t="inlineStr">
        <is>
          <t>35</t>
        </is>
      </c>
      <c r="E1098" s="44" t="inlineStr">
        <is>
          <t>Oui</t>
        </is>
      </c>
    </row>
    <row r="1099">
      <c r="A1099" s="42" t="n">
        <v>121</v>
      </c>
      <c r="B1099" s="30" t="inlineStr">
        <is>
          <t>PIDR anc A25-30</t>
        </is>
      </c>
      <c r="C1099" s="45" t="n">
        <v>3.333333333333333</v>
      </c>
      <c r="D1099" s="30" t="inlineStr">
        <is>
          <t>3,33</t>
        </is>
      </c>
      <c r="E1099" s="46" t="inlineStr">
        <is>
          <t>Oui</t>
        </is>
      </c>
    </row>
    <row r="1100">
      <c r="A1100" s="42" t="n">
        <v>121</v>
      </c>
      <c r="B1100" s="28" t="inlineStr">
        <is>
          <t>PIDR sal A25-30</t>
        </is>
      </c>
      <c r="C1100" s="43" t="n">
        <v>877149.75</v>
      </c>
      <c r="D1100" s="28" t="inlineStr">
        <is>
          <t>877 150</t>
        </is>
      </c>
      <c r="E1100" s="44" t="inlineStr">
        <is>
          <t>Oui</t>
        </is>
      </c>
    </row>
    <row r="1101">
      <c r="A1101" s="42" t="n">
        <v>121</v>
      </c>
      <c r="B1101" s="30" t="inlineStr">
        <is>
          <t>PIDR acq A25-30</t>
        </is>
      </c>
      <c r="C1101" s="45" t="n">
        <v>877149.75</v>
      </c>
      <c r="D1101" s="30" t="inlineStr">
        <is>
          <t>877 150</t>
        </is>
      </c>
      <c r="E1101" s="46" t="inlineStr">
        <is>
          <t>Oui</t>
        </is>
      </c>
    </row>
    <row r="1102">
      <c r="A1102" s="42" t="n">
        <v>121</v>
      </c>
      <c r="B1102" s="28" t="inlineStr">
        <is>
          <t>PIDR dbo A25-30</t>
        </is>
      </c>
      <c r="C1102" s="43" t="n">
        <v>231458.3756095504</v>
      </c>
      <c r="D1102" s="28" t="inlineStr">
        <is>
          <t>231 458</t>
        </is>
      </c>
      <c r="E1102" s="44" t="inlineStr">
        <is>
          <t>Oui</t>
        </is>
      </c>
    </row>
    <row r="1103">
      <c r="A1103" s="42" t="n">
        <v>121</v>
      </c>
      <c r="B1103" s="30" t="inlineStr">
        <is>
          <t>PIDR âge A25-23</t>
        </is>
      </c>
      <c r="C1103" s="45" t="n">
        <v>44</v>
      </c>
      <c r="D1103" s="30" t="inlineStr">
        <is>
          <t>44</t>
        </is>
      </c>
      <c r="E1103" s="46" t="inlineStr">
        <is>
          <t>Oui</t>
        </is>
      </c>
    </row>
    <row r="1104">
      <c r="A1104" s="42" t="n">
        <v>121</v>
      </c>
      <c r="B1104" s="28" t="inlineStr">
        <is>
          <t>PIDR anc A25-23</t>
        </is>
      </c>
      <c r="C1104" s="43" t="n">
        <v>6.916666666666667</v>
      </c>
      <c r="D1104" s="28" t="inlineStr">
        <is>
          <t>6,92</t>
        </is>
      </c>
      <c r="E1104" s="44" t="inlineStr">
        <is>
          <t>Oui</t>
        </is>
      </c>
    </row>
    <row r="1105">
      <c r="A1105" s="42" t="n">
        <v>121</v>
      </c>
      <c r="B1105" s="30" t="inlineStr">
        <is>
          <t>PIDR sal A25-23</t>
        </is>
      </c>
      <c r="C1105" s="45" t="n">
        <v>175975.3333333333</v>
      </c>
      <c r="D1105" s="30" t="inlineStr">
        <is>
          <t>175 975</t>
        </is>
      </c>
      <c r="E1105" s="46" t="inlineStr">
        <is>
          <t>Oui</t>
        </is>
      </c>
    </row>
    <row r="1106">
      <c r="A1106" s="42" t="n">
        <v>121</v>
      </c>
      <c r="B1106" s="28" t="inlineStr">
        <is>
          <t>PIDR acq A25-23</t>
        </is>
      </c>
      <c r="C1106" s="43" t="n">
        <v>382013.1194444445</v>
      </c>
      <c r="D1106" s="28" t="inlineStr">
        <is>
          <t>382 013</t>
        </is>
      </c>
      <c r="E1106" s="44" t="inlineStr">
        <is>
          <t>Oui</t>
        </is>
      </c>
    </row>
    <row r="1107">
      <c r="A1107" s="42" t="n">
        <v>121</v>
      </c>
      <c r="B1107" s="30" t="inlineStr">
        <is>
          <t>PIDR dbo A25-23</t>
        </is>
      </c>
      <c r="C1107" s="45" t="n">
        <v>185524.3389857333</v>
      </c>
      <c r="D1107" s="30" t="inlineStr">
        <is>
          <t>185 524</t>
        </is>
      </c>
      <c r="E1107" s="46" t="inlineStr">
        <is>
          <t>Oui</t>
        </is>
      </c>
    </row>
    <row r="1108">
      <c r="A1108" s="42" t="n">
        <v>121</v>
      </c>
      <c r="B1108" s="28" t="inlineStr">
        <is>
          <t>PIDR âge A25-19</t>
        </is>
      </c>
      <c r="C1108" s="43" t="n">
        <v>43</v>
      </c>
      <c r="D1108" s="28" t="inlineStr">
        <is>
          <t>43</t>
        </is>
      </c>
      <c r="E1108" s="44" t="inlineStr">
        <is>
          <t>Oui</t>
        </is>
      </c>
    </row>
    <row r="1109">
      <c r="A1109" s="42" t="n">
        <v>121</v>
      </c>
      <c r="B1109" s="30" t="inlineStr">
        <is>
          <t>PIDR anc A25-19</t>
        </is>
      </c>
      <c r="C1109" s="45" t="n">
        <v>6.916666666666667</v>
      </c>
      <c r="D1109" s="30" t="inlineStr">
        <is>
          <t>6,92</t>
        </is>
      </c>
      <c r="E1109" s="46" t="inlineStr">
        <is>
          <t>Oui</t>
        </is>
      </c>
    </row>
    <row r="1110">
      <c r="A1110" s="42" t="n">
        <v>121</v>
      </c>
      <c r="B1110" s="28" t="inlineStr">
        <is>
          <t>PIDR sal A25-19</t>
        </is>
      </c>
      <c r="C1110" s="43" t="n">
        <v>180401</v>
      </c>
      <c r="D1110" s="28" t="inlineStr">
        <is>
          <t>180 401</t>
        </is>
      </c>
      <c r="E1110" s="44" t="inlineStr">
        <is>
          <t>Oui</t>
        </is>
      </c>
    </row>
    <row r="1111">
      <c r="A1111" s="42" t="n">
        <v>121</v>
      </c>
      <c r="B1111" s="30" t="inlineStr">
        <is>
          <t>PIDR acq A25-19</t>
        </is>
      </c>
      <c r="C1111" s="45" t="n">
        <v>391620.5041666667</v>
      </c>
      <c r="D1111" s="30" t="inlineStr">
        <is>
          <t>391 621</t>
        </is>
      </c>
      <c r="E1111" s="46" t="inlineStr">
        <is>
          <t>Oui</t>
        </is>
      </c>
    </row>
    <row r="1112">
      <c r="A1112" s="42" t="n">
        <v>121</v>
      </c>
      <c r="B1112" s="28" t="inlineStr">
        <is>
          <t>PIDR dbo A25-19</t>
        </is>
      </c>
      <c r="C1112" s="43" t="n">
        <v>177289.980976481</v>
      </c>
      <c r="D1112" s="28" t="inlineStr">
        <is>
          <t>177 290</t>
        </is>
      </c>
      <c r="E1112" s="44" t="inlineStr">
        <is>
          <t>Oui</t>
        </is>
      </c>
    </row>
    <row r="1113">
      <c r="A1113" s="42" t="n">
        <v>121</v>
      </c>
      <c r="B1113" s="30" t="inlineStr">
        <is>
          <t>PIDR âge A25-17</t>
        </is>
      </c>
      <c r="C1113" s="45" t="n">
        <v>40</v>
      </c>
      <c r="D1113" s="30" t="inlineStr">
        <is>
          <t>40</t>
        </is>
      </c>
      <c r="E1113" s="46" t="inlineStr">
        <is>
          <t>Oui</t>
        </is>
      </c>
    </row>
    <row r="1114">
      <c r="A1114" s="42" t="n">
        <v>121</v>
      </c>
      <c r="B1114" s="28" t="inlineStr">
        <is>
          <t>PIDR anc A25-17</t>
        </is>
      </c>
      <c r="C1114" s="43" t="n">
        <v>7.25</v>
      </c>
      <c r="D1114" s="28" t="inlineStr">
        <is>
          <t>7,25</t>
        </is>
      </c>
      <c r="E1114" s="44" t="inlineStr">
        <is>
          <t>Oui</t>
        </is>
      </c>
    </row>
    <row r="1115">
      <c r="A1115" s="42" t="n">
        <v>121</v>
      </c>
      <c r="B1115" s="30" t="inlineStr">
        <is>
          <t>PIDR sal A25-17</t>
        </is>
      </c>
      <c r="C1115" s="45" t="n">
        <v>200615.5833333333</v>
      </c>
      <c r="D1115" s="30" t="inlineStr">
        <is>
          <t>200 616</t>
        </is>
      </c>
      <c r="E1115" s="46" t="inlineStr">
        <is>
          <t>Oui</t>
        </is>
      </c>
    </row>
    <row r="1116">
      <c r="A1116" s="42" t="n">
        <v>121</v>
      </c>
      <c r="B1116" s="28" t="inlineStr">
        <is>
          <t>PIDR acq A25-17</t>
        </is>
      </c>
      <c r="C1116" s="43" t="n">
        <v>458908.146875</v>
      </c>
      <c r="D1116" s="28" t="inlineStr">
        <is>
          <t>458 908</t>
        </is>
      </c>
      <c r="E1116" s="44" t="inlineStr">
        <is>
          <t>Oui</t>
        </is>
      </c>
    </row>
    <row r="1117">
      <c r="A1117" s="42" t="n">
        <v>121</v>
      </c>
      <c r="B1117" s="30" t="inlineStr">
        <is>
          <t>PIDR dbo A25-17</t>
        </is>
      </c>
      <c r="C1117" s="45" t="n">
        <v>167223.5526085133</v>
      </c>
      <c r="D1117" s="30" t="inlineStr">
        <is>
          <t>167 224</t>
        </is>
      </c>
      <c r="E1117" s="46" t="inlineStr">
        <is>
          <t>Oui</t>
        </is>
      </c>
    </row>
    <row r="1118">
      <c r="A1118" s="42" t="n">
        <v>121</v>
      </c>
      <c r="B1118" s="28" t="inlineStr">
        <is>
          <t>PIDR âge A25-48</t>
        </is>
      </c>
      <c r="C1118" s="43" t="n">
        <v>44</v>
      </c>
      <c r="D1118" s="28" t="inlineStr">
        <is>
          <t>44</t>
        </is>
      </c>
      <c r="E1118" s="44" t="inlineStr">
        <is>
          <t>Oui</t>
        </is>
      </c>
    </row>
    <row r="1119">
      <c r="A1119" s="42" t="n">
        <v>121</v>
      </c>
      <c r="B1119" s="30" t="inlineStr">
        <is>
          <t>PIDR anc A25-48</t>
        </is>
      </c>
      <c r="C1119" s="45" t="n">
        <v>3.166666666666667</v>
      </c>
      <c r="D1119" s="30" t="inlineStr">
        <is>
          <t>3,17</t>
        </is>
      </c>
      <c r="E1119" s="46" t="inlineStr">
        <is>
          <t>Oui</t>
        </is>
      </c>
    </row>
    <row r="1120">
      <c r="A1120" s="42" t="n">
        <v>121</v>
      </c>
      <c r="B1120" s="28" t="inlineStr">
        <is>
          <t>PIDR sal A25-48</t>
        </is>
      </c>
      <c r="C1120" s="43" t="n">
        <v>292815.3333333333</v>
      </c>
      <c r="D1120" s="28" t="inlineStr">
        <is>
          <t>292 815</t>
        </is>
      </c>
      <c r="E1120" s="44" t="inlineStr">
        <is>
          <t>Oui</t>
        </is>
      </c>
    </row>
    <row r="1121">
      <c r="A1121" s="42" t="n">
        <v>121</v>
      </c>
      <c r="B1121" s="30" t="inlineStr">
        <is>
          <t>PIDR acq A25-48</t>
        </is>
      </c>
      <c r="C1121" s="45" t="n">
        <v>278174.5666666667</v>
      </c>
      <c r="D1121" s="30" t="inlineStr">
        <is>
          <t>278 175</t>
        </is>
      </c>
      <c r="E1121" s="46" t="inlineStr">
        <is>
          <t>Oui</t>
        </is>
      </c>
    </row>
    <row r="1122">
      <c r="A1122" s="42" t="n">
        <v>121</v>
      </c>
      <c r="B1122" s="28" t="inlineStr">
        <is>
          <t>PIDR dbo A25-48</t>
        </is>
      </c>
      <c r="C1122" s="43" t="n">
        <v>136961.7323540974</v>
      </c>
      <c r="D1122" s="28" t="inlineStr">
        <is>
          <t>136 962</t>
        </is>
      </c>
      <c r="E1122" s="44" t="inlineStr">
        <is>
          <t>Oui</t>
        </is>
      </c>
    </row>
    <row r="1123">
      <c r="A1123" s="42" t="n">
        <v>121</v>
      </c>
      <c r="B1123" s="30" t="inlineStr">
        <is>
          <t>PIDR âge A25-38</t>
        </is>
      </c>
      <c r="C1123" s="45" t="n">
        <v>28</v>
      </c>
      <c r="D1123" s="30" t="inlineStr">
        <is>
          <t>28</t>
        </is>
      </c>
      <c r="E1123" s="46" t="inlineStr">
        <is>
          <t>Oui</t>
        </is>
      </c>
    </row>
    <row r="1124">
      <c r="A1124" s="42" t="n">
        <v>121</v>
      </c>
      <c r="B1124" s="28" t="inlineStr">
        <is>
          <t>PIDR anc A25-38</t>
        </is>
      </c>
      <c r="C1124" s="43" t="n">
        <v>3.583333333333333</v>
      </c>
      <c r="D1124" s="28" t="inlineStr">
        <is>
          <t>3,58</t>
        </is>
      </c>
      <c r="E1124" s="44" t="inlineStr">
        <is>
          <t>Oui</t>
        </is>
      </c>
    </row>
    <row r="1125">
      <c r="A1125" s="42" t="n">
        <v>121</v>
      </c>
      <c r="B1125" s="30" t="inlineStr">
        <is>
          <t>PIDR sal A25-38</t>
        </is>
      </c>
      <c r="C1125" s="45" t="n">
        <v>235769.1666666667</v>
      </c>
      <c r="D1125" s="30" t="inlineStr">
        <is>
          <t>235 769</t>
        </is>
      </c>
      <c r="E1125" s="46" t="inlineStr">
        <is>
          <t>Oui</t>
        </is>
      </c>
    </row>
    <row r="1126">
      <c r="A1126" s="42" t="n">
        <v>121</v>
      </c>
      <c r="B1126" s="28" t="inlineStr">
        <is>
          <t>PIDR acq A25-38</t>
        </is>
      </c>
      <c r="C1126" s="43" t="n">
        <v>253451.8541666667</v>
      </c>
      <c r="D1126" s="28" t="inlineStr">
        <is>
          <t>253 452</t>
        </is>
      </c>
      <c r="E1126" s="44" t="inlineStr">
        <is>
          <t>Oui</t>
        </is>
      </c>
    </row>
    <row r="1127">
      <c r="A1127" s="42" t="n">
        <v>121</v>
      </c>
      <c r="B1127" s="30" t="inlineStr">
        <is>
          <t>PIDR dbo A25-38</t>
        </is>
      </c>
      <c r="C1127" s="45" t="n">
        <v>40359.88499851824</v>
      </c>
      <c r="D1127" s="30" t="inlineStr">
        <is>
          <t>40 360</t>
        </is>
      </c>
      <c r="E1127" s="46" t="inlineStr">
        <is>
          <t>Oui</t>
        </is>
      </c>
    </row>
    <row r="1128">
      <c r="A1128" s="42" t="n">
        <v>121</v>
      </c>
      <c r="B1128" s="28" t="inlineStr">
        <is>
          <t>PIDR top Direction Générale (2/2)</t>
        </is>
      </c>
      <c r="C1128" s="43" t="n">
        <v>338418.3341390833</v>
      </c>
      <c r="D1128" s="28" t="inlineStr">
        <is>
          <t>338 418 FCFA</t>
        </is>
      </c>
      <c r="E1128" s="44" t="inlineStr">
        <is>
          <t>Oui</t>
        </is>
      </c>
    </row>
    <row r="1129">
      <c r="A1129" s="42" t="n">
        <v>121</v>
      </c>
      <c r="B1129" s="30" t="inlineStr">
        <is>
          <t>PIDR top anc Direction Générale (2/2)</t>
        </is>
      </c>
      <c r="C1129" s="45" t="n">
        <v>7.916666666666667</v>
      </c>
      <c r="D1129" s="30" t="inlineStr">
        <is>
          <t>7,92</t>
        </is>
      </c>
      <c r="E1129" s="46" t="inlineStr">
        <is>
          <t>Oui</t>
        </is>
      </c>
    </row>
    <row r="1130">
      <c r="A1130" s="42" t="n">
        <v>122</v>
      </c>
      <c r="B1130" s="28" t="inlineStr">
        <is>
          <t>PIDR n CMP (1/3)</t>
        </is>
      </c>
      <c r="C1130" s="43" t="n">
        <v>13</v>
      </c>
      <c r="D1130" s="28" t="inlineStr">
        <is>
          <t>13</t>
        </is>
      </c>
      <c r="E1130" s="44" t="inlineStr">
        <is>
          <t>Oui</t>
        </is>
      </c>
    </row>
    <row r="1131">
      <c r="A1131" s="42" t="n">
        <v>122</v>
      </c>
      <c r="B1131" s="30" t="inlineStr">
        <is>
          <t>PIDR somme CMP (1/3)</t>
        </is>
      </c>
      <c r="C1131" s="45" t="n">
        <v>5160373.733078005</v>
      </c>
      <c r="D1131" s="30" t="inlineStr">
        <is>
          <t>5 160 374 FCFA</t>
        </is>
      </c>
      <c r="E1131" s="46" t="inlineStr">
        <is>
          <t>Oui</t>
        </is>
      </c>
    </row>
    <row r="1132">
      <c r="A1132" s="42" t="n">
        <v>122</v>
      </c>
      <c r="B1132" s="28" t="inlineStr">
        <is>
          <t>PIDR acq somme CMP (1/3)</t>
        </is>
      </c>
      <c r="C1132" s="43" t="n">
        <v>8217341.063888888</v>
      </c>
      <c r="D1132" s="28" t="inlineStr">
        <is>
          <t>8 217 341 FCFA</t>
        </is>
      </c>
      <c r="E1132" s="44" t="inlineStr">
        <is>
          <t>Oui</t>
        </is>
      </c>
    </row>
    <row r="1133">
      <c r="A1133" s="42" t="n">
        <v>122</v>
      </c>
      <c r="B1133" s="30" t="inlineStr">
        <is>
          <t>PIDR âge A25-24</t>
        </is>
      </c>
      <c r="C1133" s="45" t="n">
        <v>52</v>
      </c>
      <c r="D1133" s="30" t="inlineStr">
        <is>
          <t>52</t>
        </is>
      </c>
      <c r="E1133" s="46" t="inlineStr">
        <is>
          <t>Oui</t>
        </is>
      </c>
    </row>
    <row r="1134">
      <c r="A1134" s="42" t="n">
        <v>122</v>
      </c>
      <c r="B1134" s="28" t="inlineStr">
        <is>
          <t>PIDR anc A25-24</t>
        </is>
      </c>
      <c r="C1134" s="43" t="n">
        <v>6.833333333333333</v>
      </c>
      <c r="D1134" s="28" t="inlineStr">
        <is>
          <t>6,83</t>
        </is>
      </c>
      <c r="E1134" s="44" t="inlineStr">
        <is>
          <t>Oui</t>
        </is>
      </c>
    </row>
    <row r="1135">
      <c r="A1135" s="42" t="n">
        <v>122</v>
      </c>
      <c r="B1135" s="30" t="inlineStr">
        <is>
          <t>PIDR sal A25-24</t>
        </is>
      </c>
      <c r="C1135" s="45" t="n">
        <v>649852.6666666666</v>
      </c>
      <c r="D1135" s="30" t="inlineStr">
        <is>
          <t>649 853</t>
        </is>
      </c>
      <c r="E1135" s="46" t="inlineStr">
        <is>
          <t>Oui</t>
        </is>
      </c>
    </row>
    <row r="1136">
      <c r="A1136" s="42" t="n">
        <v>122</v>
      </c>
      <c r="B1136" s="28" t="inlineStr">
        <is>
          <t>PIDR acq A25-24</t>
        </is>
      </c>
      <c r="C1136" s="43" t="n">
        <v>1391767.794444444</v>
      </c>
      <c r="D1136" s="28" t="inlineStr">
        <is>
          <t>1 391 768</t>
        </is>
      </c>
      <c r="E1136" s="44" t="inlineStr">
        <is>
          <t>Oui</t>
        </is>
      </c>
    </row>
    <row r="1137">
      <c r="A1137" s="42" t="n">
        <v>122</v>
      </c>
      <c r="B1137" s="30" t="inlineStr">
        <is>
          <t>PIDR dbo A25-24</t>
        </is>
      </c>
      <c r="C1137" s="45" t="n">
        <v>1138785.507433596</v>
      </c>
      <c r="D1137" s="30" t="inlineStr">
        <is>
          <t>1 138 786</t>
        </is>
      </c>
      <c r="E1137" s="46" t="inlineStr">
        <is>
          <t>Oui</t>
        </is>
      </c>
    </row>
    <row r="1138">
      <c r="A1138" s="42" t="n">
        <v>122</v>
      </c>
      <c r="B1138" s="28" t="inlineStr">
        <is>
          <t>PIDR âge A25-28</t>
        </is>
      </c>
      <c r="C1138" s="43" t="n">
        <v>55</v>
      </c>
      <c r="D1138" s="28" t="inlineStr">
        <is>
          <t>55</t>
        </is>
      </c>
      <c r="E1138" s="44" t="inlineStr">
        <is>
          <t>Oui</t>
        </is>
      </c>
    </row>
    <row r="1139">
      <c r="A1139" s="42" t="n">
        <v>122</v>
      </c>
      <c r="B1139" s="30" t="inlineStr">
        <is>
          <t>PIDR anc A25-28</t>
        </is>
      </c>
      <c r="C1139" s="45" t="n">
        <v>4.416666666666667</v>
      </c>
      <c r="D1139" s="30" t="inlineStr">
        <is>
          <t>4,42</t>
        </is>
      </c>
      <c r="E1139" s="46" t="inlineStr">
        <is>
          <t>Oui</t>
        </is>
      </c>
    </row>
    <row r="1140">
      <c r="A1140" s="42" t="n">
        <v>122</v>
      </c>
      <c r="B1140" s="28" t="inlineStr">
        <is>
          <t>PIDR sal A25-28</t>
        </is>
      </c>
      <c r="C1140" s="43" t="n">
        <v>834629.5</v>
      </c>
      <c r="D1140" s="28" t="inlineStr">
        <is>
          <t>834 630</t>
        </is>
      </c>
      <c r="E1140" s="44" t="inlineStr">
        <is>
          <t>Oui</t>
        </is>
      </c>
    </row>
    <row r="1141">
      <c r="A1141" s="42" t="n">
        <v>122</v>
      </c>
      <c r="B1141" s="30" t="inlineStr">
        <is>
          <t>PIDR acq A25-28</t>
        </is>
      </c>
      <c r="C1141" s="45" t="n">
        <v>1105884.0875</v>
      </c>
      <c r="D1141" s="30" t="inlineStr">
        <is>
          <t>1 105 884</t>
        </is>
      </c>
      <c r="E1141" s="46" t="inlineStr">
        <is>
          <t>Oui</t>
        </is>
      </c>
    </row>
    <row r="1142">
      <c r="A1142" s="42" t="n">
        <v>122</v>
      </c>
      <c r="B1142" s="28" t="inlineStr">
        <is>
          <t>PIDR dbo A25-28</t>
        </is>
      </c>
      <c r="C1142" s="43" t="n">
        <v>1105884.0875</v>
      </c>
      <c r="D1142" s="28" t="inlineStr">
        <is>
          <t>1 105 884</t>
        </is>
      </c>
      <c r="E1142" s="44" t="inlineStr">
        <is>
          <t>Oui</t>
        </is>
      </c>
    </row>
    <row r="1143">
      <c r="A1143" s="42" t="n">
        <v>122</v>
      </c>
      <c r="B1143" s="30" t="inlineStr">
        <is>
          <t>PIDR âge A25-12</t>
        </is>
      </c>
      <c r="C1143" s="45" t="n">
        <v>48</v>
      </c>
      <c r="D1143" s="30" t="inlineStr">
        <is>
          <t>48</t>
        </is>
      </c>
      <c r="E1143" s="46" t="inlineStr">
        <is>
          <t>Oui</t>
        </is>
      </c>
    </row>
    <row r="1144">
      <c r="A1144" s="42" t="n">
        <v>122</v>
      </c>
      <c r="B1144" s="28" t="inlineStr">
        <is>
          <t>PIDR anc A25-12</t>
        </is>
      </c>
      <c r="C1144" s="43" t="n">
        <v>9.916666666666666</v>
      </c>
      <c r="D1144" s="28" t="inlineStr">
        <is>
          <t>9,92</t>
        </is>
      </c>
      <c r="E1144" s="44" t="inlineStr">
        <is>
          <t>Oui</t>
        </is>
      </c>
    </row>
    <row r="1145">
      <c r="A1145" s="42" t="n">
        <v>122</v>
      </c>
      <c r="B1145" s="30" t="inlineStr">
        <is>
          <t>PIDR sal A25-12</t>
        </is>
      </c>
      <c r="C1145" s="45" t="n">
        <v>214476.1666666667</v>
      </c>
      <c r="D1145" s="30" t="inlineStr">
        <is>
          <t>214 476</t>
        </is>
      </c>
      <c r="E1145" s="46" t="inlineStr">
        <is>
          <t>Oui</t>
        </is>
      </c>
    </row>
    <row r="1146">
      <c r="A1146" s="42" t="n">
        <v>122</v>
      </c>
      <c r="B1146" s="28" t="inlineStr">
        <is>
          <t>PIDR acq A25-12</t>
        </is>
      </c>
      <c r="C1146" s="43" t="n">
        <v>690791.9868055555</v>
      </c>
      <c r="D1146" s="28" t="inlineStr">
        <is>
          <t>690 792</t>
        </is>
      </c>
      <c r="E1146" s="44" t="inlineStr">
        <is>
          <t>Oui</t>
        </is>
      </c>
    </row>
    <row r="1147">
      <c r="A1147" s="42" t="n">
        <v>122</v>
      </c>
      <c r="B1147" s="30" t="inlineStr">
        <is>
          <t>PIDR dbo A25-12</t>
        </is>
      </c>
      <c r="C1147" s="45" t="n">
        <v>437937.8285138508</v>
      </c>
      <c r="D1147" s="30" t="inlineStr">
        <is>
          <t>437 938</t>
        </is>
      </c>
      <c r="E1147" s="46" t="inlineStr">
        <is>
          <t>Oui</t>
        </is>
      </c>
    </row>
    <row r="1148">
      <c r="A1148" s="42" t="n">
        <v>122</v>
      </c>
      <c r="B1148" s="28" t="inlineStr">
        <is>
          <t>PIDR âge A25-31</t>
        </is>
      </c>
      <c r="C1148" s="43" t="n">
        <v>35</v>
      </c>
      <c r="D1148" s="28" t="inlineStr">
        <is>
          <t>35</t>
        </is>
      </c>
      <c r="E1148" s="44" t="inlineStr">
        <is>
          <t>Oui</t>
        </is>
      </c>
    </row>
    <row r="1149">
      <c r="A1149" s="42" t="n">
        <v>122</v>
      </c>
      <c r="B1149" s="30" t="inlineStr">
        <is>
          <t>PIDR anc A25-31</t>
        </is>
      </c>
      <c r="C1149" s="45" t="n">
        <v>3.583333333333333</v>
      </c>
      <c r="D1149" s="30" t="inlineStr">
        <is>
          <t>3,58</t>
        </is>
      </c>
      <c r="E1149" s="46" t="inlineStr">
        <is>
          <t>Oui</t>
        </is>
      </c>
    </row>
    <row r="1150">
      <c r="A1150" s="42" t="n">
        <v>122</v>
      </c>
      <c r="B1150" s="28" t="inlineStr">
        <is>
          <t>PIDR sal A25-31</t>
        </is>
      </c>
      <c r="C1150" s="43" t="n">
        <v>1473448.583333333</v>
      </c>
      <c r="D1150" s="28" t="inlineStr">
        <is>
          <t>1 473 449</t>
        </is>
      </c>
      <c r="E1150" s="44" t="inlineStr">
        <is>
          <t>Oui</t>
        </is>
      </c>
    </row>
    <row r="1151">
      <c r="A1151" s="42" t="n">
        <v>122</v>
      </c>
      <c r="B1151" s="30" t="inlineStr">
        <is>
          <t>PIDR acq A25-31</t>
        </is>
      </c>
      <c r="C1151" s="45" t="n">
        <v>1583957.227083333</v>
      </c>
      <c r="D1151" s="30" t="inlineStr">
        <is>
          <t>1 583 957</t>
        </is>
      </c>
      <c r="E1151" s="46" t="inlineStr">
        <is>
          <t>Oui</t>
        </is>
      </c>
    </row>
    <row r="1152">
      <c r="A1152" s="42" t="n">
        <v>122</v>
      </c>
      <c r="B1152" s="28" t="inlineStr">
        <is>
          <t>PIDR dbo A25-31</t>
        </is>
      </c>
      <c r="C1152" s="43" t="n">
        <v>418354.7427754752</v>
      </c>
      <c r="D1152" s="28" t="inlineStr">
        <is>
          <t>418 355</t>
        </is>
      </c>
      <c r="E1152" s="44" t="inlineStr">
        <is>
          <t>Oui</t>
        </is>
      </c>
    </row>
    <row r="1153">
      <c r="A1153" s="42" t="n">
        <v>122</v>
      </c>
      <c r="B1153" s="30" t="inlineStr">
        <is>
          <t>PIDR âge A25-13</t>
        </is>
      </c>
      <c r="C1153" s="45" t="n">
        <v>47</v>
      </c>
      <c r="D1153" s="30" t="inlineStr">
        <is>
          <t>47</t>
        </is>
      </c>
      <c r="E1153" s="46" t="inlineStr">
        <is>
          <t>Oui</t>
        </is>
      </c>
    </row>
    <row r="1154">
      <c r="A1154" s="42" t="n">
        <v>122</v>
      </c>
      <c r="B1154" s="28" t="inlineStr">
        <is>
          <t>PIDR anc A25-13</t>
        </is>
      </c>
      <c r="C1154" s="43" t="n">
        <v>9.916666666666666</v>
      </c>
      <c r="D1154" s="28" t="inlineStr">
        <is>
          <t>9,92</t>
        </is>
      </c>
      <c r="E1154" s="44" t="inlineStr">
        <is>
          <t>Oui</t>
        </is>
      </c>
    </row>
    <row r="1155">
      <c r="A1155" s="42" t="n">
        <v>122</v>
      </c>
      <c r="B1155" s="30" t="inlineStr">
        <is>
          <t>PIDR sal A25-13</t>
        </is>
      </c>
      <c r="C1155" s="45" t="n">
        <v>185791.5833333333</v>
      </c>
      <c r="D1155" s="30" t="inlineStr">
        <is>
          <t>185 792</t>
        </is>
      </c>
      <c r="E1155" s="46" t="inlineStr">
        <is>
          <t>Oui</t>
        </is>
      </c>
    </row>
    <row r="1156">
      <c r="A1156" s="42" t="n">
        <v>122</v>
      </c>
      <c r="B1156" s="28" t="inlineStr">
        <is>
          <t>PIDR acq A25-13</t>
        </is>
      </c>
      <c r="C1156" s="43" t="n">
        <v>598403.7246527778</v>
      </c>
      <c r="D1156" s="28" t="inlineStr">
        <is>
          <t>598 404</t>
        </is>
      </c>
      <c r="E1156" s="44" t="inlineStr">
        <is>
          <t>Oui</t>
        </is>
      </c>
    </row>
    <row r="1157">
      <c r="A1157" s="42" t="n">
        <v>122</v>
      </c>
      <c r="B1157" s="30" t="inlineStr">
        <is>
          <t>PIDR dbo A25-13</t>
        </is>
      </c>
      <c r="C1157" s="45" t="n">
        <v>353612.0544964919</v>
      </c>
      <c r="D1157" s="30" t="inlineStr">
        <is>
          <t>353 612</t>
        </is>
      </c>
      <c r="E1157" s="46" t="inlineStr">
        <is>
          <t>Oui</t>
        </is>
      </c>
    </row>
    <row r="1158">
      <c r="A1158" s="42" t="n">
        <v>122</v>
      </c>
      <c r="B1158" s="28" t="inlineStr">
        <is>
          <t>PIDR âge A25-14</t>
        </is>
      </c>
      <c r="C1158" s="43" t="n">
        <v>47</v>
      </c>
      <c r="D1158" s="28" t="inlineStr">
        <is>
          <t>47</t>
        </is>
      </c>
      <c r="E1158" s="44" t="inlineStr">
        <is>
          <t>Oui</t>
        </is>
      </c>
    </row>
    <row r="1159">
      <c r="A1159" s="42" t="n">
        <v>122</v>
      </c>
      <c r="B1159" s="30" t="inlineStr">
        <is>
          <t>PIDR anc A25-14</t>
        </is>
      </c>
      <c r="C1159" s="45" t="n">
        <v>9.916666666666666</v>
      </c>
      <c r="D1159" s="30" t="inlineStr">
        <is>
          <t>9,92</t>
        </is>
      </c>
      <c r="E1159" s="46" t="inlineStr">
        <is>
          <t>Oui</t>
        </is>
      </c>
    </row>
    <row r="1160">
      <c r="A1160" s="42" t="n">
        <v>122</v>
      </c>
      <c r="B1160" s="28" t="inlineStr">
        <is>
          <t>PIDR sal A25-14</t>
        </is>
      </c>
      <c r="C1160" s="43" t="n">
        <v>175001.9166666667</v>
      </c>
      <c r="D1160" s="28" t="inlineStr">
        <is>
          <t>175 002</t>
        </is>
      </c>
      <c r="E1160" s="44" t="inlineStr">
        <is>
          <t>Oui</t>
        </is>
      </c>
    </row>
    <row r="1161">
      <c r="A1161" s="42" t="n">
        <v>122</v>
      </c>
      <c r="B1161" s="30" t="inlineStr">
        <is>
          <t>PIDR acq A25-14</t>
        </is>
      </c>
      <c r="C1161" s="45" t="n">
        <v>563652.0065972222</v>
      </c>
      <c r="D1161" s="30" t="inlineStr">
        <is>
          <t>563 652</t>
        </is>
      </c>
      <c r="E1161" s="46" t="inlineStr">
        <is>
          <t>Oui</t>
        </is>
      </c>
    </row>
    <row r="1162">
      <c r="A1162" s="42" t="n">
        <v>122</v>
      </c>
      <c r="B1162" s="28" t="inlineStr">
        <is>
          <t>PIDR dbo A25-14</t>
        </is>
      </c>
      <c r="C1162" s="43" t="n">
        <v>333076.3761364713</v>
      </c>
      <c r="D1162" s="28" t="inlineStr">
        <is>
          <t>333 076</t>
        </is>
      </c>
      <c r="E1162" s="44" t="inlineStr">
        <is>
          <t>Oui</t>
        </is>
      </c>
    </row>
    <row r="1163">
      <c r="A1163" s="42" t="n">
        <v>122</v>
      </c>
      <c r="B1163" s="30" t="inlineStr">
        <is>
          <t>PIDR âge A25-36</t>
        </is>
      </c>
      <c r="C1163" s="45" t="n">
        <v>49</v>
      </c>
      <c r="D1163" s="30" t="inlineStr">
        <is>
          <t>49</t>
        </is>
      </c>
      <c r="E1163" s="46" t="inlineStr">
        <is>
          <t>Oui</t>
        </is>
      </c>
    </row>
    <row r="1164">
      <c r="A1164" s="42" t="n">
        <v>122</v>
      </c>
      <c r="B1164" s="28" t="inlineStr">
        <is>
          <t>PIDR anc A25-36</t>
        </is>
      </c>
      <c r="C1164" s="43" t="n">
        <v>3.583333333333333</v>
      </c>
      <c r="D1164" s="28" t="inlineStr">
        <is>
          <t>3,58</t>
        </is>
      </c>
      <c r="E1164" s="44" t="inlineStr">
        <is>
          <t>Oui</t>
        </is>
      </c>
    </row>
    <row r="1165">
      <c r="A1165" s="42" t="n">
        <v>122</v>
      </c>
      <c r="B1165" s="30" t="inlineStr">
        <is>
          <t>PIDR sal A25-36</t>
        </is>
      </c>
      <c r="C1165" s="45" t="n">
        <v>385406.5833333333</v>
      </c>
      <c r="D1165" s="30" t="inlineStr">
        <is>
          <t>385 407</t>
        </is>
      </c>
      <c r="E1165" s="46" t="inlineStr">
        <is>
          <t>Oui</t>
        </is>
      </c>
    </row>
    <row r="1166">
      <c r="A1166" s="42" t="n">
        <v>122</v>
      </c>
      <c r="B1166" s="28" t="inlineStr">
        <is>
          <t>PIDR acq A25-36</t>
        </is>
      </c>
      <c r="C1166" s="43" t="n">
        <v>414312.0770833333</v>
      </c>
      <c r="D1166" s="28" t="inlineStr">
        <is>
          <t>414 312</t>
        </is>
      </c>
      <c r="E1166" s="44" t="inlineStr">
        <is>
          <t>Oui</t>
        </is>
      </c>
    </row>
    <row r="1167">
      <c r="A1167" s="42" t="n">
        <v>122</v>
      </c>
      <c r="B1167" s="30" t="inlineStr">
        <is>
          <t>PIDR dbo A25-36</t>
        </is>
      </c>
      <c r="C1167" s="45" t="n">
        <v>279828.3453367024</v>
      </c>
      <c r="D1167" s="30" t="inlineStr">
        <is>
          <t>279 828</t>
        </is>
      </c>
      <c r="E1167" s="46" t="inlineStr">
        <is>
          <t>Oui</t>
        </is>
      </c>
    </row>
    <row r="1168">
      <c r="A1168" s="42" t="n">
        <v>122</v>
      </c>
      <c r="B1168" s="28" t="inlineStr">
        <is>
          <t>PIDR âge A25-25</t>
        </is>
      </c>
      <c r="C1168" s="43" t="n">
        <v>45</v>
      </c>
      <c r="D1168" s="28" t="inlineStr">
        <is>
          <t>45</t>
        </is>
      </c>
      <c r="E1168" s="44" t="inlineStr">
        <is>
          <t>Oui</t>
        </is>
      </c>
    </row>
    <row r="1169">
      <c r="A1169" s="42" t="n">
        <v>122</v>
      </c>
      <c r="B1169" s="30" t="inlineStr">
        <is>
          <t>PIDR anc A25-25</t>
        </is>
      </c>
      <c r="C1169" s="45" t="n">
        <v>6.833333333333333</v>
      </c>
      <c r="D1169" s="30" t="inlineStr">
        <is>
          <t>6,83</t>
        </is>
      </c>
      <c r="E1169" s="46" t="inlineStr">
        <is>
          <t>Oui</t>
        </is>
      </c>
    </row>
    <row r="1170">
      <c r="A1170" s="42" t="n">
        <v>122</v>
      </c>
      <c r="B1170" s="28" t="inlineStr">
        <is>
          <t>PIDR sal A25-25</t>
        </is>
      </c>
      <c r="C1170" s="43" t="n">
        <v>206709.1666666667</v>
      </c>
      <c r="D1170" s="28" t="inlineStr">
        <is>
          <t>206 709</t>
        </is>
      </c>
      <c r="E1170" s="44" t="inlineStr">
        <is>
          <t>Oui</t>
        </is>
      </c>
    </row>
    <row r="1171">
      <c r="A1171" s="42" t="n">
        <v>122</v>
      </c>
      <c r="B1171" s="30" t="inlineStr">
        <is>
          <t>PIDR acq A25-25</t>
        </is>
      </c>
      <c r="C1171" s="45" t="n">
        <v>442702.1319444444</v>
      </c>
      <c r="D1171" s="30" t="inlineStr">
        <is>
          <t>442 702</t>
        </is>
      </c>
      <c r="E1171" s="46" t="inlineStr">
        <is>
          <t>Oui</t>
        </is>
      </c>
    </row>
    <row r="1172">
      <c r="A1172" s="42" t="n">
        <v>122</v>
      </c>
      <c r="B1172" s="28" t="inlineStr">
        <is>
          <t>PIDR dbo A25-25</t>
        </is>
      </c>
      <c r="C1172" s="43" t="n">
        <v>230692.4189200432</v>
      </c>
      <c r="D1172" s="28" t="inlineStr">
        <is>
          <t>230 692</t>
        </is>
      </c>
      <c r="E1172" s="44" t="inlineStr">
        <is>
          <t>Oui</t>
        </is>
      </c>
    </row>
    <row r="1173">
      <c r="A1173" s="42" t="n">
        <v>122</v>
      </c>
      <c r="B1173" s="30" t="inlineStr">
        <is>
          <t>PIDR âge A25-20</t>
        </is>
      </c>
      <c r="C1173" s="45" t="n">
        <v>47</v>
      </c>
      <c r="D1173" s="30" t="inlineStr">
        <is>
          <t>47</t>
        </is>
      </c>
      <c r="E1173" s="46" t="inlineStr">
        <is>
          <t>Oui</t>
        </is>
      </c>
    </row>
    <row r="1174">
      <c r="A1174" s="42" t="n">
        <v>122</v>
      </c>
      <c r="B1174" s="28" t="inlineStr">
        <is>
          <t>PIDR anc A25-20</t>
        </is>
      </c>
      <c r="C1174" s="43" t="n">
        <v>6.916666666666667</v>
      </c>
      <c r="D1174" s="28" t="inlineStr">
        <is>
          <t>6,92</t>
        </is>
      </c>
      <c r="E1174" s="44" t="inlineStr">
        <is>
          <t>Oui</t>
        </is>
      </c>
    </row>
    <row r="1175">
      <c r="A1175" s="42" t="n">
        <v>122</v>
      </c>
      <c r="B1175" s="30" t="inlineStr">
        <is>
          <t>PIDR sal A25-20</t>
        </is>
      </c>
      <c r="C1175" s="45" t="n">
        <v>164533.8333333333</v>
      </c>
      <c r="D1175" s="30" t="inlineStr">
        <is>
          <t>164 534</t>
        </is>
      </c>
      <c r="E1175" s="46" t="inlineStr">
        <is>
          <t>Oui</t>
        </is>
      </c>
    </row>
    <row r="1176">
      <c r="A1176" s="42" t="n">
        <v>122</v>
      </c>
      <c r="B1176" s="28" t="inlineStr">
        <is>
          <t>PIDR acq A25-20</t>
        </is>
      </c>
      <c r="C1176" s="43" t="n">
        <v>357175.5298611111</v>
      </c>
      <c r="D1176" s="28" t="inlineStr">
        <is>
          <t>357 176</t>
        </is>
      </c>
      <c r="E1176" s="44" t="inlineStr">
        <is>
          <t>Oui</t>
        </is>
      </c>
    </row>
    <row r="1177">
      <c r="A1177" s="42" t="n">
        <v>122</v>
      </c>
      <c r="B1177" s="30" t="inlineStr">
        <is>
          <t>PIDR dbo A25-20</t>
        </is>
      </c>
      <c r="C1177" s="45" t="n">
        <v>213283.0829452152</v>
      </c>
      <c r="D1177" s="30" t="inlineStr">
        <is>
          <t>213 283</t>
        </is>
      </c>
      <c r="E1177" s="46" t="inlineStr">
        <is>
          <t>Oui</t>
        </is>
      </c>
    </row>
    <row r="1178">
      <c r="A1178" s="42" t="n">
        <v>122</v>
      </c>
      <c r="B1178" s="28" t="inlineStr">
        <is>
          <t>PIDR âge A25-55</t>
        </is>
      </c>
      <c r="C1178" s="43" t="n">
        <v>50</v>
      </c>
      <c r="D1178" s="28" t="inlineStr">
        <is>
          <t>50</t>
        </is>
      </c>
      <c r="E1178" s="44" t="inlineStr">
        <is>
          <t>Oui</t>
        </is>
      </c>
    </row>
    <row r="1179">
      <c r="A1179" s="42" t="n">
        <v>122</v>
      </c>
      <c r="B1179" s="30" t="inlineStr">
        <is>
          <t>PIDR anc A25-55</t>
        </is>
      </c>
      <c r="C1179" s="45" t="n">
        <v>2.333333333333333</v>
      </c>
      <c r="D1179" s="30" t="inlineStr">
        <is>
          <t>2,33</t>
        </is>
      </c>
      <c r="E1179" s="46" t="inlineStr">
        <is>
          <t>Oui</t>
        </is>
      </c>
    </row>
    <row r="1180">
      <c r="A1180" s="42" t="n">
        <v>122</v>
      </c>
      <c r="B1180" s="28" t="inlineStr">
        <is>
          <t>PIDR sal A25-55</t>
        </is>
      </c>
      <c r="C1180" s="43" t="n">
        <v>375286.0833333333</v>
      </c>
      <c r="D1180" s="28" t="inlineStr">
        <is>
          <t>375 286</t>
        </is>
      </c>
      <c r="E1180" s="44" t="inlineStr">
        <is>
          <t>Oui</t>
        </is>
      </c>
    </row>
    <row r="1181">
      <c r="A1181" s="42" t="n">
        <v>122</v>
      </c>
      <c r="B1181" s="30" t="inlineStr">
        <is>
          <t>PIDR acq A25-55</t>
        </is>
      </c>
      <c r="C1181" s="45" t="n">
        <v>262700.2583333334</v>
      </c>
      <c r="D1181" s="30" t="inlineStr">
        <is>
          <t>262 700</t>
        </is>
      </c>
      <c r="E1181" s="46" t="inlineStr">
        <is>
          <t>Oui</t>
        </is>
      </c>
    </row>
    <row r="1182">
      <c r="A1182" s="42" t="n">
        <v>122</v>
      </c>
      <c r="B1182" s="28" t="inlineStr">
        <is>
          <t>PIDR dbo A25-55</t>
        </is>
      </c>
      <c r="C1182" s="43" t="n">
        <v>187014.6252110357</v>
      </c>
      <c r="D1182" s="28" t="inlineStr">
        <is>
          <t>187 015</t>
        </is>
      </c>
      <c r="E1182" s="44" t="inlineStr">
        <is>
          <t>Oui</t>
        </is>
      </c>
    </row>
    <row r="1183">
      <c r="A1183" s="42" t="n">
        <v>122</v>
      </c>
      <c r="B1183" s="30" t="inlineStr">
        <is>
          <t>PIDR âge A25-40</t>
        </is>
      </c>
      <c r="C1183" s="45" t="n">
        <v>47</v>
      </c>
      <c r="D1183" s="30" t="inlineStr">
        <is>
          <t>47</t>
        </is>
      </c>
      <c r="E1183" s="46" t="inlineStr">
        <is>
          <t>Oui</t>
        </is>
      </c>
    </row>
    <row r="1184">
      <c r="A1184" s="42" t="n">
        <v>122</v>
      </c>
      <c r="B1184" s="28" t="inlineStr">
        <is>
          <t>PIDR anc A25-40</t>
        </is>
      </c>
      <c r="C1184" s="43" t="n">
        <v>3.583333333333333</v>
      </c>
      <c r="D1184" s="28" t="inlineStr">
        <is>
          <t>3,58</t>
        </is>
      </c>
      <c r="E1184" s="44" t="inlineStr">
        <is>
          <t>Oui</t>
        </is>
      </c>
    </row>
    <row r="1185">
      <c r="A1185" s="42" t="n">
        <v>122</v>
      </c>
      <c r="B1185" s="30" t="inlineStr">
        <is>
          <t>PIDR sal A25-40</t>
        </is>
      </c>
      <c r="C1185" s="45" t="n">
        <v>256677.1666666667</v>
      </c>
      <c r="D1185" s="30" t="inlineStr">
        <is>
          <t>256 677</t>
        </is>
      </c>
      <c r="E1185" s="46" t="inlineStr">
        <is>
          <t>Oui</t>
        </is>
      </c>
    </row>
    <row r="1186">
      <c r="A1186" s="42" t="n">
        <v>122</v>
      </c>
      <c r="B1186" s="28" t="inlineStr">
        <is>
          <t>PIDR acq A25-40</t>
        </is>
      </c>
      <c r="C1186" s="43" t="n">
        <v>275927.9541666667</v>
      </c>
      <c r="D1186" s="28" t="inlineStr">
        <is>
          <t>275 928</t>
        </is>
      </c>
      <c r="E1186" s="44" t="inlineStr">
        <is>
          <t>Oui</t>
        </is>
      </c>
    </row>
    <row r="1187">
      <c r="A1187" s="42" t="n">
        <v>122</v>
      </c>
      <c r="B1187" s="30" t="inlineStr">
        <is>
          <t>PIDR dbo A25-40</t>
        </is>
      </c>
      <c r="C1187" s="45" t="n">
        <v>165245.1066503808</v>
      </c>
      <c r="D1187" s="30" t="inlineStr">
        <is>
          <t>165 245</t>
        </is>
      </c>
      <c r="E1187" s="46" t="inlineStr">
        <is>
          <t>Oui</t>
        </is>
      </c>
    </row>
    <row r="1188">
      <c r="A1188" s="42" t="n">
        <v>122</v>
      </c>
      <c r="B1188" s="28" t="inlineStr">
        <is>
          <t>PIDR âge A25-32</t>
        </is>
      </c>
      <c r="C1188" s="43" t="n">
        <v>48</v>
      </c>
      <c r="D1188" s="28" t="inlineStr">
        <is>
          <t>48</t>
        </is>
      </c>
      <c r="E1188" s="44" t="inlineStr">
        <is>
          <t>Oui</t>
        </is>
      </c>
    </row>
    <row r="1189">
      <c r="A1189" s="42" t="n">
        <v>122</v>
      </c>
      <c r="B1189" s="30" t="inlineStr">
        <is>
          <t>PIDR anc A25-32</t>
        </is>
      </c>
      <c r="C1189" s="45" t="n">
        <v>3.583333333333333</v>
      </c>
      <c r="D1189" s="30" t="inlineStr">
        <is>
          <t>3,58</t>
        </is>
      </c>
      <c r="E1189" s="46" t="inlineStr">
        <is>
          <t>Oui</t>
        </is>
      </c>
    </row>
    <row r="1190">
      <c r="A1190" s="42" t="n">
        <v>122</v>
      </c>
      <c r="B1190" s="28" t="inlineStr">
        <is>
          <t>PIDR sal A25-32</t>
        </is>
      </c>
      <c r="C1190" s="43" t="n">
        <v>228440.0833333333</v>
      </c>
      <c r="D1190" s="28" t="inlineStr">
        <is>
          <t>228 440</t>
        </is>
      </c>
      <c r="E1190" s="44" t="inlineStr">
        <is>
          <t>Oui</t>
        </is>
      </c>
    </row>
    <row r="1191">
      <c r="A1191" s="42" t="n">
        <v>122</v>
      </c>
      <c r="B1191" s="30" t="inlineStr">
        <is>
          <t>PIDR acq A25-32</t>
        </is>
      </c>
      <c r="C1191" s="45" t="n">
        <v>245573.0895833333</v>
      </c>
      <c r="D1191" s="30" t="inlineStr">
        <is>
          <t>245 573</t>
        </is>
      </c>
      <c r="E1191" s="46" t="inlineStr">
        <is>
          <t>Oui</t>
        </is>
      </c>
    </row>
    <row r="1192">
      <c r="A1192" s="42" t="n">
        <v>122</v>
      </c>
      <c r="B1192" s="28" t="inlineStr">
        <is>
          <t>PIDR dbo A25-32</t>
        </is>
      </c>
      <c r="C1192" s="43" t="n">
        <v>155976.3046701146</v>
      </c>
      <c r="D1192" s="28" t="inlineStr">
        <is>
          <t>155 976</t>
        </is>
      </c>
      <c r="E1192" s="44" t="inlineStr">
        <is>
          <t>Oui</t>
        </is>
      </c>
    </row>
    <row r="1193">
      <c r="A1193" s="42" t="n">
        <v>122</v>
      </c>
      <c r="B1193" s="30" t="inlineStr">
        <is>
          <t>PIDR âge A25-39</t>
        </is>
      </c>
      <c r="C1193" s="45" t="n">
        <v>44</v>
      </c>
      <c r="D1193" s="30" t="inlineStr">
        <is>
          <t>44</t>
        </is>
      </c>
      <c r="E1193" s="46" t="inlineStr">
        <is>
          <t>Oui</t>
        </is>
      </c>
    </row>
    <row r="1194">
      <c r="A1194" s="42" t="n">
        <v>122</v>
      </c>
      <c r="B1194" s="28" t="inlineStr">
        <is>
          <t>PIDR anc A25-39</t>
        </is>
      </c>
      <c r="C1194" s="43" t="n">
        <v>3.583333333333333</v>
      </c>
      <c r="D1194" s="28" t="inlineStr">
        <is>
          <t>3,58</t>
        </is>
      </c>
      <c r="E1194" s="44" t="inlineStr">
        <is>
          <t>Oui</t>
        </is>
      </c>
    </row>
    <row r="1195">
      <c r="A1195" s="42" t="n">
        <v>122</v>
      </c>
      <c r="B1195" s="30" t="inlineStr">
        <is>
          <t>PIDR sal A25-39</t>
        </is>
      </c>
      <c r="C1195" s="45" t="n">
        <v>264644.8333333333</v>
      </c>
      <c r="D1195" s="30" t="inlineStr">
        <is>
          <t>264 645</t>
        </is>
      </c>
      <c r="E1195" s="46" t="inlineStr">
        <is>
          <t>Oui</t>
        </is>
      </c>
    </row>
    <row r="1196">
      <c r="A1196" s="42" t="n">
        <v>122</v>
      </c>
      <c r="B1196" s="28" t="inlineStr">
        <is>
          <t>PIDR acq A25-39</t>
        </is>
      </c>
      <c r="C1196" s="43" t="n">
        <v>284493.1958333333</v>
      </c>
      <c r="D1196" s="28" t="inlineStr">
        <is>
          <t>284 493</t>
        </is>
      </c>
      <c r="E1196" s="44" t="inlineStr">
        <is>
          <t>Oui</t>
        </is>
      </c>
    </row>
    <row r="1197">
      <c r="A1197" s="42" t="n">
        <v>122</v>
      </c>
      <c r="B1197" s="30" t="inlineStr">
        <is>
          <t>PIDR dbo A25-39</t>
        </is>
      </c>
      <c r="C1197" s="45" t="n">
        <v>140683.2524886279</v>
      </c>
      <c r="D1197" s="30" t="inlineStr">
        <is>
          <t>140 683</t>
        </is>
      </c>
      <c r="E1197" s="46" t="inlineStr">
        <is>
          <t>Oui</t>
        </is>
      </c>
    </row>
    <row r="1198">
      <c r="A1198" s="42" t="n">
        <v>122</v>
      </c>
      <c r="B1198" s="28" t="inlineStr">
        <is>
          <t>PIDR top CMP (1/3)</t>
        </is>
      </c>
      <c r="C1198" s="43" t="n">
        <v>1138785.507433596</v>
      </c>
      <c r="D1198" s="28" t="inlineStr">
        <is>
          <t>1 138 786 FCFA</t>
        </is>
      </c>
      <c r="E1198" s="44" t="inlineStr">
        <is>
          <t>Oui</t>
        </is>
      </c>
    </row>
    <row r="1199">
      <c r="A1199" s="42" t="n">
        <v>122</v>
      </c>
      <c r="B1199" s="30" t="inlineStr">
        <is>
          <t>PIDR top anc CMP (1/3)</t>
        </is>
      </c>
      <c r="C1199" s="45" t="n">
        <v>6.833333333333333</v>
      </c>
      <c r="D1199" s="30" t="inlineStr">
        <is>
          <t>6,83</t>
        </is>
      </c>
      <c r="E1199" s="46" t="inlineStr">
        <is>
          <t>Oui</t>
        </is>
      </c>
    </row>
    <row r="1200">
      <c r="A1200" s="42" t="n">
        <v>123</v>
      </c>
      <c r="B1200" s="28" t="inlineStr">
        <is>
          <t>PIDR n CMP (2/3)</t>
        </is>
      </c>
      <c r="C1200" s="43" t="n">
        <v>13</v>
      </c>
      <c r="D1200" s="28" t="inlineStr">
        <is>
          <t>13</t>
        </is>
      </c>
      <c r="E1200" s="44" t="inlineStr">
        <is>
          <t>Oui</t>
        </is>
      </c>
    </row>
    <row r="1201">
      <c r="A1201" s="42" t="n">
        <v>123</v>
      </c>
      <c r="B1201" s="30" t="inlineStr">
        <is>
          <t>PIDR somme CMP (2/3)</t>
        </is>
      </c>
      <c r="C1201" s="45" t="n">
        <v>1179169.873588475</v>
      </c>
      <c r="D1201" s="30" t="inlineStr">
        <is>
          <t>1 179 170 FCFA</t>
        </is>
      </c>
      <c r="E1201" s="46" t="inlineStr">
        <is>
          <t>Oui</t>
        </is>
      </c>
    </row>
    <row r="1202">
      <c r="A1202" s="42" t="n">
        <v>123</v>
      </c>
      <c r="B1202" s="28" t="inlineStr">
        <is>
          <t>PIDR acq somme CMP (2/3)</t>
        </is>
      </c>
      <c r="C1202" s="43" t="n">
        <v>2957567.145486111</v>
      </c>
      <c r="D1202" s="28" t="inlineStr">
        <is>
          <t>2 957 567 FCFA</t>
        </is>
      </c>
      <c r="E1202" s="44" t="inlineStr">
        <is>
          <t>Oui</t>
        </is>
      </c>
    </row>
    <row r="1203">
      <c r="A1203" s="42" t="n">
        <v>123</v>
      </c>
      <c r="B1203" s="30" t="inlineStr">
        <is>
          <t>PIDR âge A25-34</t>
        </is>
      </c>
      <c r="C1203" s="45" t="n">
        <v>51</v>
      </c>
      <c r="D1203" s="30" t="inlineStr">
        <is>
          <t>51</t>
        </is>
      </c>
      <c r="E1203" s="46" t="inlineStr">
        <is>
          <t>Oui</t>
        </is>
      </c>
    </row>
    <row r="1204">
      <c r="A1204" s="42" t="n">
        <v>123</v>
      </c>
      <c r="B1204" s="28" t="inlineStr">
        <is>
          <t>PIDR anc A25-34</t>
        </is>
      </c>
      <c r="C1204" s="43" t="n">
        <v>3.583333333333333</v>
      </c>
      <c r="D1204" s="28" t="inlineStr">
        <is>
          <t>3,58</t>
        </is>
      </c>
      <c r="E1204" s="44" t="inlineStr">
        <is>
          <t>Oui</t>
        </is>
      </c>
    </row>
    <row r="1205">
      <c r="A1205" s="42" t="n">
        <v>123</v>
      </c>
      <c r="B1205" s="30" t="inlineStr">
        <is>
          <t>PIDR sal A25-34</t>
        </is>
      </c>
      <c r="C1205" s="45" t="n">
        <v>162361.5833333333</v>
      </c>
      <c r="D1205" s="30" t="inlineStr">
        <is>
          <t>162 362</t>
        </is>
      </c>
      <c r="E1205" s="46" t="inlineStr">
        <is>
          <t>Oui</t>
        </is>
      </c>
    </row>
    <row r="1206">
      <c r="A1206" s="42" t="n">
        <v>123</v>
      </c>
      <c r="B1206" s="28" t="inlineStr">
        <is>
          <t>PIDR acq A25-34</t>
        </is>
      </c>
      <c r="C1206" s="43" t="n">
        <v>174538.7020833333</v>
      </c>
      <c r="D1206" s="28" t="inlineStr">
        <is>
          <t>174 539</t>
        </is>
      </c>
      <c r="E1206" s="44" t="inlineStr">
        <is>
          <t>Oui</t>
        </is>
      </c>
    </row>
    <row r="1207">
      <c r="A1207" s="42" t="n">
        <v>123</v>
      </c>
      <c r="B1207" s="30" t="inlineStr">
        <is>
          <t>PIDR dbo A25-34</t>
        </is>
      </c>
      <c r="C1207" s="45" t="n">
        <v>134788.6881852026</v>
      </c>
      <c r="D1207" s="30" t="inlineStr">
        <is>
          <t>134 789</t>
        </is>
      </c>
      <c r="E1207" s="46" t="inlineStr">
        <is>
          <t>Oui</t>
        </is>
      </c>
    </row>
    <row r="1208">
      <c r="A1208" s="42" t="n">
        <v>123</v>
      </c>
      <c r="B1208" s="28" t="inlineStr">
        <is>
          <t>PIDR âge A25-54</t>
        </is>
      </c>
      <c r="C1208" s="43" t="n">
        <v>53</v>
      </c>
      <c r="D1208" s="28" t="inlineStr">
        <is>
          <t>53</t>
        </is>
      </c>
      <c r="E1208" s="44" t="inlineStr">
        <is>
          <t>Oui</t>
        </is>
      </c>
    </row>
    <row r="1209">
      <c r="A1209" s="42" t="n">
        <v>123</v>
      </c>
      <c r="B1209" s="30" t="inlineStr">
        <is>
          <t>PIDR anc A25-54</t>
        </is>
      </c>
      <c r="C1209" s="45" t="n">
        <v>2.5</v>
      </c>
      <c r="D1209" s="30" t="inlineStr">
        <is>
          <t>2,50</t>
        </is>
      </c>
      <c r="E1209" s="46" t="inlineStr">
        <is>
          <t>Oui</t>
        </is>
      </c>
    </row>
    <row r="1210">
      <c r="A1210" s="42" t="n">
        <v>123</v>
      </c>
      <c r="B1210" s="28" t="inlineStr">
        <is>
          <t>PIDR sal A25-54</t>
        </is>
      </c>
      <c r="C1210" s="43" t="n">
        <v>208268.5833333333</v>
      </c>
      <c r="D1210" s="28" t="inlineStr">
        <is>
          <t>208 269</t>
        </is>
      </c>
      <c r="E1210" s="44" t="inlineStr">
        <is>
          <t>Oui</t>
        </is>
      </c>
    </row>
    <row r="1211">
      <c r="A1211" s="42" t="n">
        <v>123</v>
      </c>
      <c r="B1211" s="30" t="inlineStr">
        <is>
          <t>PIDR acq A25-54</t>
        </is>
      </c>
      <c r="C1211" s="45" t="n">
        <v>156201.4375</v>
      </c>
      <c r="D1211" s="30" t="inlineStr">
        <is>
          <t>156 201</t>
        </is>
      </c>
      <c r="E1211" s="46" t="inlineStr">
        <is>
          <t>Oui</t>
        </is>
      </c>
    </row>
    <row r="1212">
      <c r="A1212" s="42" t="n">
        <v>123</v>
      </c>
      <c r="B1212" s="28" t="inlineStr">
        <is>
          <t>PIDR dbo A25-54</t>
        </is>
      </c>
      <c r="C1212" s="43" t="n">
        <v>133463.3157005026</v>
      </c>
      <c r="D1212" s="28" t="inlineStr">
        <is>
          <t>133 463</t>
        </is>
      </c>
      <c r="E1212" s="44" t="inlineStr">
        <is>
          <t>Oui</t>
        </is>
      </c>
    </row>
    <row r="1213">
      <c r="A1213" s="42" t="n">
        <v>123</v>
      </c>
      <c r="B1213" s="30" t="inlineStr">
        <is>
          <t>PIDR âge A25-22</t>
        </is>
      </c>
      <c r="C1213" s="45" t="n">
        <v>37</v>
      </c>
      <c r="D1213" s="30" t="inlineStr">
        <is>
          <t>37</t>
        </is>
      </c>
      <c r="E1213" s="46" t="inlineStr">
        <is>
          <t>Oui</t>
        </is>
      </c>
    </row>
    <row r="1214">
      <c r="A1214" s="42" t="n">
        <v>123</v>
      </c>
      <c r="B1214" s="28" t="inlineStr">
        <is>
          <t>PIDR anc A25-22</t>
        </is>
      </c>
      <c r="C1214" s="43" t="n">
        <v>6.916666666666667</v>
      </c>
      <c r="D1214" s="28" t="inlineStr">
        <is>
          <t>6,92</t>
        </is>
      </c>
      <c r="E1214" s="44" t="inlineStr">
        <is>
          <t>Oui</t>
        </is>
      </c>
    </row>
    <row r="1215">
      <c r="A1215" s="42" t="n">
        <v>123</v>
      </c>
      <c r="B1215" s="30" t="inlineStr">
        <is>
          <t>PIDR sal A25-22</t>
        </is>
      </c>
      <c r="C1215" s="45" t="n">
        <v>182299.4166666667</v>
      </c>
      <c r="D1215" s="30" t="inlineStr">
        <is>
          <t>182 299</t>
        </is>
      </c>
      <c r="E1215" s="46" t="inlineStr">
        <is>
          <t>Oui</t>
        </is>
      </c>
    </row>
    <row r="1216">
      <c r="A1216" s="42" t="n">
        <v>123</v>
      </c>
      <c r="B1216" s="28" t="inlineStr">
        <is>
          <t>PIDR acq A25-22</t>
        </is>
      </c>
      <c r="C1216" s="43" t="n">
        <v>395741.6503472222</v>
      </c>
      <c r="D1216" s="28" t="inlineStr">
        <is>
          <t>395 742</t>
        </is>
      </c>
      <c r="E1216" s="44" t="inlineStr">
        <is>
          <t>Oui</t>
        </is>
      </c>
    </row>
    <row r="1217">
      <c r="A1217" s="42" t="n">
        <v>123</v>
      </c>
      <c r="B1217" s="30" t="inlineStr">
        <is>
          <t>PIDR dbo A25-22</t>
        </is>
      </c>
      <c r="C1217" s="45" t="n">
        <v>116693.9254584409</v>
      </c>
      <c r="D1217" s="30" t="inlineStr">
        <is>
          <t>116 694</t>
        </is>
      </c>
      <c r="E1217" s="46" t="inlineStr">
        <is>
          <t>Oui</t>
        </is>
      </c>
    </row>
    <row r="1218">
      <c r="A1218" s="42" t="n">
        <v>123</v>
      </c>
      <c r="B1218" s="28" t="inlineStr">
        <is>
          <t>PIDR âge A25-44</t>
        </is>
      </c>
      <c r="C1218" s="43" t="n">
        <v>45</v>
      </c>
      <c r="D1218" s="28" t="inlineStr">
        <is>
          <t>45</t>
        </is>
      </c>
      <c r="E1218" s="44" t="inlineStr">
        <is>
          <t>Oui</t>
        </is>
      </c>
    </row>
    <row r="1219">
      <c r="A1219" s="42" t="n">
        <v>123</v>
      </c>
      <c r="B1219" s="30" t="inlineStr">
        <is>
          <t>PIDR anc A25-44</t>
        </is>
      </c>
      <c r="C1219" s="45" t="n">
        <v>3.583333333333333</v>
      </c>
      <c r="D1219" s="30" t="inlineStr">
        <is>
          <t>3,58</t>
        </is>
      </c>
      <c r="E1219" s="46" t="inlineStr">
        <is>
          <t>Oui</t>
        </is>
      </c>
    </row>
    <row r="1220">
      <c r="A1220" s="42" t="n">
        <v>123</v>
      </c>
      <c r="B1220" s="28" t="inlineStr">
        <is>
          <t>PIDR sal A25-44</t>
        </is>
      </c>
      <c r="C1220" s="43" t="n">
        <v>181222.5</v>
      </c>
      <c r="D1220" s="28" t="inlineStr">
        <is>
          <t>181 222</t>
        </is>
      </c>
      <c r="E1220" s="44" t="inlineStr">
        <is>
          <t>Oui</t>
        </is>
      </c>
    </row>
    <row r="1221">
      <c r="A1221" s="42" t="n">
        <v>123</v>
      </c>
      <c r="B1221" s="30" t="inlineStr">
        <is>
          <t>PIDR acq A25-44</t>
        </is>
      </c>
      <c r="C1221" s="45" t="n">
        <v>194814.1875</v>
      </c>
      <c r="D1221" s="30" t="inlineStr">
        <is>
          <t>194 814</t>
        </is>
      </c>
      <c r="E1221" s="46" t="inlineStr">
        <is>
          <t>Oui</t>
        </is>
      </c>
    </row>
    <row r="1222">
      <c r="A1222" s="42" t="n">
        <v>123</v>
      </c>
      <c r="B1222" s="28" t="inlineStr">
        <is>
          <t>PIDR dbo A25-44</t>
        </is>
      </c>
      <c r="C1222" s="43" t="n">
        <v>102876.4438609879</v>
      </c>
      <c r="D1222" s="28" t="inlineStr">
        <is>
          <t>102 876</t>
        </is>
      </c>
      <c r="E1222" s="44" t="inlineStr">
        <is>
          <t>Oui</t>
        </is>
      </c>
    </row>
    <row r="1223">
      <c r="A1223" s="42" t="n">
        <v>123</v>
      </c>
      <c r="B1223" s="30" t="inlineStr">
        <is>
          <t>PIDR âge A25-49</t>
        </is>
      </c>
      <c r="C1223" s="45" t="n">
        <v>48</v>
      </c>
      <c r="D1223" s="30" t="inlineStr">
        <is>
          <t>48</t>
        </is>
      </c>
      <c r="E1223" s="46" t="inlineStr">
        <is>
          <t>Oui</t>
        </is>
      </c>
    </row>
    <row r="1224">
      <c r="A1224" s="42" t="n">
        <v>123</v>
      </c>
      <c r="B1224" s="28" t="inlineStr">
        <is>
          <t>PIDR anc A25-49</t>
        </is>
      </c>
      <c r="C1224" s="43" t="n">
        <v>2.583333333333333</v>
      </c>
      <c r="D1224" s="28" t="inlineStr">
        <is>
          <t>2,58</t>
        </is>
      </c>
      <c r="E1224" s="44" t="inlineStr">
        <is>
          <t>Oui</t>
        </is>
      </c>
    </row>
    <row r="1225">
      <c r="A1225" s="42" t="n">
        <v>123</v>
      </c>
      <c r="B1225" s="30" t="inlineStr">
        <is>
          <t>PIDR sal A25-49</t>
        </is>
      </c>
      <c r="C1225" s="45" t="n">
        <v>200787.6666666667</v>
      </c>
      <c r="D1225" s="30" t="inlineStr">
        <is>
          <t>200 788</t>
        </is>
      </c>
      <c r="E1225" s="46" t="inlineStr">
        <is>
          <t>Oui</t>
        </is>
      </c>
    </row>
    <row r="1226">
      <c r="A1226" s="42" t="n">
        <v>123</v>
      </c>
      <c r="B1226" s="28" t="inlineStr">
        <is>
          <t>PIDR acq A25-49</t>
        </is>
      </c>
      <c r="C1226" s="43" t="n">
        <v>155610.4416666667</v>
      </c>
      <c r="D1226" s="28" t="inlineStr">
        <is>
          <t>155 610</t>
        </is>
      </c>
      <c r="E1226" s="44" t="inlineStr">
        <is>
          <t>Oui</t>
        </is>
      </c>
    </row>
    <row r="1227">
      <c r="A1227" s="42" t="n">
        <v>123</v>
      </c>
      <c r="B1227" s="30" t="inlineStr">
        <is>
          <t>PIDR dbo A25-49</t>
        </is>
      </c>
      <c r="C1227" s="45" t="n">
        <v>97268.55499013688</v>
      </c>
      <c r="D1227" s="30" t="inlineStr">
        <is>
          <t>97 269</t>
        </is>
      </c>
      <c r="E1227" s="46" t="inlineStr">
        <is>
          <t>Oui</t>
        </is>
      </c>
    </row>
    <row r="1228">
      <c r="A1228" s="42" t="n">
        <v>123</v>
      </c>
      <c r="B1228" s="28" t="inlineStr">
        <is>
          <t>PIDR âge A25-43</t>
        </is>
      </c>
      <c r="C1228" s="43" t="n">
        <v>38</v>
      </c>
      <c r="D1228" s="28" t="inlineStr">
        <is>
          <t>38</t>
        </is>
      </c>
      <c r="E1228" s="44" t="inlineStr">
        <is>
          <t>Oui</t>
        </is>
      </c>
    </row>
    <row r="1229">
      <c r="A1229" s="42" t="n">
        <v>123</v>
      </c>
      <c r="B1229" s="30" t="inlineStr">
        <is>
          <t>PIDR anc A25-43</t>
        </is>
      </c>
      <c r="C1229" s="45" t="n">
        <v>3.583333333333333</v>
      </c>
      <c r="D1229" s="30" t="inlineStr">
        <is>
          <t>3,58</t>
        </is>
      </c>
      <c r="E1229" s="46" t="inlineStr">
        <is>
          <t>Oui</t>
        </is>
      </c>
    </row>
    <row r="1230">
      <c r="A1230" s="42" t="n">
        <v>123</v>
      </c>
      <c r="B1230" s="28" t="inlineStr">
        <is>
          <t>PIDR sal A25-43</t>
        </is>
      </c>
      <c r="C1230" s="43" t="n">
        <v>235548.5833333333</v>
      </c>
      <c r="D1230" s="28" t="inlineStr">
        <is>
          <t>235 549</t>
        </is>
      </c>
      <c r="E1230" s="44" t="inlineStr">
        <is>
          <t>Oui</t>
        </is>
      </c>
    </row>
    <row r="1231">
      <c r="A1231" s="42" t="n">
        <v>123</v>
      </c>
      <c r="B1231" s="30" t="inlineStr">
        <is>
          <t>PIDR acq A25-43</t>
        </is>
      </c>
      <c r="C1231" s="45" t="n">
        <v>253214.7270833333</v>
      </c>
      <c r="D1231" s="30" t="inlineStr">
        <is>
          <t>253 215</t>
        </is>
      </c>
      <c r="E1231" s="46" t="inlineStr">
        <is>
          <t>Oui</t>
        </is>
      </c>
    </row>
    <row r="1232">
      <c r="A1232" s="42" t="n">
        <v>123</v>
      </c>
      <c r="B1232" s="28" t="inlineStr">
        <is>
          <t>PIDR dbo A25-43</t>
        </is>
      </c>
      <c r="C1232" s="43" t="n">
        <v>82795.92583679917</v>
      </c>
      <c r="D1232" s="28" t="inlineStr">
        <is>
          <t>82 796</t>
        </is>
      </c>
      <c r="E1232" s="44" t="inlineStr">
        <is>
          <t>Oui</t>
        </is>
      </c>
    </row>
    <row r="1233">
      <c r="A1233" s="42" t="n">
        <v>123</v>
      </c>
      <c r="B1233" s="30" t="inlineStr">
        <is>
          <t>PIDR âge A25-21</t>
        </is>
      </c>
      <c r="C1233" s="45" t="n">
        <v>33</v>
      </c>
      <c r="D1233" s="30" t="inlineStr">
        <is>
          <t>33</t>
        </is>
      </c>
      <c r="E1233" s="46" t="inlineStr">
        <is>
          <t>Oui</t>
        </is>
      </c>
    </row>
    <row r="1234">
      <c r="A1234" s="42" t="n">
        <v>123</v>
      </c>
      <c r="B1234" s="28" t="inlineStr">
        <is>
          <t>PIDR anc A25-21</t>
        </is>
      </c>
      <c r="C1234" s="43" t="n">
        <v>6.916666666666667</v>
      </c>
      <c r="D1234" s="28" t="inlineStr">
        <is>
          <t>6,92</t>
        </is>
      </c>
      <c r="E1234" s="44" t="inlineStr">
        <is>
          <t>Oui</t>
        </is>
      </c>
    </row>
    <row r="1235">
      <c r="A1235" s="42" t="n">
        <v>123</v>
      </c>
      <c r="B1235" s="30" t="inlineStr">
        <is>
          <t>PIDR sal A25-21</t>
        </is>
      </c>
      <c r="C1235" s="45" t="n">
        <v>170967.9166666667</v>
      </c>
      <c r="D1235" s="30" t="inlineStr">
        <is>
          <t>170 968</t>
        </is>
      </c>
      <c r="E1235" s="46" t="inlineStr">
        <is>
          <t>Oui</t>
        </is>
      </c>
    </row>
    <row r="1236">
      <c r="A1236" s="42" t="n">
        <v>123</v>
      </c>
      <c r="B1236" s="28" t="inlineStr">
        <is>
          <t>PIDR acq A25-21</t>
        </is>
      </c>
      <c r="C1236" s="43" t="n">
        <v>371142.8524305556</v>
      </c>
      <c r="D1236" s="28" t="inlineStr">
        <is>
          <t>371 143</t>
        </is>
      </c>
      <c r="E1236" s="44" t="inlineStr">
        <is>
          <t>Oui</t>
        </is>
      </c>
    </row>
    <row r="1237">
      <c r="A1237" s="42" t="n">
        <v>123</v>
      </c>
      <c r="B1237" s="30" t="inlineStr">
        <is>
          <t>PIDR dbo A25-21</t>
        </is>
      </c>
      <c r="C1237" s="45" t="n">
        <v>81901.28245500919</v>
      </c>
      <c r="D1237" s="30" t="inlineStr">
        <is>
          <t>81 901</t>
        </is>
      </c>
      <c r="E1237" s="46" t="inlineStr">
        <is>
          <t>Oui</t>
        </is>
      </c>
    </row>
    <row r="1238">
      <c r="A1238" s="42" t="n">
        <v>123</v>
      </c>
      <c r="B1238" s="28" t="inlineStr">
        <is>
          <t>PIDR âge A25-33</t>
        </is>
      </c>
      <c r="C1238" s="43" t="n">
        <v>39</v>
      </c>
      <c r="D1238" s="28" t="inlineStr">
        <is>
          <t>39</t>
        </is>
      </c>
      <c r="E1238" s="44" t="inlineStr">
        <is>
          <t>Oui</t>
        </is>
      </c>
    </row>
    <row r="1239">
      <c r="A1239" s="42" t="n">
        <v>123</v>
      </c>
      <c r="B1239" s="30" t="inlineStr">
        <is>
          <t>PIDR anc A25-33</t>
        </is>
      </c>
      <c r="C1239" s="45" t="n">
        <v>3.583333333333333</v>
      </c>
      <c r="D1239" s="30" t="inlineStr">
        <is>
          <t>3,58</t>
        </is>
      </c>
      <c r="E1239" s="46" t="inlineStr">
        <is>
          <t>Oui</t>
        </is>
      </c>
    </row>
    <row r="1240">
      <c r="A1240" s="42" t="n">
        <v>123</v>
      </c>
      <c r="B1240" s="28" t="inlineStr">
        <is>
          <t>PIDR sal A25-33</t>
        </is>
      </c>
      <c r="C1240" s="43" t="n">
        <v>216487.5833333333</v>
      </c>
      <c r="D1240" s="28" t="inlineStr">
        <is>
          <t>216 488</t>
        </is>
      </c>
      <c r="E1240" s="44" t="inlineStr">
        <is>
          <t>Oui</t>
        </is>
      </c>
    </row>
    <row r="1241">
      <c r="A1241" s="42" t="n">
        <v>123</v>
      </c>
      <c r="B1241" s="30" t="inlineStr">
        <is>
          <t>PIDR acq A25-33</t>
        </is>
      </c>
      <c r="C1241" s="45" t="n">
        <v>232724.1520833333</v>
      </c>
      <c r="D1241" s="30" t="inlineStr">
        <is>
          <t>232 724</t>
        </is>
      </c>
      <c r="E1241" s="46" t="inlineStr">
        <is>
          <t>Oui</t>
        </is>
      </c>
    </row>
    <row r="1242">
      <c r="A1242" s="42" t="n">
        <v>123</v>
      </c>
      <c r="B1242" s="28" t="inlineStr">
        <is>
          <t>PIDR dbo A25-33</t>
        </is>
      </c>
      <c r="C1242" s="43" t="n">
        <v>81650.47467553987</v>
      </c>
      <c r="D1242" s="28" t="inlineStr">
        <is>
          <t>81 650</t>
        </is>
      </c>
      <c r="E1242" s="44" t="inlineStr">
        <is>
          <t>Oui</t>
        </is>
      </c>
    </row>
    <row r="1243">
      <c r="A1243" s="42" t="n">
        <v>123</v>
      </c>
      <c r="B1243" s="30" t="inlineStr">
        <is>
          <t>PIDR âge A25-53</t>
        </is>
      </c>
      <c r="C1243" s="45" t="n">
        <v>56</v>
      </c>
      <c r="D1243" s="30" t="inlineStr">
        <is>
          <t>56</t>
        </is>
      </c>
      <c r="E1243" s="46" t="inlineStr">
        <is>
          <t>Oui</t>
        </is>
      </c>
    </row>
    <row r="1244">
      <c r="A1244" s="42" t="n">
        <v>123</v>
      </c>
      <c r="B1244" s="28" t="inlineStr">
        <is>
          <t>PIDR anc A25-53</t>
        </is>
      </c>
      <c r="C1244" s="43" t="n">
        <v>2.583333333333333</v>
      </c>
      <c r="D1244" s="28" t="inlineStr">
        <is>
          <t>2,58</t>
        </is>
      </c>
      <c r="E1244" s="44" t="inlineStr">
        <is>
          <t>Oui</t>
        </is>
      </c>
    </row>
    <row r="1245">
      <c r="A1245" s="42" t="n">
        <v>123</v>
      </c>
      <c r="B1245" s="30" t="inlineStr">
        <is>
          <t>PIDR sal A25-53</t>
        </is>
      </c>
      <c r="C1245" s="45" t="n">
        <v>102146.75</v>
      </c>
      <c r="D1245" s="30" t="inlineStr">
        <is>
          <t>102 147</t>
        </is>
      </c>
      <c r="E1245" s="46" t="inlineStr">
        <is>
          <t>Oui</t>
        </is>
      </c>
    </row>
    <row r="1246">
      <c r="A1246" s="42" t="n">
        <v>123</v>
      </c>
      <c r="B1246" s="28" t="inlineStr">
        <is>
          <t>PIDR acq A25-53</t>
        </is>
      </c>
      <c r="C1246" s="43" t="n">
        <v>79163.73125</v>
      </c>
      <c r="D1246" s="28" t="inlineStr">
        <is>
          <t>79 164</t>
        </is>
      </c>
      <c r="E1246" s="44" t="inlineStr">
        <is>
          <t>Oui</t>
        </is>
      </c>
    </row>
    <row r="1247">
      <c r="A1247" s="42" t="n">
        <v>123</v>
      </c>
      <c r="B1247" s="30" t="inlineStr">
        <is>
          <t>PIDR dbo A25-53</t>
        </is>
      </c>
      <c r="C1247" s="45" t="n">
        <v>79163.73125</v>
      </c>
      <c r="D1247" s="30" t="inlineStr">
        <is>
          <t>79 164</t>
        </is>
      </c>
      <c r="E1247" s="46" t="inlineStr">
        <is>
          <t>Oui</t>
        </is>
      </c>
    </row>
    <row r="1248">
      <c r="A1248" s="42" t="n">
        <v>123</v>
      </c>
      <c r="B1248" s="28" t="inlineStr">
        <is>
          <t>PIDR âge A25-18</t>
        </is>
      </c>
      <c r="C1248" s="43" t="n">
        <v>29</v>
      </c>
      <c r="D1248" s="28" t="inlineStr">
        <is>
          <t>29</t>
        </is>
      </c>
      <c r="E1248" s="44" t="inlineStr">
        <is>
          <t>Oui</t>
        </is>
      </c>
    </row>
    <row r="1249">
      <c r="A1249" s="42" t="n">
        <v>123</v>
      </c>
      <c r="B1249" s="30" t="inlineStr">
        <is>
          <t>PIDR anc A25-18</t>
        </is>
      </c>
      <c r="C1249" s="45" t="n">
        <v>6.916666666666667</v>
      </c>
      <c r="D1249" s="30" t="inlineStr">
        <is>
          <t>6,92</t>
        </is>
      </c>
      <c r="E1249" s="46" t="inlineStr">
        <is>
          <t>Oui</t>
        </is>
      </c>
    </row>
    <row r="1250">
      <c r="A1250" s="42" t="n">
        <v>123</v>
      </c>
      <c r="B1250" s="28" t="inlineStr">
        <is>
          <t>PIDR sal A25-18</t>
        </is>
      </c>
      <c r="C1250" s="43" t="n">
        <v>213172.25</v>
      </c>
      <c r="D1250" s="28" t="inlineStr">
        <is>
          <t>213 172</t>
        </is>
      </c>
      <c r="E1250" s="44" t="inlineStr">
        <is>
          <t>Oui</t>
        </is>
      </c>
    </row>
    <row r="1251">
      <c r="A1251" s="42" t="n">
        <v>123</v>
      </c>
      <c r="B1251" s="30" t="inlineStr">
        <is>
          <t>PIDR acq A25-18</t>
        </is>
      </c>
      <c r="C1251" s="45" t="n">
        <v>462761.4260416667</v>
      </c>
      <c r="D1251" s="30" t="inlineStr">
        <is>
          <t>462 761</t>
        </is>
      </c>
      <c r="E1251" s="46" t="inlineStr">
        <is>
          <t>Oui</t>
        </is>
      </c>
    </row>
    <row r="1252">
      <c r="A1252" s="42" t="n">
        <v>123</v>
      </c>
      <c r="B1252" s="28" t="inlineStr">
        <is>
          <t>PIDR dbo A25-18</t>
        </is>
      </c>
      <c r="C1252" s="43" t="n">
        <v>76273.50675614379</v>
      </c>
      <c r="D1252" s="28" t="inlineStr">
        <is>
          <t>76 274</t>
        </is>
      </c>
      <c r="E1252" s="44" t="inlineStr">
        <is>
          <t>Oui</t>
        </is>
      </c>
    </row>
    <row r="1253">
      <c r="A1253" s="42" t="n">
        <v>123</v>
      </c>
      <c r="B1253" s="30" t="inlineStr">
        <is>
          <t>PIDR âge A25-56</t>
        </is>
      </c>
      <c r="C1253" s="45" t="n">
        <v>58</v>
      </c>
      <c r="D1253" s="30" t="inlineStr">
        <is>
          <t>58</t>
        </is>
      </c>
      <c r="E1253" s="46" t="inlineStr">
        <is>
          <t>Oui</t>
        </is>
      </c>
    </row>
    <row r="1254">
      <c r="A1254" s="42" t="n">
        <v>123</v>
      </c>
      <c r="B1254" s="28" t="inlineStr">
        <is>
          <t>PIDR anc A25-56</t>
        </is>
      </c>
      <c r="C1254" s="43" t="n">
        <v>1.916666666666667</v>
      </c>
      <c r="D1254" s="28" t="inlineStr">
        <is>
          <t>1,92</t>
        </is>
      </c>
      <c r="E1254" s="44" t="inlineStr">
        <is>
          <t>Oui</t>
        </is>
      </c>
    </row>
    <row r="1255">
      <c r="A1255" s="42" t="n">
        <v>123</v>
      </c>
      <c r="B1255" s="30" t="inlineStr">
        <is>
          <t>PIDR sal A25-56</t>
        </is>
      </c>
      <c r="C1255" s="45" t="n">
        <v>115066.75</v>
      </c>
      <c r="D1255" s="30" t="inlineStr">
        <is>
          <t>115 067</t>
        </is>
      </c>
      <c r="E1255" s="46" t="inlineStr">
        <is>
          <t>Oui</t>
        </is>
      </c>
    </row>
    <row r="1256">
      <c r="A1256" s="42" t="n">
        <v>123</v>
      </c>
      <c r="B1256" s="28" t="inlineStr">
        <is>
          <t>PIDR acq A25-56</t>
        </is>
      </c>
      <c r="C1256" s="43" t="n">
        <v>66163.38124999999</v>
      </c>
      <c r="D1256" s="28" t="inlineStr">
        <is>
          <t>66 163</t>
        </is>
      </c>
      <c r="E1256" s="44" t="inlineStr">
        <is>
          <t>Oui</t>
        </is>
      </c>
    </row>
    <row r="1257">
      <c r="A1257" s="42" t="n">
        <v>123</v>
      </c>
      <c r="B1257" s="30" t="inlineStr">
        <is>
          <t>PIDR dbo A25-56</t>
        </is>
      </c>
      <c r="C1257" s="45" t="n">
        <v>66163.38124999999</v>
      </c>
      <c r="D1257" s="30" t="inlineStr">
        <is>
          <t>66 163</t>
        </is>
      </c>
      <c r="E1257" s="46" t="inlineStr">
        <is>
          <t>Oui</t>
        </is>
      </c>
    </row>
    <row r="1258">
      <c r="A1258" s="42" t="n">
        <v>123</v>
      </c>
      <c r="B1258" s="28" t="inlineStr">
        <is>
          <t>PIDR âge A25-41</t>
        </is>
      </c>
      <c r="C1258" s="43" t="n">
        <v>36</v>
      </c>
      <c r="D1258" s="28" t="inlineStr">
        <is>
          <t>36</t>
        </is>
      </c>
      <c r="E1258" s="44" t="inlineStr">
        <is>
          <t>Oui</t>
        </is>
      </c>
    </row>
    <row r="1259">
      <c r="A1259" s="42" t="n">
        <v>123</v>
      </c>
      <c r="B1259" s="30" t="inlineStr">
        <is>
          <t>PIDR anc A25-41</t>
        </is>
      </c>
      <c r="C1259" s="45" t="n">
        <v>3.583333333333333</v>
      </c>
      <c r="D1259" s="30" t="inlineStr">
        <is>
          <t>3,58</t>
        </is>
      </c>
      <c r="E1259" s="46" t="inlineStr">
        <is>
          <t>Oui</t>
        </is>
      </c>
    </row>
    <row r="1260">
      <c r="A1260" s="42" t="n">
        <v>123</v>
      </c>
      <c r="B1260" s="28" t="inlineStr">
        <is>
          <t>PIDR sal A25-41</t>
        </is>
      </c>
      <c r="C1260" s="43" t="n">
        <v>208984.75</v>
      </c>
      <c r="D1260" s="28" t="inlineStr">
        <is>
          <t>208 985</t>
        </is>
      </c>
      <c r="E1260" s="44" t="inlineStr">
        <is>
          <t>Oui</t>
        </is>
      </c>
    </row>
    <row r="1261">
      <c r="A1261" s="42" t="n">
        <v>123</v>
      </c>
      <c r="B1261" s="30" t="inlineStr">
        <is>
          <t>PIDR acq A25-41</t>
        </is>
      </c>
      <c r="C1261" s="45" t="n">
        <v>224658.60625</v>
      </c>
      <c r="D1261" s="30" t="inlineStr">
        <is>
          <t>224 659</t>
        </is>
      </c>
      <c r="E1261" s="46" t="inlineStr">
        <is>
          <t>Oui</t>
        </is>
      </c>
    </row>
    <row r="1262">
      <c r="A1262" s="42" t="n">
        <v>123</v>
      </c>
      <c r="B1262" s="28" t="inlineStr">
        <is>
          <t>PIDR dbo A25-41</t>
        </is>
      </c>
      <c r="C1262" s="43" t="n">
        <v>63732.61489586982</v>
      </c>
      <c r="D1262" s="28" t="inlineStr">
        <is>
          <t>63 733</t>
        </is>
      </c>
      <c r="E1262" s="44" t="inlineStr">
        <is>
          <t>Oui</t>
        </is>
      </c>
    </row>
    <row r="1263">
      <c r="A1263" s="42" t="n">
        <v>123</v>
      </c>
      <c r="B1263" s="30" t="inlineStr">
        <is>
          <t>PIDR âge A25-42</t>
        </is>
      </c>
      <c r="C1263" s="45" t="n">
        <v>38</v>
      </c>
      <c r="D1263" s="30" t="inlineStr">
        <is>
          <t>38</t>
        </is>
      </c>
      <c r="E1263" s="46" t="inlineStr">
        <is>
          <t>Oui</t>
        </is>
      </c>
    </row>
    <row r="1264">
      <c r="A1264" s="42" t="n">
        <v>123</v>
      </c>
      <c r="B1264" s="28" t="inlineStr">
        <is>
          <t>PIDR anc A25-42</t>
        </is>
      </c>
      <c r="C1264" s="43" t="n">
        <v>3.583333333333333</v>
      </c>
      <c r="D1264" s="28" t="inlineStr">
        <is>
          <t>3,58</t>
        </is>
      </c>
      <c r="E1264" s="44" t="inlineStr">
        <is>
          <t>Oui</t>
        </is>
      </c>
    </row>
    <row r="1265">
      <c r="A1265" s="42" t="n">
        <v>123</v>
      </c>
      <c r="B1265" s="30" t="inlineStr">
        <is>
          <t>PIDR sal A25-42</t>
        </is>
      </c>
      <c r="C1265" s="45" t="n">
        <v>177518</v>
      </c>
      <c r="D1265" s="30" t="inlineStr">
        <is>
          <t>177 518</t>
        </is>
      </c>
      <c r="E1265" s="46" t="inlineStr">
        <is>
          <t>Oui</t>
        </is>
      </c>
    </row>
    <row r="1266">
      <c r="A1266" s="42" t="n">
        <v>123</v>
      </c>
      <c r="B1266" s="28" t="inlineStr">
        <is>
          <t>PIDR acq A25-42</t>
        </is>
      </c>
      <c r="C1266" s="43" t="n">
        <v>190831.85</v>
      </c>
      <c r="D1266" s="28" t="inlineStr">
        <is>
          <t>190 832</t>
        </is>
      </c>
      <c r="E1266" s="44" t="inlineStr">
        <is>
          <t>Oui</t>
        </is>
      </c>
    </row>
    <row r="1267">
      <c r="A1267" s="42" t="n">
        <v>123</v>
      </c>
      <c r="B1267" s="30" t="inlineStr">
        <is>
          <t>PIDR dbo A25-42</t>
        </is>
      </c>
      <c r="C1267" s="45" t="n">
        <v>62398.02827384265</v>
      </c>
      <c r="D1267" s="30" t="inlineStr">
        <is>
          <t>62 398</t>
        </is>
      </c>
      <c r="E1267" s="46" t="inlineStr">
        <is>
          <t>Oui</t>
        </is>
      </c>
    </row>
    <row r="1268">
      <c r="A1268" s="42" t="n">
        <v>123</v>
      </c>
      <c r="B1268" s="28" t="inlineStr">
        <is>
          <t>PIDR top CMP (2/3)</t>
        </is>
      </c>
      <c r="C1268" s="43" t="n">
        <v>134788.6881852026</v>
      </c>
      <c r="D1268" s="28" t="inlineStr">
        <is>
          <t>134 789 FCFA</t>
        </is>
      </c>
      <c r="E1268" s="44" t="inlineStr">
        <is>
          <t>Oui</t>
        </is>
      </c>
    </row>
    <row r="1269">
      <c r="A1269" s="42" t="n">
        <v>123</v>
      </c>
      <c r="B1269" s="30" t="inlineStr">
        <is>
          <t>PIDR top anc CMP (2/3)</t>
        </is>
      </c>
      <c r="C1269" s="45" t="n">
        <v>3.583333333333333</v>
      </c>
      <c r="D1269" s="30" t="inlineStr">
        <is>
          <t>3,58</t>
        </is>
      </c>
      <c r="E1269" s="46" t="inlineStr">
        <is>
          <t>Oui</t>
        </is>
      </c>
    </row>
    <row r="1270">
      <c r="A1270" s="42" t="n">
        <v>124</v>
      </c>
      <c r="B1270" s="28" t="inlineStr">
        <is>
          <t>PIDR n CMP (3/3)</t>
        </is>
      </c>
      <c r="C1270" s="43" t="n">
        <v>11</v>
      </c>
      <c r="D1270" s="28" t="inlineStr">
        <is>
          <t>11</t>
        </is>
      </c>
      <c r="E1270" s="44" t="inlineStr">
        <is>
          <t>Oui</t>
        </is>
      </c>
    </row>
    <row r="1271">
      <c r="A1271" s="42" t="n">
        <v>124</v>
      </c>
      <c r="B1271" s="30" t="inlineStr">
        <is>
          <t>PIDR somme CMP (3/3)</t>
        </is>
      </c>
      <c r="C1271" s="45" t="n">
        <v>341056.0488435975</v>
      </c>
      <c r="D1271" s="30" t="inlineStr">
        <is>
          <t>341 056 FCFA</t>
        </is>
      </c>
      <c r="E1271" s="46" t="inlineStr">
        <is>
          <t>Oui</t>
        </is>
      </c>
    </row>
    <row r="1272">
      <c r="A1272" s="42" t="n">
        <v>124</v>
      </c>
      <c r="B1272" s="28" t="inlineStr">
        <is>
          <t>PIDR acq somme CMP (3/3)</t>
        </is>
      </c>
      <c r="C1272" s="43" t="n">
        <v>1215565.189583333</v>
      </c>
      <c r="D1272" s="28" t="inlineStr">
        <is>
          <t>1 215 565 FCFA</t>
        </is>
      </c>
      <c r="E1272" s="44" t="inlineStr">
        <is>
          <t>Oui</t>
        </is>
      </c>
    </row>
    <row r="1273">
      <c r="A1273" s="42" t="n">
        <v>124</v>
      </c>
      <c r="B1273" s="30" t="inlineStr">
        <is>
          <t>PIDR âge A25-51</t>
        </is>
      </c>
      <c r="C1273" s="45" t="n">
        <v>41</v>
      </c>
      <c r="D1273" s="30" t="inlineStr">
        <is>
          <t>41</t>
        </is>
      </c>
      <c r="E1273" s="46" t="inlineStr">
        <is>
          <t>Oui</t>
        </is>
      </c>
    </row>
    <row r="1274">
      <c r="A1274" s="42" t="n">
        <v>124</v>
      </c>
      <c r="B1274" s="28" t="inlineStr">
        <is>
          <t>PIDR anc A25-51</t>
        </is>
      </c>
      <c r="C1274" s="43" t="n">
        <v>2.666666666666667</v>
      </c>
      <c r="D1274" s="28" t="inlineStr">
        <is>
          <t>2,67</t>
        </is>
      </c>
      <c r="E1274" s="44" t="inlineStr">
        <is>
          <t>Oui</t>
        </is>
      </c>
    </row>
    <row r="1275">
      <c r="A1275" s="42" t="n">
        <v>124</v>
      </c>
      <c r="B1275" s="30" t="inlineStr">
        <is>
          <t>PIDR sal A25-51</t>
        </is>
      </c>
      <c r="C1275" s="45" t="n">
        <v>159842.75</v>
      </c>
      <c r="D1275" s="30" t="inlineStr">
        <is>
          <t>159 843</t>
        </is>
      </c>
      <c r="E1275" s="46" t="inlineStr">
        <is>
          <t>Oui</t>
        </is>
      </c>
    </row>
    <row r="1276">
      <c r="A1276" s="42" t="n">
        <v>124</v>
      </c>
      <c r="B1276" s="28" t="inlineStr">
        <is>
          <t>PIDR acq A25-51</t>
        </is>
      </c>
      <c r="C1276" s="43" t="n">
        <v>127874.2</v>
      </c>
      <c r="D1276" s="28" t="inlineStr">
        <is>
          <t>127 874</t>
        </is>
      </c>
      <c r="E1276" s="44" t="inlineStr">
        <is>
          <t>Oui</t>
        </is>
      </c>
    </row>
    <row r="1277">
      <c r="A1277" s="42" t="n">
        <v>124</v>
      </c>
      <c r="B1277" s="30" t="inlineStr">
        <is>
          <t>PIDR dbo A25-51</t>
        </is>
      </c>
      <c r="C1277" s="45" t="n">
        <v>51238.81564539263</v>
      </c>
      <c r="D1277" s="30" t="inlineStr">
        <is>
          <t>51 239</t>
        </is>
      </c>
      <c r="E1277" s="46" t="inlineStr">
        <is>
          <t>Oui</t>
        </is>
      </c>
    </row>
    <row r="1278">
      <c r="A1278" s="42" t="n">
        <v>124</v>
      </c>
      <c r="B1278" s="28" t="inlineStr">
        <is>
          <t>PIDR âge A25-47</t>
        </is>
      </c>
      <c r="C1278" s="43" t="n">
        <v>41</v>
      </c>
      <c r="D1278" s="28" t="inlineStr">
        <is>
          <t>41</t>
        </is>
      </c>
      <c r="E1278" s="44" t="inlineStr">
        <is>
          <t>Oui</t>
        </is>
      </c>
    </row>
    <row r="1279">
      <c r="A1279" s="42" t="n">
        <v>124</v>
      </c>
      <c r="B1279" s="30" t="inlineStr">
        <is>
          <t>PIDR anc A25-47</t>
        </is>
      </c>
      <c r="C1279" s="45" t="n">
        <v>3.25</v>
      </c>
      <c r="D1279" s="30" t="inlineStr">
        <is>
          <t>3,25</t>
        </is>
      </c>
      <c r="E1279" s="46" t="inlineStr">
        <is>
          <t>Oui</t>
        </is>
      </c>
    </row>
    <row r="1280">
      <c r="A1280" s="42" t="n">
        <v>124</v>
      </c>
      <c r="B1280" s="28" t="inlineStr">
        <is>
          <t>PIDR sal A25-47</t>
        </is>
      </c>
      <c r="C1280" s="43" t="n">
        <v>115272.5833333333</v>
      </c>
      <c r="D1280" s="28" t="inlineStr">
        <is>
          <t>115 273</t>
        </is>
      </c>
      <c r="E1280" s="44" t="inlineStr">
        <is>
          <t>Oui</t>
        </is>
      </c>
    </row>
    <row r="1281">
      <c r="A1281" s="42" t="n">
        <v>124</v>
      </c>
      <c r="B1281" s="30" t="inlineStr">
        <is>
          <t>PIDR acq A25-47</t>
        </is>
      </c>
      <c r="C1281" s="45" t="n">
        <v>112390.76875</v>
      </c>
      <c r="D1281" s="30" t="inlineStr">
        <is>
          <t>112 391</t>
        </is>
      </c>
      <c r="E1281" s="46" t="inlineStr">
        <is>
          <t>Oui</t>
        </is>
      </c>
    </row>
    <row r="1282">
      <c r="A1282" s="42" t="n">
        <v>124</v>
      </c>
      <c r="B1282" s="28" t="inlineStr">
        <is>
          <t>PIDR dbo A25-47</t>
        </is>
      </c>
      <c r="C1282" s="43" t="n">
        <v>45227.69534763172</v>
      </c>
      <c r="D1282" s="28" t="inlineStr">
        <is>
          <t>45 228</t>
        </is>
      </c>
      <c r="E1282" s="44" t="inlineStr">
        <is>
          <t>Oui</t>
        </is>
      </c>
    </row>
    <row r="1283">
      <c r="A1283" s="42" t="n">
        <v>124</v>
      </c>
      <c r="B1283" s="30" t="inlineStr">
        <is>
          <t>PIDR âge A25-46</t>
        </is>
      </c>
      <c r="C1283" s="45" t="n">
        <v>39</v>
      </c>
      <c r="D1283" s="30" t="inlineStr">
        <is>
          <t>39</t>
        </is>
      </c>
      <c r="E1283" s="46" t="inlineStr">
        <is>
          <t>Oui</t>
        </is>
      </c>
    </row>
    <row r="1284">
      <c r="A1284" s="42" t="n">
        <v>124</v>
      </c>
      <c r="B1284" s="28" t="inlineStr">
        <is>
          <t>PIDR anc A25-46</t>
        </is>
      </c>
      <c r="C1284" s="43" t="n">
        <v>3.25</v>
      </c>
      <c r="D1284" s="28" t="inlineStr">
        <is>
          <t>3,25</t>
        </is>
      </c>
      <c r="E1284" s="44" t="inlineStr">
        <is>
          <t>Oui</t>
        </is>
      </c>
    </row>
    <row r="1285">
      <c r="A1285" s="42" t="n">
        <v>124</v>
      </c>
      <c r="B1285" s="30" t="inlineStr">
        <is>
          <t>PIDR sal A25-46</t>
        </is>
      </c>
      <c r="C1285" s="45" t="n">
        <v>113347</v>
      </c>
      <c r="D1285" s="30" t="inlineStr">
        <is>
          <t>113 347</t>
        </is>
      </c>
      <c r="E1285" s="46" t="inlineStr">
        <is>
          <t>Oui</t>
        </is>
      </c>
    </row>
    <row r="1286">
      <c r="A1286" s="42" t="n">
        <v>124</v>
      </c>
      <c r="B1286" s="28" t="inlineStr">
        <is>
          <t>PIDR acq A25-46</t>
        </is>
      </c>
      <c r="C1286" s="43" t="n">
        <v>110513.325</v>
      </c>
      <c r="D1286" s="28" t="inlineStr">
        <is>
          <t>110 513</t>
        </is>
      </c>
      <c r="E1286" s="44" t="inlineStr">
        <is>
          <t>Oui</t>
        </is>
      </c>
    </row>
    <row r="1287">
      <c r="A1287" s="42" t="n">
        <v>124</v>
      </c>
      <c r="B1287" s="30" t="inlineStr">
        <is>
          <t>PIDR dbo A25-46</t>
        </is>
      </c>
      <c r="C1287" s="45" t="n">
        <v>38702.13381254618</v>
      </c>
      <c r="D1287" s="30" t="inlineStr">
        <is>
          <t>38 702</t>
        </is>
      </c>
      <c r="E1287" s="46" t="inlineStr">
        <is>
          <t>Oui</t>
        </is>
      </c>
    </row>
    <row r="1288">
      <c r="A1288" s="42" t="n">
        <v>124</v>
      </c>
      <c r="B1288" s="28" t="inlineStr">
        <is>
          <t>PIDR âge A25-52</t>
        </is>
      </c>
      <c r="C1288" s="43" t="n">
        <v>41</v>
      </c>
      <c r="D1288" s="28" t="inlineStr">
        <is>
          <t>41</t>
        </is>
      </c>
      <c r="E1288" s="44" t="inlineStr">
        <is>
          <t>Oui</t>
        </is>
      </c>
    </row>
    <row r="1289">
      <c r="A1289" s="42" t="n">
        <v>124</v>
      </c>
      <c r="B1289" s="30" t="inlineStr">
        <is>
          <t>PIDR anc A25-52</t>
        </is>
      </c>
      <c r="C1289" s="45" t="n">
        <v>2.583333333333333</v>
      </c>
      <c r="D1289" s="30" t="inlineStr">
        <is>
          <t>2,58</t>
        </is>
      </c>
      <c r="E1289" s="46" t="inlineStr">
        <is>
          <t>Oui</t>
        </is>
      </c>
    </row>
    <row r="1290">
      <c r="A1290" s="42" t="n">
        <v>124</v>
      </c>
      <c r="B1290" s="28" t="inlineStr">
        <is>
          <t>PIDR sal A25-52</t>
        </is>
      </c>
      <c r="C1290" s="43" t="n">
        <v>114947.25</v>
      </c>
      <c r="D1290" s="28" t="inlineStr">
        <is>
          <t>114 947</t>
        </is>
      </c>
      <c r="E1290" s="44" t="inlineStr">
        <is>
          <t>Oui</t>
        </is>
      </c>
    </row>
    <row r="1291">
      <c r="A1291" s="42" t="n">
        <v>124</v>
      </c>
      <c r="B1291" s="30" t="inlineStr">
        <is>
          <t>PIDR acq A25-52</t>
        </is>
      </c>
      <c r="C1291" s="45" t="n">
        <v>89084.11875000001</v>
      </c>
      <c r="D1291" s="30" t="inlineStr">
        <is>
          <t>89 084</t>
        </is>
      </c>
      <c r="E1291" s="46" t="inlineStr">
        <is>
          <t>Oui</t>
        </is>
      </c>
    </row>
    <row r="1292">
      <c r="A1292" s="42" t="n">
        <v>124</v>
      </c>
      <c r="B1292" s="28" t="inlineStr">
        <is>
          <t>PIDR dbo A25-52</t>
        </is>
      </c>
      <c r="C1292" s="43" t="n">
        <v>35673.00648383863</v>
      </c>
      <c r="D1292" s="28" t="inlineStr">
        <is>
          <t>35 673</t>
        </is>
      </c>
      <c r="E1292" s="44" t="inlineStr">
        <is>
          <t>Oui</t>
        </is>
      </c>
    </row>
    <row r="1293">
      <c r="A1293" s="42" t="n">
        <v>124</v>
      </c>
      <c r="B1293" s="30" t="inlineStr">
        <is>
          <t>PIDR âge A25-45</t>
        </is>
      </c>
      <c r="C1293" s="45" t="n">
        <v>37</v>
      </c>
      <c r="D1293" s="30" t="inlineStr">
        <is>
          <t>37</t>
        </is>
      </c>
      <c r="E1293" s="46" t="inlineStr">
        <is>
          <t>Oui</t>
        </is>
      </c>
    </row>
    <row r="1294">
      <c r="A1294" s="42" t="n">
        <v>124</v>
      </c>
      <c r="B1294" s="28" t="inlineStr">
        <is>
          <t>PIDR anc A25-45</t>
        </is>
      </c>
      <c r="C1294" s="43" t="n">
        <v>3.25</v>
      </c>
      <c r="D1294" s="28" t="inlineStr">
        <is>
          <t>3,25</t>
        </is>
      </c>
      <c r="E1294" s="44" t="inlineStr">
        <is>
          <t>Oui</t>
        </is>
      </c>
    </row>
    <row r="1295">
      <c r="A1295" s="42" t="n">
        <v>124</v>
      </c>
      <c r="B1295" s="30" t="inlineStr">
        <is>
          <t>PIDR sal A25-45</t>
        </is>
      </c>
      <c r="C1295" s="45" t="n">
        <v>108697.8333333333</v>
      </c>
      <c r="D1295" s="30" t="inlineStr">
        <is>
          <t>108 698</t>
        </is>
      </c>
      <c r="E1295" s="46" t="inlineStr">
        <is>
          <t>Oui</t>
        </is>
      </c>
    </row>
    <row r="1296">
      <c r="A1296" s="42" t="n">
        <v>124</v>
      </c>
      <c r="B1296" s="28" t="inlineStr">
        <is>
          <t>PIDR acq A25-45</t>
        </is>
      </c>
      <c r="C1296" s="43" t="n">
        <v>105980.3875</v>
      </c>
      <c r="D1296" s="28" t="inlineStr">
        <is>
          <t>105 980</t>
        </is>
      </c>
      <c r="E1296" s="44" t="inlineStr">
        <is>
          <t>Oui</t>
        </is>
      </c>
    </row>
    <row r="1297">
      <c r="A1297" s="42" t="n">
        <v>124</v>
      </c>
      <c r="B1297" s="30" t="inlineStr">
        <is>
          <t>PIDR dbo A25-45</t>
        </is>
      </c>
      <c r="C1297" s="45" t="n">
        <v>32235.11336248318</v>
      </c>
      <c r="D1297" s="30" t="inlineStr">
        <is>
          <t>32 235</t>
        </is>
      </c>
      <c r="E1297" s="46" t="inlineStr">
        <is>
          <t>Oui</t>
        </is>
      </c>
    </row>
    <row r="1298">
      <c r="A1298" s="42" t="n">
        <v>124</v>
      </c>
      <c r="B1298" s="28" t="inlineStr">
        <is>
          <t>PIDR âge A25-37</t>
        </is>
      </c>
      <c r="C1298" s="43" t="n">
        <v>31</v>
      </c>
      <c r="D1298" s="28" t="inlineStr">
        <is>
          <t>31</t>
        </is>
      </c>
      <c r="E1298" s="44" t="inlineStr">
        <is>
          <t>Oui</t>
        </is>
      </c>
    </row>
    <row r="1299">
      <c r="A1299" s="42" t="n">
        <v>124</v>
      </c>
      <c r="B1299" s="30" t="inlineStr">
        <is>
          <t>PIDR anc A25-37</t>
        </is>
      </c>
      <c r="C1299" s="45" t="n">
        <v>3.583333333333333</v>
      </c>
      <c r="D1299" s="30" t="inlineStr">
        <is>
          <t>3,58</t>
        </is>
      </c>
      <c r="E1299" s="46" t="inlineStr">
        <is>
          <t>Oui</t>
        </is>
      </c>
    </row>
    <row r="1300">
      <c r="A1300" s="42" t="n">
        <v>124</v>
      </c>
      <c r="B1300" s="28" t="inlineStr">
        <is>
          <t>PIDR sal A25-37</t>
        </is>
      </c>
      <c r="C1300" s="43" t="n">
        <v>149754.9166666667</v>
      </c>
      <c r="D1300" s="28" t="inlineStr">
        <is>
          <t>149 755</t>
        </is>
      </c>
      <c r="E1300" s="44" t="inlineStr">
        <is>
          <t>Oui</t>
        </is>
      </c>
    </row>
    <row r="1301">
      <c r="A1301" s="42" t="n">
        <v>124</v>
      </c>
      <c r="B1301" s="30" t="inlineStr">
        <is>
          <t>PIDR acq A25-37</t>
        </is>
      </c>
      <c r="C1301" s="45" t="n">
        <v>160986.5354166667</v>
      </c>
      <c r="D1301" s="30" t="inlineStr">
        <is>
          <t>160 987</t>
        </is>
      </c>
      <c r="E1301" s="46" t="inlineStr">
        <is>
          <t>Oui</t>
        </is>
      </c>
    </row>
    <row r="1302">
      <c r="A1302" s="42" t="n">
        <v>124</v>
      </c>
      <c r="B1302" s="28" t="inlineStr">
        <is>
          <t>PIDR dbo A25-37</t>
        </is>
      </c>
      <c r="C1302" s="43" t="n">
        <v>31876.97349063435</v>
      </c>
      <c r="D1302" s="28" t="inlineStr">
        <is>
          <t>31 877</t>
        </is>
      </c>
      <c r="E1302" s="44" t="inlineStr">
        <is>
          <t>Oui</t>
        </is>
      </c>
    </row>
    <row r="1303">
      <c r="A1303" s="42" t="n">
        <v>124</v>
      </c>
      <c r="B1303" s="30" t="inlineStr">
        <is>
          <t>PIDR âge A25-50</t>
        </is>
      </c>
      <c r="C1303" s="45" t="n">
        <v>33</v>
      </c>
      <c r="D1303" s="30" t="inlineStr">
        <is>
          <t>33</t>
        </is>
      </c>
      <c r="E1303" s="46" t="inlineStr">
        <is>
          <t>Oui</t>
        </is>
      </c>
    </row>
    <row r="1304">
      <c r="A1304" s="42" t="n">
        <v>124</v>
      </c>
      <c r="B1304" s="28" t="inlineStr">
        <is>
          <t>PIDR anc A25-50</t>
        </is>
      </c>
      <c r="C1304" s="43" t="n">
        <v>2.666666666666667</v>
      </c>
      <c r="D1304" s="28" t="inlineStr">
        <is>
          <t>2,67</t>
        </is>
      </c>
      <c r="E1304" s="44" t="inlineStr">
        <is>
          <t>Oui</t>
        </is>
      </c>
    </row>
    <row r="1305">
      <c r="A1305" s="42" t="n">
        <v>124</v>
      </c>
      <c r="B1305" s="30" t="inlineStr">
        <is>
          <t>PIDR sal A25-50</t>
        </is>
      </c>
      <c r="C1305" s="45" t="n">
        <v>151076.5833333333</v>
      </c>
      <c r="D1305" s="30" t="inlineStr">
        <is>
          <t>151 077</t>
        </is>
      </c>
      <c r="E1305" s="46" t="inlineStr">
        <is>
          <t>Oui</t>
        </is>
      </c>
    </row>
    <row r="1306">
      <c r="A1306" s="42" t="n">
        <v>124</v>
      </c>
      <c r="B1306" s="28" t="inlineStr">
        <is>
          <t>PIDR acq A25-50</t>
        </is>
      </c>
      <c r="C1306" s="43" t="n">
        <v>120861.2666666667</v>
      </c>
      <c r="D1306" s="28" t="inlineStr">
        <is>
          <t>120 861</t>
        </is>
      </c>
      <c r="E1306" s="44" t="inlineStr">
        <is>
          <t>Oui</t>
        </is>
      </c>
    </row>
    <row r="1307">
      <c r="A1307" s="42" t="n">
        <v>124</v>
      </c>
      <c r="B1307" s="30" t="inlineStr">
        <is>
          <t>PIDR dbo A25-50</t>
        </is>
      </c>
      <c r="C1307" s="45" t="n">
        <v>27569.2858471943</v>
      </c>
      <c r="D1307" s="30" t="inlineStr">
        <is>
          <t>27 569</t>
        </is>
      </c>
      <c r="E1307" s="46" t="inlineStr">
        <is>
          <t>Oui</t>
        </is>
      </c>
    </row>
    <row r="1308">
      <c r="A1308" s="42" t="n">
        <v>124</v>
      </c>
      <c r="B1308" s="28" t="inlineStr">
        <is>
          <t>PIDR âge A25-61</t>
        </is>
      </c>
      <c r="C1308" s="43" t="n">
        <v>44</v>
      </c>
      <c r="D1308" s="28" t="inlineStr">
        <is>
          <t>44</t>
        </is>
      </c>
      <c r="E1308" s="44" t="inlineStr">
        <is>
          <t>Oui</t>
        </is>
      </c>
    </row>
    <row r="1309">
      <c r="A1309" s="42" t="n">
        <v>124</v>
      </c>
      <c r="B1309" s="30" t="inlineStr">
        <is>
          <t>PIDR anc A25-61</t>
        </is>
      </c>
      <c r="C1309" s="45" t="n">
        <v>0.8333333333333334</v>
      </c>
      <c r="D1309" s="30" t="inlineStr">
        <is>
          <t>0,83</t>
        </is>
      </c>
      <c r="E1309" s="46" t="inlineStr">
        <is>
          <t>Oui</t>
        </is>
      </c>
    </row>
    <row r="1310">
      <c r="A1310" s="42" t="n">
        <v>124</v>
      </c>
      <c r="B1310" s="28" t="inlineStr">
        <is>
          <t>PIDR sal A25-61</t>
        </is>
      </c>
      <c r="C1310" s="43" t="n">
        <v>216751.8333333333</v>
      </c>
      <c r="D1310" s="28" t="inlineStr">
        <is>
          <t>216 752</t>
        </is>
      </c>
      <c r="E1310" s="44" t="inlineStr">
        <is>
          <t>Oui</t>
        </is>
      </c>
    </row>
    <row r="1311">
      <c r="A1311" s="42" t="n">
        <v>124</v>
      </c>
      <c r="B1311" s="30" t="inlineStr">
        <is>
          <t>PIDR acq A25-61</t>
        </is>
      </c>
      <c r="C1311" s="45" t="n">
        <v>54187.95833333334</v>
      </c>
      <c r="D1311" s="30" t="inlineStr">
        <is>
          <t>54 188</t>
        </is>
      </c>
      <c r="E1311" s="46" t="inlineStr">
        <is>
          <t>Oui</t>
        </is>
      </c>
    </row>
    <row r="1312">
      <c r="A1312" s="42" t="n">
        <v>124</v>
      </c>
      <c r="B1312" s="28" t="inlineStr">
        <is>
          <t>PIDR dbo A25-61</t>
        </is>
      </c>
      <c r="C1312" s="43" t="n">
        <v>25877.42571128776</v>
      </c>
      <c r="D1312" s="28" t="inlineStr">
        <is>
          <t>25 877</t>
        </is>
      </c>
      <c r="E1312" s="44" t="inlineStr">
        <is>
          <t>Oui</t>
        </is>
      </c>
    </row>
    <row r="1313">
      <c r="A1313" s="42" t="n">
        <v>124</v>
      </c>
      <c r="B1313" s="30" t="inlineStr">
        <is>
          <t>PIDR âge A25-35</t>
        </is>
      </c>
      <c r="C1313" s="45" t="n">
        <v>27</v>
      </c>
      <c r="D1313" s="30" t="inlineStr">
        <is>
          <t>27</t>
        </is>
      </c>
      <c r="E1313" s="46" t="inlineStr">
        <is>
          <t>Oui</t>
        </is>
      </c>
    </row>
    <row r="1314">
      <c r="A1314" s="42" t="n">
        <v>124</v>
      </c>
      <c r="B1314" s="28" t="inlineStr">
        <is>
          <t>PIDR anc A25-35</t>
        </is>
      </c>
      <c r="C1314" s="43" t="n">
        <v>3.583333333333333</v>
      </c>
      <c r="D1314" s="28" t="inlineStr">
        <is>
          <t>3,58</t>
        </is>
      </c>
      <c r="E1314" s="44" t="inlineStr">
        <is>
          <t>Oui</t>
        </is>
      </c>
    </row>
    <row r="1315">
      <c r="A1315" s="42" t="n">
        <v>124</v>
      </c>
      <c r="B1315" s="30" t="inlineStr">
        <is>
          <t>PIDR sal A25-35</t>
        </is>
      </c>
      <c r="C1315" s="45" t="n">
        <v>161414.1666666667</v>
      </c>
      <c r="D1315" s="30" t="inlineStr">
        <is>
          <t>161 414</t>
        </is>
      </c>
      <c r="E1315" s="46" t="inlineStr">
        <is>
          <t>Oui</t>
        </is>
      </c>
    </row>
    <row r="1316">
      <c r="A1316" s="42" t="n">
        <v>124</v>
      </c>
      <c r="B1316" s="28" t="inlineStr">
        <is>
          <t>PIDR acq A25-35</t>
        </is>
      </c>
      <c r="C1316" s="43" t="n">
        <v>173520.2291666667</v>
      </c>
      <c r="D1316" s="28" t="inlineStr">
        <is>
          <t>173 520</t>
        </is>
      </c>
      <c r="E1316" s="44" t="inlineStr">
        <is>
          <t>Oui</t>
        </is>
      </c>
    </row>
    <row r="1317">
      <c r="A1317" s="42" t="n">
        <v>124</v>
      </c>
      <c r="B1317" s="30" t="inlineStr">
        <is>
          <t>PIDR dbo A25-35</t>
        </is>
      </c>
      <c r="C1317" s="45" t="n">
        <v>25689.09664007127</v>
      </c>
      <c r="D1317" s="30" t="inlineStr">
        <is>
          <t>25 689</t>
        </is>
      </c>
      <c r="E1317" s="46" t="inlineStr">
        <is>
          <t>Oui</t>
        </is>
      </c>
    </row>
    <row r="1318">
      <c r="A1318" s="42" t="n">
        <v>124</v>
      </c>
      <c r="B1318" s="28" t="inlineStr">
        <is>
          <t>PIDR âge A25-58</t>
        </is>
      </c>
      <c r="C1318" s="43" t="n">
        <v>36</v>
      </c>
      <c r="D1318" s="28" t="inlineStr">
        <is>
          <t>36</t>
        </is>
      </c>
      <c r="E1318" s="44" t="inlineStr">
        <is>
          <t>Oui</t>
        </is>
      </c>
    </row>
    <row r="1319">
      <c r="A1319" s="42" t="n">
        <v>124</v>
      </c>
      <c r="B1319" s="30" t="inlineStr">
        <is>
          <t>PIDR anc A25-58</t>
        </is>
      </c>
      <c r="C1319" s="45" t="n">
        <v>1.5</v>
      </c>
      <c r="D1319" s="30" t="inlineStr">
        <is>
          <t>1,50</t>
        </is>
      </c>
      <c r="E1319" s="46" t="inlineStr">
        <is>
          <t>Oui</t>
        </is>
      </c>
    </row>
    <row r="1320">
      <c r="A1320" s="42" t="n">
        <v>124</v>
      </c>
      <c r="B1320" s="28" t="inlineStr">
        <is>
          <t>PIDR sal A25-58</t>
        </is>
      </c>
      <c r="C1320" s="43" t="n">
        <v>121201.3333333333</v>
      </c>
      <c r="D1320" s="28" t="inlineStr">
        <is>
          <t>121 201</t>
        </is>
      </c>
      <c r="E1320" s="44" t="inlineStr">
        <is>
          <t>Oui</t>
        </is>
      </c>
    </row>
    <row r="1321">
      <c r="A1321" s="42" t="n">
        <v>124</v>
      </c>
      <c r="B1321" s="30" t="inlineStr">
        <is>
          <t>PIDR acq A25-58</t>
        </is>
      </c>
      <c r="C1321" s="45" t="n">
        <v>54540.59999999999</v>
      </c>
      <c r="D1321" s="30" t="inlineStr">
        <is>
          <t>54 541</t>
        </is>
      </c>
      <c r="E1321" s="46" t="inlineStr">
        <is>
          <t>Oui</t>
        </is>
      </c>
    </row>
    <row r="1322">
      <c r="A1322" s="42" t="n">
        <v>124</v>
      </c>
      <c r="B1322" s="28" t="inlineStr">
        <is>
          <t>PIDR dbo A25-58</t>
        </is>
      </c>
      <c r="C1322" s="43" t="n">
        <v>15330.06184125019</v>
      </c>
      <c r="D1322" s="28" t="inlineStr">
        <is>
          <t>15 330</t>
        </is>
      </c>
      <c r="E1322" s="44" t="inlineStr">
        <is>
          <t>Oui</t>
        </is>
      </c>
    </row>
    <row r="1323">
      <c r="A1323" s="42" t="n">
        <v>124</v>
      </c>
      <c r="B1323" s="30" t="inlineStr">
        <is>
          <t>PIDR âge A25-57</t>
        </is>
      </c>
      <c r="C1323" s="45" t="n">
        <v>23</v>
      </c>
      <c r="D1323" s="30" t="inlineStr">
        <is>
          <t>23</t>
        </is>
      </c>
      <c r="E1323" s="46" t="inlineStr">
        <is>
          <t>Oui</t>
        </is>
      </c>
    </row>
    <row r="1324">
      <c r="A1324" s="42" t="n">
        <v>124</v>
      </c>
      <c r="B1324" s="28" t="inlineStr">
        <is>
          <t>PIDR anc A25-57</t>
        </is>
      </c>
      <c r="C1324" s="43" t="n">
        <v>1.75</v>
      </c>
      <c r="D1324" s="28" t="inlineStr">
        <is>
          <t>1,75</t>
        </is>
      </c>
      <c r="E1324" s="44" t="inlineStr">
        <is>
          <t>Oui</t>
        </is>
      </c>
    </row>
    <row r="1325">
      <c r="A1325" s="42" t="n">
        <v>124</v>
      </c>
      <c r="B1325" s="30" t="inlineStr">
        <is>
          <t>PIDR sal A25-57</t>
        </is>
      </c>
      <c r="C1325" s="45" t="n">
        <v>201192</v>
      </c>
      <c r="D1325" s="30" t="inlineStr">
        <is>
          <t>201 192</t>
        </is>
      </c>
      <c r="E1325" s="46" t="inlineStr">
        <is>
          <t>Oui</t>
        </is>
      </c>
    </row>
    <row r="1326">
      <c r="A1326" s="42" t="n">
        <v>124</v>
      </c>
      <c r="B1326" s="28" t="inlineStr">
        <is>
          <t>PIDR acq A25-57</t>
        </is>
      </c>
      <c r="C1326" s="43" t="n">
        <v>105625.8</v>
      </c>
      <c r="D1326" s="28" t="inlineStr">
        <is>
          <t>105 626</t>
        </is>
      </c>
      <c r="E1326" s="44" t="inlineStr">
        <is>
          <t>Oui</t>
        </is>
      </c>
    </row>
    <row r="1327">
      <c r="A1327" s="42" t="n">
        <v>124</v>
      </c>
      <c r="B1327" s="30" t="inlineStr">
        <is>
          <t>PIDR dbo A25-57</t>
        </is>
      </c>
      <c r="C1327" s="45" t="n">
        <v>11636.44066126722</v>
      </c>
      <c r="D1327" s="30" t="inlineStr">
        <is>
          <t>11 636</t>
        </is>
      </c>
      <c r="E1327" s="46" t="inlineStr">
        <is>
          <t>Oui</t>
        </is>
      </c>
    </row>
    <row r="1328">
      <c r="A1328" s="42" t="n">
        <v>124</v>
      </c>
      <c r="B1328" s="28" t="inlineStr">
        <is>
          <t>PIDR top CMP (3/3)</t>
        </is>
      </c>
      <c r="C1328" s="43" t="n">
        <v>51238.81564539263</v>
      </c>
      <c r="D1328" s="28" t="inlineStr">
        <is>
          <t>51 239 FCFA</t>
        </is>
      </c>
      <c r="E1328" s="44" t="inlineStr">
        <is>
          <t>Oui</t>
        </is>
      </c>
    </row>
    <row r="1329">
      <c r="A1329" s="42" t="n">
        <v>124</v>
      </c>
      <c r="B1329" s="30" t="inlineStr">
        <is>
          <t>PIDR top anc CMP (3/3)</t>
        </is>
      </c>
      <c r="C1329" s="45" t="n">
        <v>2.666666666666667</v>
      </c>
      <c r="D1329" s="30" t="inlineStr">
        <is>
          <t>2,67</t>
        </is>
      </c>
      <c r="E1329" s="46" t="inlineStr">
        <is>
          <t>Oui</t>
        </is>
      </c>
    </row>
    <row r="1330">
      <c r="A1330" s="42" t="n">
        <v>125</v>
      </c>
      <c r="B1330" s="28" t="inlineStr">
        <is>
          <t>PIDR n Grenier</t>
        </is>
      </c>
      <c r="C1330" s="43" t="n">
        <v>3</v>
      </c>
      <c r="D1330" s="28" t="inlineStr">
        <is>
          <t>3</t>
        </is>
      </c>
      <c r="E1330" s="44" t="inlineStr">
        <is>
          <t>Oui</t>
        </is>
      </c>
    </row>
    <row r="1331">
      <c r="A1331" s="42" t="n">
        <v>125</v>
      </c>
      <c r="B1331" s="30" t="inlineStr">
        <is>
          <t>PIDR somme Grenier</t>
        </is>
      </c>
      <c r="C1331" s="45" t="n">
        <v>1454295.879773582</v>
      </c>
      <c r="D1331" s="30" t="inlineStr">
        <is>
          <t>1 454 296 FCFA</t>
        </is>
      </c>
      <c r="E1331" s="46" t="inlineStr">
        <is>
          <t>Oui</t>
        </is>
      </c>
    </row>
    <row r="1332">
      <c r="A1332" s="42" t="n">
        <v>125</v>
      </c>
      <c r="B1332" s="28" t="inlineStr">
        <is>
          <t>PIDR acq somme Grenier</t>
        </is>
      </c>
      <c r="C1332" s="43" t="n">
        <v>2790059.027430555</v>
      </c>
      <c r="D1332" s="28" t="inlineStr">
        <is>
          <t>2 790 059 FCFA</t>
        </is>
      </c>
      <c r="E1332" s="44" t="inlineStr">
        <is>
          <t>Oui</t>
        </is>
      </c>
    </row>
    <row r="1333">
      <c r="A1333" s="42" t="n">
        <v>125</v>
      </c>
      <c r="B1333" s="30" t="inlineStr">
        <is>
          <t>PIDR âge A25-06</t>
        </is>
      </c>
      <c r="C1333" s="45" t="n">
        <v>46</v>
      </c>
      <c r="D1333" s="30" t="inlineStr">
        <is>
          <t>46</t>
        </is>
      </c>
      <c r="E1333" s="46" t="inlineStr">
        <is>
          <t>Oui</t>
        </is>
      </c>
    </row>
    <row r="1334">
      <c r="A1334" s="42" t="n">
        <v>125</v>
      </c>
      <c r="B1334" s="28" t="inlineStr">
        <is>
          <t>PIDR anc A25-06</t>
        </is>
      </c>
      <c r="C1334" s="43" t="n">
        <v>11.91666666666667</v>
      </c>
      <c r="D1334" s="28" t="inlineStr">
        <is>
          <t>11,92</t>
        </is>
      </c>
      <c r="E1334" s="44" t="inlineStr">
        <is>
          <t>Oui</t>
        </is>
      </c>
    </row>
    <row r="1335">
      <c r="A1335" s="42" t="n">
        <v>125</v>
      </c>
      <c r="B1335" s="30" t="inlineStr">
        <is>
          <t>PIDR sal A25-06</t>
        </is>
      </c>
      <c r="C1335" s="45" t="n">
        <v>601940.8333333334</v>
      </c>
      <c r="D1335" s="30" t="inlineStr">
        <is>
          <t>601 941</t>
        </is>
      </c>
      <c r="E1335" s="46" t="inlineStr">
        <is>
          <t>Oui</t>
        </is>
      </c>
    </row>
    <row r="1336">
      <c r="A1336" s="42" t="n">
        <v>125</v>
      </c>
      <c r="B1336" s="28" t="inlineStr">
        <is>
          <t>PIDR acq A25-06</t>
        </is>
      </c>
      <c r="C1336" s="43" t="n">
        <v>2417795.680555556</v>
      </c>
      <c r="D1336" s="28" t="inlineStr">
        <is>
          <t>2 417 796</t>
        </is>
      </c>
      <c r="E1336" s="44" t="inlineStr">
        <is>
          <t>Oui</t>
        </is>
      </c>
    </row>
    <row r="1337">
      <c r="A1337" s="42" t="n">
        <v>125</v>
      </c>
      <c r="B1337" s="30" t="inlineStr">
        <is>
          <t>PIDR dbo A25-06</t>
        </is>
      </c>
      <c r="C1337" s="45" t="n">
        <v>1296015.602695582</v>
      </c>
      <c r="D1337" s="30" t="inlineStr">
        <is>
          <t>1 296 016</t>
        </is>
      </c>
      <c r="E1337" s="46" t="inlineStr">
        <is>
          <t>Oui</t>
        </is>
      </c>
    </row>
    <row r="1338">
      <c r="A1338" s="42" t="n">
        <v>125</v>
      </c>
      <c r="B1338" s="28" t="inlineStr">
        <is>
          <t>PIDR âge A25-29</t>
        </is>
      </c>
      <c r="C1338" s="43" t="n">
        <v>43</v>
      </c>
      <c r="D1338" s="28" t="inlineStr">
        <is>
          <t>43</t>
        </is>
      </c>
      <c r="E1338" s="44" t="inlineStr">
        <is>
          <t>Oui</t>
        </is>
      </c>
    </row>
    <row r="1339">
      <c r="A1339" s="42" t="n">
        <v>125</v>
      </c>
      <c r="B1339" s="30" t="inlineStr">
        <is>
          <t>PIDR anc A25-29</t>
        </is>
      </c>
      <c r="C1339" s="45" t="n">
        <v>4</v>
      </c>
      <c r="D1339" s="30" t="inlineStr">
        <is>
          <t>4,00</t>
        </is>
      </c>
      <c r="E1339" s="46" t="inlineStr">
        <is>
          <t>Oui</t>
        </is>
      </c>
    </row>
    <row r="1340">
      <c r="A1340" s="42" t="n">
        <v>125</v>
      </c>
      <c r="B1340" s="28" t="inlineStr">
        <is>
          <t>PIDR sal A25-29</t>
        </is>
      </c>
      <c r="C1340" s="43" t="n">
        <v>278607</v>
      </c>
      <c r="D1340" s="28" t="inlineStr">
        <is>
          <t>278 607</t>
        </is>
      </c>
      <c r="E1340" s="44" t="inlineStr">
        <is>
          <t>Oui</t>
        </is>
      </c>
    </row>
    <row r="1341">
      <c r="A1341" s="42" t="n">
        <v>125</v>
      </c>
      <c r="B1341" s="30" t="inlineStr">
        <is>
          <t>PIDR acq A25-29</t>
        </is>
      </c>
      <c r="C1341" s="45" t="n">
        <v>334328.4</v>
      </c>
      <c r="D1341" s="30" t="inlineStr">
        <is>
          <t>334 328</t>
        </is>
      </c>
      <c r="E1341" s="46" t="inlineStr">
        <is>
          <t>Oui</t>
        </is>
      </c>
    </row>
    <row r="1342">
      <c r="A1342" s="42" t="n">
        <v>125</v>
      </c>
      <c r="B1342" s="28" t="inlineStr">
        <is>
          <t>PIDR dbo A25-29</t>
        </is>
      </c>
      <c r="C1342" s="43" t="n">
        <v>155167.742017276</v>
      </c>
      <c r="D1342" s="28" t="inlineStr">
        <is>
          <t>155 168</t>
        </is>
      </c>
      <c r="E1342" s="44" t="inlineStr">
        <is>
          <t>Oui</t>
        </is>
      </c>
    </row>
    <row r="1343">
      <c r="A1343" s="42" t="n">
        <v>125</v>
      </c>
      <c r="B1343" s="30" t="inlineStr">
        <is>
          <t>PIDR âge A25-64</t>
        </is>
      </c>
      <c r="C1343" s="45" t="n">
        <v>19</v>
      </c>
      <c r="D1343" s="30" t="inlineStr">
        <is>
          <t>19</t>
        </is>
      </c>
      <c r="E1343" s="46" t="inlineStr">
        <is>
          <t>Oui</t>
        </is>
      </c>
    </row>
    <row r="1344">
      <c r="A1344" s="42" t="n">
        <v>125</v>
      </c>
      <c r="B1344" s="28" t="inlineStr">
        <is>
          <t>PIDR anc A25-64</t>
        </is>
      </c>
      <c r="C1344" s="43" t="n">
        <v>0.5833333333333334</v>
      </c>
      <c r="D1344" s="28" t="inlineStr">
        <is>
          <t>0,58</t>
        </is>
      </c>
      <c r="E1344" s="44" t="inlineStr">
        <is>
          <t>Oui</t>
        </is>
      </c>
    </row>
    <row r="1345">
      <c r="A1345" s="42" t="n">
        <v>125</v>
      </c>
      <c r="B1345" s="30" t="inlineStr">
        <is>
          <t>PIDR sal A25-64</t>
        </is>
      </c>
      <c r="C1345" s="45" t="n">
        <v>216771.125</v>
      </c>
      <c r="D1345" s="30" t="inlineStr">
        <is>
          <t>216 771</t>
        </is>
      </c>
      <c r="E1345" s="46" t="inlineStr">
        <is>
          <t>Oui</t>
        </is>
      </c>
    </row>
    <row r="1346">
      <c r="A1346" s="42" t="n">
        <v>125</v>
      </c>
      <c r="B1346" s="28" t="inlineStr">
        <is>
          <t>PIDR acq A25-64</t>
        </is>
      </c>
      <c r="C1346" s="43" t="n">
        <v>37934.946875</v>
      </c>
      <c r="D1346" s="28" t="inlineStr">
        <is>
          <t>37 935</t>
        </is>
      </c>
      <c r="E1346" s="44" t="inlineStr">
        <is>
          <t>Oui</t>
        </is>
      </c>
    </row>
    <row r="1347">
      <c r="A1347" s="42" t="n">
        <v>125</v>
      </c>
      <c r="B1347" s="30" t="inlineStr">
        <is>
          <t>PIDR dbo A25-64</t>
        </is>
      </c>
      <c r="C1347" s="45" t="n">
        <v>3112.535060723952</v>
      </c>
      <c r="D1347" s="30" t="inlineStr">
        <is>
          <t>3 113</t>
        </is>
      </c>
      <c r="E1347" s="46" t="inlineStr">
        <is>
          <t>Oui</t>
        </is>
      </c>
    </row>
    <row r="1348">
      <c r="A1348" s="42" t="n">
        <v>125</v>
      </c>
      <c r="B1348" s="28" t="inlineStr">
        <is>
          <t>PIDR top Grenier</t>
        </is>
      </c>
      <c r="C1348" s="43" t="n">
        <v>1296015.602695582</v>
      </c>
      <c r="D1348" s="28" t="inlineStr">
        <is>
          <t>1 296 016 FCFA</t>
        </is>
      </c>
      <c r="E1348" s="44" t="inlineStr">
        <is>
          <t>Oui</t>
        </is>
      </c>
    </row>
    <row r="1349">
      <c r="A1349" s="42" t="n">
        <v>125</v>
      </c>
      <c r="B1349" s="30" t="inlineStr">
        <is>
          <t>PIDR top anc Grenier</t>
        </is>
      </c>
      <c r="C1349" s="45" t="n">
        <v>11.91666666666667</v>
      </c>
      <c r="D1349" s="30" t="inlineStr">
        <is>
          <t>11,92</t>
        </is>
      </c>
      <c r="E1349" s="46" t="inlineStr">
        <is>
          <t>Oui</t>
        </is>
      </c>
    </row>
    <row r="1350">
      <c r="A1350" s="42" t="n">
        <v>126</v>
      </c>
      <c r="B1350" s="28" t="inlineStr">
        <is>
          <t>PIDR n Non documentée (1/2)</t>
        </is>
      </c>
      <c r="C1350" s="43" t="n">
        <v>10</v>
      </c>
      <c r="D1350" s="28" t="inlineStr">
        <is>
          <t>10</t>
        </is>
      </c>
      <c r="E1350" s="44" t="inlineStr">
        <is>
          <t>Oui</t>
        </is>
      </c>
    </row>
    <row r="1351">
      <c r="A1351" s="42" t="n">
        <v>126</v>
      </c>
      <c r="B1351" s="30" t="inlineStr">
        <is>
          <t>PIDR somme Non documentée (1/2)</t>
        </is>
      </c>
      <c r="C1351" s="45" t="n">
        <v>143224.9462636179</v>
      </c>
      <c r="D1351" s="30" t="inlineStr">
        <is>
          <t>143 225 FCFA</t>
        </is>
      </c>
      <c r="E1351" s="46" t="inlineStr">
        <is>
          <t>Oui</t>
        </is>
      </c>
    </row>
    <row r="1352">
      <c r="A1352" s="42" t="n">
        <v>126</v>
      </c>
      <c r="B1352" s="28" t="inlineStr">
        <is>
          <t>PIDR acq somme Non documentée (1/2)</t>
        </is>
      </c>
      <c r="C1352" s="43" t="n">
        <v>355935.3746031746</v>
      </c>
      <c r="D1352" s="28" t="inlineStr">
        <is>
          <t>355 935 FCFA</t>
        </is>
      </c>
      <c r="E1352" s="44" t="inlineStr">
        <is>
          <t>Oui</t>
        </is>
      </c>
    </row>
    <row r="1353">
      <c r="A1353" s="42" t="n">
        <v>126</v>
      </c>
      <c r="B1353" s="30" t="inlineStr">
        <is>
          <t>PIDR âge A25-68</t>
        </is>
      </c>
      <c r="C1353" s="45" t="n">
        <v>44</v>
      </c>
      <c r="D1353" s="30" t="inlineStr">
        <is>
          <t>44</t>
        </is>
      </c>
      <c r="E1353" s="46" t="inlineStr">
        <is>
          <t>Oui</t>
        </is>
      </c>
    </row>
    <row r="1354">
      <c r="A1354" s="42" t="n">
        <v>126</v>
      </c>
      <c r="B1354" s="28" t="inlineStr">
        <is>
          <t>PIDR anc A25-68</t>
        </is>
      </c>
      <c r="C1354" s="43" t="n">
        <v>0.5</v>
      </c>
      <c r="D1354" s="28" t="inlineStr">
        <is>
          <t>0,50</t>
        </is>
      </c>
      <c r="E1354" s="44" t="inlineStr">
        <is>
          <t>Oui</t>
        </is>
      </c>
    </row>
    <row r="1355">
      <c r="A1355" s="42" t="n">
        <v>126</v>
      </c>
      <c r="B1355" s="30" t="inlineStr">
        <is>
          <t>PIDR sal A25-68</t>
        </is>
      </c>
      <c r="C1355" s="45" t="n">
        <v>329861.4285714286</v>
      </c>
      <c r="D1355" s="30" t="inlineStr">
        <is>
          <t>329 861</t>
        </is>
      </c>
      <c r="E1355" s="46" t="inlineStr">
        <is>
          <t>Oui</t>
        </is>
      </c>
    </row>
    <row r="1356">
      <c r="A1356" s="42" t="n">
        <v>126</v>
      </c>
      <c r="B1356" s="28" t="inlineStr">
        <is>
          <t>PIDR acq A25-68</t>
        </is>
      </c>
      <c r="C1356" s="43" t="n">
        <v>49479.21428571428</v>
      </c>
      <c r="D1356" s="28" t="inlineStr">
        <is>
          <t>49 479</t>
        </is>
      </c>
      <c r="E1356" s="44" t="inlineStr">
        <is>
          <t>Oui</t>
        </is>
      </c>
    </row>
    <row r="1357">
      <c r="A1357" s="42" t="n">
        <v>126</v>
      </c>
      <c r="B1357" s="30" t="inlineStr">
        <is>
          <t>PIDR dbo A25-68</t>
        </is>
      </c>
      <c r="C1357" s="45" t="n">
        <v>23499.81340011976</v>
      </c>
      <c r="D1357" s="30" t="inlineStr">
        <is>
          <t>23 500</t>
        </is>
      </c>
      <c r="E1357" s="46" t="inlineStr">
        <is>
          <t>Oui</t>
        </is>
      </c>
    </row>
    <row r="1358">
      <c r="A1358" s="42" t="n">
        <v>126</v>
      </c>
      <c r="B1358" s="28" t="inlineStr">
        <is>
          <t>PIDR âge A25-67</t>
        </is>
      </c>
      <c r="C1358" s="43" t="n">
        <v>47</v>
      </c>
      <c r="D1358" s="28" t="inlineStr">
        <is>
          <t>47</t>
        </is>
      </c>
      <c r="E1358" s="44" t="inlineStr">
        <is>
          <t>Oui</t>
        </is>
      </c>
    </row>
    <row r="1359">
      <c r="A1359" s="42" t="n">
        <v>126</v>
      </c>
      <c r="B1359" s="30" t="inlineStr">
        <is>
          <t>PIDR anc A25-67</t>
        </is>
      </c>
      <c r="C1359" s="45" t="n">
        <v>0.5</v>
      </c>
      <c r="D1359" s="30" t="inlineStr">
        <is>
          <t>0,50</t>
        </is>
      </c>
      <c r="E1359" s="46" t="inlineStr">
        <is>
          <t>Oui</t>
        </is>
      </c>
    </row>
    <row r="1360">
      <c r="A1360" s="42" t="n">
        <v>126</v>
      </c>
      <c r="B1360" s="28" t="inlineStr">
        <is>
          <t>PIDR sal A25-67</t>
        </is>
      </c>
      <c r="C1360" s="43" t="n">
        <v>216619.1428571429</v>
      </c>
      <c r="D1360" s="28" t="inlineStr">
        <is>
          <t>216 619</t>
        </is>
      </c>
      <c r="E1360" s="44" t="inlineStr">
        <is>
          <t>Oui</t>
        </is>
      </c>
    </row>
    <row r="1361">
      <c r="A1361" s="42" t="n">
        <v>126</v>
      </c>
      <c r="B1361" s="30" t="inlineStr">
        <is>
          <t>PIDR acq A25-67</t>
        </is>
      </c>
      <c r="C1361" s="45" t="n">
        <v>32492.87142857143</v>
      </c>
      <c r="D1361" s="30" t="inlineStr">
        <is>
          <t>32 493</t>
        </is>
      </c>
      <c r="E1361" s="46" t="inlineStr">
        <is>
          <t>Oui</t>
        </is>
      </c>
    </row>
    <row r="1362">
      <c r="A1362" s="42" t="n">
        <v>126</v>
      </c>
      <c r="B1362" s="28" t="inlineStr">
        <is>
          <t>PIDR dbo A25-67</t>
        </is>
      </c>
      <c r="C1362" s="43" t="n">
        <v>18607.9042796028</v>
      </c>
      <c r="D1362" s="28" t="inlineStr">
        <is>
          <t>18 608</t>
        </is>
      </c>
      <c r="E1362" s="44" t="inlineStr">
        <is>
          <t>Oui</t>
        </is>
      </c>
    </row>
    <row r="1363">
      <c r="A1363" s="42" t="n">
        <v>126</v>
      </c>
      <c r="B1363" s="30" t="inlineStr">
        <is>
          <t>PIDR âge A25-59</t>
        </is>
      </c>
      <c r="C1363" s="45" t="n">
        <v>32</v>
      </c>
      <c r="D1363" s="30" t="inlineStr">
        <is>
          <t>32</t>
        </is>
      </c>
      <c r="E1363" s="46" t="inlineStr">
        <is>
          <t>Oui</t>
        </is>
      </c>
    </row>
    <row r="1364">
      <c r="A1364" s="42" t="n">
        <v>126</v>
      </c>
      <c r="B1364" s="28" t="inlineStr">
        <is>
          <t>PIDR anc A25-59</t>
        </is>
      </c>
      <c r="C1364" s="43" t="n">
        <v>0.8333333333333334</v>
      </c>
      <c r="D1364" s="28" t="inlineStr">
        <is>
          <t>0,83</t>
        </is>
      </c>
      <c r="E1364" s="44" t="inlineStr">
        <is>
          <t>Oui</t>
        </is>
      </c>
    </row>
    <row r="1365">
      <c r="A1365" s="42" t="n">
        <v>126</v>
      </c>
      <c r="B1365" s="30" t="inlineStr">
        <is>
          <t>PIDR sal A25-59</t>
        </is>
      </c>
      <c r="C1365" s="45" t="n">
        <v>297488.3333333333</v>
      </c>
      <c r="D1365" s="30" t="inlineStr">
        <is>
          <t>297 488</t>
        </is>
      </c>
      <c r="E1365" s="46" t="inlineStr">
        <is>
          <t>Oui</t>
        </is>
      </c>
    </row>
    <row r="1366">
      <c r="A1366" s="42" t="n">
        <v>126</v>
      </c>
      <c r="B1366" s="28" t="inlineStr">
        <is>
          <t>PIDR acq A25-59</t>
        </is>
      </c>
      <c r="C1366" s="43" t="n">
        <v>74372.08333333333</v>
      </c>
      <c r="D1366" s="28" t="inlineStr">
        <is>
          <t>74 372</t>
        </is>
      </c>
      <c r="E1366" s="44" t="inlineStr">
        <is>
          <t>Oui</t>
        </is>
      </c>
    </row>
    <row r="1367">
      <c r="A1367" s="42" t="n">
        <v>126</v>
      </c>
      <c r="B1367" s="30" t="inlineStr">
        <is>
          <t>PIDR dbo A25-59</t>
        </is>
      </c>
      <c r="C1367" s="45" t="n">
        <v>15692.16136552047</v>
      </c>
      <c r="D1367" s="30" t="inlineStr">
        <is>
          <t>15 692</t>
        </is>
      </c>
      <c r="E1367" s="46" t="inlineStr">
        <is>
          <t>Oui</t>
        </is>
      </c>
    </row>
    <row r="1368">
      <c r="A1368" s="42" t="n">
        <v>126</v>
      </c>
      <c r="B1368" s="28" t="inlineStr">
        <is>
          <t>PIDR âge A25-63</t>
        </is>
      </c>
      <c r="C1368" s="43" t="n">
        <v>50</v>
      </c>
      <c r="D1368" s="28" t="inlineStr">
        <is>
          <t>50</t>
        </is>
      </c>
      <c r="E1368" s="44" t="inlineStr">
        <is>
          <t>Oui</t>
        </is>
      </c>
    </row>
    <row r="1369">
      <c r="A1369" s="42" t="n">
        <v>126</v>
      </c>
      <c r="B1369" s="30" t="inlineStr">
        <is>
          <t>PIDR anc A25-63</t>
        </is>
      </c>
      <c r="C1369" s="45" t="n">
        <v>0.75</v>
      </c>
      <c r="D1369" s="30" t="inlineStr">
        <is>
          <t>0,75</t>
        </is>
      </c>
      <c r="E1369" s="46" t="inlineStr">
        <is>
          <t>Oui</t>
        </is>
      </c>
    </row>
    <row r="1370">
      <c r="A1370" s="42" t="n">
        <v>126</v>
      </c>
      <c r="B1370" s="28" t="inlineStr">
        <is>
          <t>PIDR sal A25-63</t>
        </is>
      </c>
      <c r="C1370" s="43" t="n">
        <v>95175.77777777778</v>
      </c>
      <c r="D1370" s="28" t="inlineStr">
        <is>
          <t>95 176</t>
        </is>
      </c>
      <c r="E1370" s="44" t="inlineStr">
        <is>
          <t>Oui</t>
        </is>
      </c>
    </row>
    <row r="1371">
      <c r="A1371" s="42" t="n">
        <v>126</v>
      </c>
      <c r="B1371" s="30" t="inlineStr">
        <is>
          <t>PIDR acq A25-63</t>
        </is>
      </c>
      <c r="C1371" s="45" t="n">
        <v>21414.55</v>
      </c>
      <c r="D1371" s="30" t="inlineStr">
        <is>
          <t>21 415</t>
        </is>
      </c>
      <c r="E1371" s="46" t="inlineStr">
        <is>
          <t>Oui</t>
        </is>
      </c>
    </row>
    <row r="1372">
      <c r="A1372" s="42" t="n">
        <v>126</v>
      </c>
      <c r="B1372" s="28" t="inlineStr">
        <is>
          <t>PIDR dbo A25-63</t>
        </is>
      </c>
      <c r="C1372" s="43" t="n">
        <v>14791.87340383453</v>
      </c>
      <c r="D1372" s="28" t="inlineStr">
        <is>
          <t>14 792</t>
        </is>
      </c>
      <c r="E1372" s="44" t="inlineStr">
        <is>
          <t>Oui</t>
        </is>
      </c>
    </row>
    <row r="1373">
      <c r="A1373" s="42" t="n">
        <v>126</v>
      </c>
      <c r="B1373" s="30" t="inlineStr">
        <is>
          <t>PIDR âge A25-72</t>
        </is>
      </c>
      <c r="C1373" s="45" t="n">
        <v>43</v>
      </c>
      <c r="D1373" s="30" t="inlineStr">
        <is>
          <t>43</t>
        </is>
      </c>
      <c r="E1373" s="46" t="inlineStr">
        <is>
          <t>Oui</t>
        </is>
      </c>
    </row>
    <row r="1374">
      <c r="A1374" s="42" t="n">
        <v>126</v>
      </c>
      <c r="B1374" s="28" t="inlineStr">
        <is>
          <t>PIDR anc A25-72</t>
        </is>
      </c>
      <c r="C1374" s="43" t="n">
        <v>0.5</v>
      </c>
      <c r="D1374" s="28" t="inlineStr">
        <is>
          <t>0,50</t>
        </is>
      </c>
      <c r="E1374" s="44" t="inlineStr">
        <is>
          <t>Oui</t>
        </is>
      </c>
    </row>
    <row r="1375">
      <c r="A1375" s="42" t="n">
        <v>126</v>
      </c>
      <c r="B1375" s="30" t="inlineStr">
        <is>
          <t>PIDR sal A25-72</t>
        </is>
      </c>
      <c r="C1375" s="45" t="n">
        <v>215193.7142857143</v>
      </c>
      <c r="D1375" s="30" t="inlineStr">
        <is>
          <t>215 194</t>
        </is>
      </c>
      <c r="E1375" s="46" t="inlineStr">
        <is>
          <t>Oui</t>
        </is>
      </c>
    </row>
    <row r="1376">
      <c r="A1376" s="42" t="n">
        <v>126</v>
      </c>
      <c r="B1376" s="28" t="inlineStr">
        <is>
          <t>PIDR acq A25-72</t>
        </is>
      </c>
      <c r="C1376" s="43" t="n">
        <v>32279.05714285714</v>
      </c>
      <c r="D1376" s="28" t="inlineStr">
        <is>
          <t>32 279</t>
        </is>
      </c>
      <c r="E1376" s="44" t="inlineStr">
        <is>
          <t>Oui</t>
        </is>
      </c>
    </row>
    <row r="1377">
      <c r="A1377" s="42" t="n">
        <v>126</v>
      </c>
      <c r="B1377" s="30" t="inlineStr">
        <is>
          <t>PIDR dbo A25-72</t>
        </is>
      </c>
      <c r="C1377" s="45" t="n">
        <v>14424.45665579245</v>
      </c>
      <c r="D1377" s="30" t="inlineStr">
        <is>
          <t>14 424</t>
        </is>
      </c>
      <c r="E1377" s="46" t="inlineStr">
        <is>
          <t>Oui</t>
        </is>
      </c>
    </row>
    <row r="1378">
      <c r="A1378" s="42" t="n">
        <v>126</v>
      </c>
      <c r="B1378" s="28" t="inlineStr">
        <is>
          <t>PIDR âge A25-62</t>
        </is>
      </c>
      <c r="C1378" s="43" t="n">
        <v>49</v>
      </c>
      <c r="D1378" s="28" t="inlineStr">
        <is>
          <t>49</t>
        </is>
      </c>
      <c r="E1378" s="44" t="inlineStr">
        <is>
          <t>Oui</t>
        </is>
      </c>
    </row>
    <row r="1379">
      <c r="A1379" s="42" t="n">
        <v>126</v>
      </c>
      <c r="B1379" s="30" t="inlineStr">
        <is>
          <t>PIDR anc A25-62</t>
        </is>
      </c>
      <c r="C1379" s="45" t="n">
        <v>0.6666666666666666</v>
      </c>
      <c r="D1379" s="30" t="inlineStr">
        <is>
          <t>0,67</t>
        </is>
      </c>
      <c r="E1379" s="46" t="inlineStr">
        <is>
          <t>Oui</t>
        </is>
      </c>
    </row>
    <row r="1380">
      <c r="A1380" s="42" t="n">
        <v>126</v>
      </c>
      <c r="B1380" s="28" t="inlineStr">
        <is>
          <t>PIDR sal A25-62</t>
        </is>
      </c>
      <c r="C1380" s="43" t="n">
        <v>103726.7777777778</v>
      </c>
      <c r="D1380" s="28" t="inlineStr">
        <is>
          <t>103 727</t>
        </is>
      </c>
      <c r="E1380" s="44" t="inlineStr">
        <is>
          <t>Oui</t>
        </is>
      </c>
    </row>
    <row r="1381">
      <c r="A1381" s="42" t="n">
        <v>126</v>
      </c>
      <c r="B1381" s="30" t="inlineStr">
        <is>
          <t>PIDR acq A25-62</t>
        </is>
      </c>
      <c r="C1381" s="45" t="n">
        <v>20745.35555555555</v>
      </c>
      <c r="D1381" s="30" t="inlineStr">
        <is>
          <t>20 745</t>
        </is>
      </c>
      <c r="E1381" s="46" t="inlineStr">
        <is>
          <t>Oui</t>
        </is>
      </c>
    </row>
    <row r="1382">
      <c r="A1382" s="42" t="n">
        <v>126</v>
      </c>
      <c r="B1382" s="28" t="inlineStr">
        <is>
          <t>PIDR dbo A25-62</t>
        </is>
      </c>
      <c r="C1382" s="43" t="n">
        <v>13517.81750285694</v>
      </c>
      <c r="D1382" s="28" t="inlineStr">
        <is>
          <t>13 518</t>
        </is>
      </c>
      <c r="E1382" s="44" t="inlineStr">
        <is>
          <t>Oui</t>
        </is>
      </c>
    </row>
    <row r="1383">
      <c r="A1383" s="42" t="n">
        <v>126</v>
      </c>
      <c r="B1383" s="30" t="inlineStr">
        <is>
          <t>PIDR âge A25-66</t>
        </is>
      </c>
      <c r="C1383" s="45" t="n">
        <v>43</v>
      </c>
      <c r="D1383" s="30" t="inlineStr">
        <is>
          <t>43</t>
        </is>
      </c>
      <c r="E1383" s="46" t="inlineStr">
        <is>
          <t>Oui</t>
        </is>
      </c>
    </row>
    <row r="1384">
      <c r="A1384" s="42" t="n">
        <v>126</v>
      </c>
      <c r="B1384" s="28" t="inlineStr">
        <is>
          <t>PIDR anc A25-66</t>
        </is>
      </c>
      <c r="C1384" s="43" t="n">
        <v>0.5</v>
      </c>
      <c r="D1384" s="28" t="inlineStr">
        <is>
          <t>0,50</t>
        </is>
      </c>
      <c r="E1384" s="44" t="inlineStr">
        <is>
          <t>Oui</t>
        </is>
      </c>
    </row>
    <row r="1385">
      <c r="A1385" s="42" t="n">
        <v>126</v>
      </c>
      <c r="B1385" s="30" t="inlineStr">
        <is>
          <t>PIDR sal A25-66</t>
        </is>
      </c>
      <c r="C1385" s="45" t="n">
        <v>195446.7142857143</v>
      </c>
      <c r="D1385" s="30" t="inlineStr">
        <is>
          <t>195 447</t>
        </is>
      </c>
      <c r="E1385" s="46" t="inlineStr">
        <is>
          <t>Oui</t>
        </is>
      </c>
    </row>
    <row r="1386">
      <c r="A1386" s="42" t="n">
        <v>126</v>
      </c>
      <c r="B1386" s="28" t="inlineStr">
        <is>
          <t>PIDR acq A25-66</t>
        </is>
      </c>
      <c r="C1386" s="43" t="n">
        <v>29317.00714285714</v>
      </c>
      <c r="D1386" s="28" t="inlineStr">
        <is>
          <t>29 317</t>
        </is>
      </c>
      <c r="E1386" s="44" t="inlineStr">
        <is>
          <t>Oui</t>
        </is>
      </c>
    </row>
    <row r="1387">
      <c r="A1387" s="42" t="n">
        <v>126</v>
      </c>
      <c r="B1387" s="30" t="inlineStr">
        <is>
          <t>PIDR dbo A25-66</t>
        </is>
      </c>
      <c r="C1387" s="45" t="n">
        <v>13100.81322816078</v>
      </c>
      <c r="D1387" s="30" t="inlineStr">
        <is>
          <t>13 101</t>
        </is>
      </c>
      <c r="E1387" s="46" t="inlineStr">
        <is>
          <t>Oui</t>
        </is>
      </c>
    </row>
    <row r="1388">
      <c r="A1388" s="42" t="n">
        <v>126</v>
      </c>
      <c r="B1388" s="28" t="inlineStr">
        <is>
          <t>PIDR âge A25-70</t>
        </is>
      </c>
      <c r="C1388" s="43" t="n">
        <v>40</v>
      </c>
      <c r="D1388" s="28" t="inlineStr">
        <is>
          <t>40</t>
        </is>
      </c>
      <c r="E1388" s="44" t="inlineStr">
        <is>
          <t>Oui</t>
        </is>
      </c>
    </row>
    <row r="1389">
      <c r="A1389" s="42" t="n">
        <v>126</v>
      </c>
      <c r="B1389" s="30" t="inlineStr">
        <is>
          <t>PIDR anc A25-70</t>
        </is>
      </c>
      <c r="C1389" s="45" t="n">
        <v>0.5</v>
      </c>
      <c r="D1389" s="30" t="inlineStr">
        <is>
          <t>0,50</t>
        </is>
      </c>
      <c r="E1389" s="46" t="inlineStr">
        <is>
          <t>Oui</t>
        </is>
      </c>
    </row>
    <row r="1390">
      <c r="A1390" s="42" t="n">
        <v>126</v>
      </c>
      <c r="B1390" s="28" t="inlineStr">
        <is>
          <t>PIDR sal A25-70</t>
        </is>
      </c>
      <c r="C1390" s="43" t="n">
        <v>210908</v>
      </c>
      <c r="D1390" s="28" t="inlineStr">
        <is>
          <t>210 908</t>
        </is>
      </c>
      <c r="E1390" s="44" t="inlineStr">
        <is>
          <t>Oui</t>
        </is>
      </c>
    </row>
    <row r="1391">
      <c r="A1391" s="42" t="n">
        <v>126</v>
      </c>
      <c r="B1391" s="30" t="inlineStr">
        <is>
          <t>PIDR acq A25-70</t>
        </is>
      </c>
      <c r="C1391" s="45" t="n">
        <v>31636.2</v>
      </c>
      <c r="D1391" s="30" t="inlineStr">
        <is>
          <t>31 636</t>
        </is>
      </c>
      <c r="E1391" s="46" t="inlineStr">
        <is>
          <t>Oui</t>
        </is>
      </c>
    </row>
    <row r="1392">
      <c r="A1392" s="42" t="n">
        <v>126</v>
      </c>
      <c r="B1392" s="28" t="inlineStr">
        <is>
          <t>PIDR dbo A25-70</t>
        </is>
      </c>
      <c r="C1392" s="43" t="n">
        <v>11638.44724960557</v>
      </c>
      <c r="D1392" s="28" t="inlineStr">
        <is>
          <t>11 638</t>
        </is>
      </c>
      <c r="E1392" s="44" t="inlineStr">
        <is>
          <t>Oui</t>
        </is>
      </c>
    </row>
    <row r="1393">
      <c r="A1393" s="42" t="n">
        <v>126</v>
      </c>
      <c r="B1393" s="30" t="inlineStr">
        <is>
          <t>PIDR âge A25-65</t>
        </is>
      </c>
      <c r="C1393" s="45" t="n">
        <v>36</v>
      </c>
      <c r="D1393" s="30" t="inlineStr">
        <is>
          <t>36</t>
        </is>
      </c>
      <c r="E1393" s="46" t="inlineStr">
        <is>
          <t>Oui</t>
        </is>
      </c>
    </row>
    <row r="1394">
      <c r="A1394" s="42" t="n">
        <v>126</v>
      </c>
      <c r="B1394" s="28" t="inlineStr">
        <is>
          <t>PIDR anc A25-65</t>
        </is>
      </c>
      <c r="C1394" s="43" t="n">
        <v>0.5</v>
      </c>
      <c r="D1394" s="28" t="inlineStr">
        <is>
          <t>0,50</t>
        </is>
      </c>
      <c r="E1394" s="44" t="inlineStr">
        <is>
          <t>Oui</t>
        </is>
      </c>
    </row>
    <row r="1395">
      <c r="A1395" s="42" t="n">
        <v>126</v>
      </c>
      <c r="B1395" s="30" t="inlineStr">
        <is>
          <t>PIDR sal A25-65</t>
        </is>
      </c>
      <c r="C1395" s="45" t="n">
        <v>219636.4285714286</v>
      </c>
      <c r="D1395" s="30" t="inlineStr">
        <is>
          <t>219 636</t>
        </is>
      </c>
      <c r="E1395" s="46" t="inlineStr">
        <is>
          <t>Oui</t>
        </is>
      </c>
    </row>
    <row r="1396">
      <c r="A1396" s="42" t="n">
        <v>126</v>
      </c>
      <c r="B1396" s="28" t="inlineStr">
        <is>
          <t>PIDR acq A25-65</t>
        </is>
      </c>
      <c r="C1396" s="43" t="n">
        <v>32945.46428571428</v>
      </c>
      <c r="D1396" s="28" t="inlineStr">
        <is>
          <t>32 945</t>
        </is>
      </c>
      <c r="E1396" s="44" t="inlineStr">
        <is>
          <t>Oui</t>
        </is>
      </c>
    </row>
    <row r="1397">
      <c r="A1397" s="42" t="n">
        <v>126</v>
      </c>
      <c r="B1397" s="30" t="inlineStr">
        <is>
          <t>PIDR dbo A25-65</t>
        </is>
      </c>
      <c r="C1397" s="45" t="n">
        <v>9212.377409441588</v>
      </c>
      <c r="D1397" s="30" t="inlineStr">
        <is>
          <t>9 212</t>
        </is>
      </c>
      <c r="E1397" s="46" t="inlineStr">
        <is>
          <t>Oui</t>
        </is>
      </c>
    </row>
    <row r="1398">
      <c r="A1398" s="42" t="n">
        <v>126</v>
      </c>
      <c r="B1398" s="28" t="inlineStr">
        <is>
          <t>PIDR âge A25-71</t>
        </is>
      </c>
      <c r="C1398" s="43" t="n">
        <v>36</v>
      </c>
      <c r="D1398" s="28" t="inlineStr">
        <is>
          <t>36</t>
        </is>
      </c>
      <c r="E1398" s="44" t="inlineStr">
        <is>
          <t>Oui</t>
        </is>
      </c>
    </row>
    <row r="1399">
      <c r="A1399" s="42" t="n">
        <v>126</v>
      </c>
      <c r="B1399" s="30" t="inlineStr">
        <is>
          <t>PIDR anc A25-71</t>
        </is>
      </c>
      <c r="C1399" s="45" t="n">
        <v>0.5</v>
      </c>
      <c r="D1399" s="30" t="inlineStr">
        <is>
          <t>0,50</t>
        </is>
      </c>
      <c r="E1399" s="46" t="inlineStr">
        <is>
          <t>Oui</t>
        </is>
      </c>
    </row>
    <row r="1400">
      <c r="A1400" s="42" t="n">
        <v>126</v>
      </c>
      <c r="B1400" s="28" t="inlineStr">
        <is>
          <t>PIDR sal A25-71</t>
        </is>
      </c>
      <c r="C1400" s="43" t="n">
        <v>208357.1428571429</v>
      </c>
      <c r="D1400" s="28" t="inlineStr">
        <is>
          <t>208 357</t>
        </is>
      </c>
      <c r="E1400" s="44" t="inlineStr">
        <is>
          <t>Oui</t>
        </is>
      </c>
    </row>
    <row r="1401">
      <c r="A1401" s="42" t="n">
        <v>126</v>
      </c>
      <c r="B1401" s="30" t="inlineStr">
        <is>
          <t>PIDR acq A25-71</t>
        </is>
      </c>
      <c r="C1401" s="45" t="n">
        <v>31253.57142857143</v>
      </c>
      <c r="D1401" s="30" t="inlineStr">
        <is>
          <t>31 254</t>
        </is>
      </c>
      <c r="E1401" s="46" t="inlineStr">
        <is>
          <t>Oui</t>
        </is>
      </c>
    </row>
    <row r="1402">
      <c r="A1402" s="42" t="n">
        <v>126</v>
      </c>
      <c r="B1402" s="28" t="inlineStr">
        <is>
          <t>PIDR dbo A25-71</t>
        </is>
      </c>
      <c r="C1402" s="43" t="n">
        <v>8739.281768683022</v>
      </c>
      <c r="D1402" s="28" t="inlineStr">
        <is>
          <t>8 739</t>
        </is>
      </c>
      <c r="E1402" s="44" t="inlineStr">
        <is>
          <t>Oui</t>
        </is>
      </c>
    </row>
    <row r="1403">
      <c r="A1403" s="42" t="n">
        <v>126</v>
      </c>
      <c r="B1403" s="30" t="inlineStr">
        <is>
          <t>PIDR top Non documentée (1/2)</t>
        </is>
      </c>
      <c r="C1403" s="45" t="n">
        <v>23499.81340011976</v>
      </c>
      <c r="D1403" s="30" t="inlineStr">
        <is>
          <t>23 500 FCFA</t>
        </is>
      </c>
      <c r="E1403" s="46" t="inlineStr">
        <is>
          <t>Oui</t>
        </is>
      </c>
    </row>
    <row r="1404">
      <c r="A1404" s="42" t="n">
        <v>126</v>
      </c>
      <c r="B1404" s="28" t="inlineStr">
        <is>
          <t>PIDR top anc Non documentée (1/2)</t>
        </is>
      </c>
      <c r="C1404" s="43" t="n">
        <v>0.5</v>
      </c>
      <c r="D1404" s="28" t="inlineStr">
        <is>
          <t>0,50</t>
        </is>
      </c>
      <c r="E1404" s="44" t="inlineStr">
        <is>
          <t>Oui</t>
        </is>
      </c>
    </row>
    <row r="1405">
      <c r="A1405" s="42" t="n">
        <v>127</v>
      </c>
      <c r="B1405" s="30" t="inlineStr">
        <is>
          <t>PIDR n Non documentée (2/2)</t>
        </is>
      </c>
      <c r="C1405" s="45" t="n">
        <v>9</v>
      </c>
      <c r="D1405" s="30" t="inlineStr">
        <is>
          <t>9</t>
        </is>
      </c>
      <c r="E1405" s="46" t="inlineStr">
        <is>
          <t>Oui</t>
        </is>
      </c>
    </row>
    <row r="1406">
      <c r="A1406" s="42" t="n">
        <v>127</v>
      </c>
      <c r="B1406" s="28" t="inlineStr">
        <is>
          <t>PIDR somme Non documentée (2/2)</t>
        </is>
      </c>
      <c r="C1406" s="43" t="n">
        <v>50244.16245755279</v>
      </c>
      <c r="D1406" s="28" t="inlineStr">
        <is>
          <t>50 244 FCFA</t>
        </is>
      </c>
      <c r="E1406" s="44" t="inlineStr">
        <is>
          <t>Oui</t>
        </is>
      </c>
    </row>
    <row r="1407">
      <c r="A1407" s="42" t="n">
        <v>127</v>
      </c>
      <c r="B1407" s="30" t="inlineStr">
        <is>
          <t>PIDR acq somme Non documentée (2/2)</t>
        </is>
      </c>
      <c r="C1407" s="45" t="n">
        <v>217943.2172619048</v>
      </c>
      <c r="D1407" s="30" t="inlineStr">
        <is>
          <t>217 943 FCFA</t>
        </is>
      </c>
      <c r="E1407" s="46" t="inlineStr">
        <is>
          <t>Oui</t>
        </is>
      </c>
    </row>
    <row r="1408">
      <c r="A1408" s="42" t="n">
        <v>127</v>
      </c>
      <c r="B1408" s="28" t="inlineStr">
        <is>
          <t>PIDR âge A25-60</t>
        </is>
      </c>
      <c r="C1408" s="43" t="n">
        <v>26</v>
      </c>
      <c r="D1408" s="28" t="inlineStr">
        <is>
          <t>26</t>
        </is>
      </c>
      <c r="E1408" s="44" t="inlineStr">
        <is>
          <t>Oui</t>
        </is>
      </c>
    </row>
    <row r="1409">
      <c r="A1409" s="42" t="n">
        <v>127</v>
      </c>
      <c r="B1409" s="30" t="inlineStr">
        <is>
          <t>PIDR anc A25-60</t>
        </is>
      </c>
      <c r="C1409" s="45" t="n">
        <v>0.8333333333333334</v>
      </c>
      <c r="D1409" s="30" t="inlineStr">
        <is>
          <t>0,83</t>
        </is>
      </c>
      <c r="E1409" s="46" t="inlineStr">
        <is>
          <t>Oui</t>
        </is>
      </c>
    </row>
    <row r="1410">
      <c r="A1410" s="42" t="n">
        <v>127</v>
      </c>
      <c r="B1410" s="28" t="inlineStr">
        <is>
          <t>PIDR sal A25-60</t>
        </is>
      </c>
      <c r="C1410" s="43" t="n">
        <v>251915.4166666667</v>
      </c>
      <c r="D1410" s="28" t="inlineStr">
        <is>
          <t>251 915</t>
        </is>
      </c>
      <c r="E1410" s="44" t="inlineStr">
        <is>
          <t>Oui</t>
        </is>
      </c>
    </row>
    <row r="1411">
      <c r="A1411" s="42" t="n">
        <v>127</v>
      </c>
      <c r="B1411" s="30" t="inlineStr">
        <is>
          <t>PIDR acq A25-60</t>
        </is>
      </c>
      <c r="C1411" s="45" t="n">
        <v>62978.85416666666</v>
      </c>
      <c r="D1411" s="30" t="inlineStr">
        <is>
          <t>62 979</t>
        </is>
      </c>
      <c r="E1411" s="46" t="inlineStr">
        <is>
          <t>Oui</t>
        </is>
      </c>
    </row>
    <row r="1412">
      <c r="A1412" s="42" t="n">
        <v>127</v>
      </c>
      <c r="B1412" s="28" t="inlineStr">
        <is>
          <t>PIDR dbo A25-60</t>
        </is>
      </c>
      <c r="C1412" s="43" t="n">
        <v>8618.691769594847</v>
      </c>
      <c r="D1412" s="28" t="inlineStr">
        <is>
          <t>8 619</t>
        </is>
      </c>
      <c r="E1412" s="44" t="inlineStr">
        <is>
          <t>Oui</t>
        </is>
      </c>
    </row>
    <row r="1413">
      <c r="A1413" s="42" t="n">
        <v>127</v>
      </c>
      <c r="B1413" s="30" t="inlineStr">
        <is>
          <t>PIDR âge A25-78</t>
        </is>
      </c>
      <c r="C1413" s="45" t="n">
        <v>38</v>
      </c>
      <c r="D1413" s="30" t="inlineStr">
        <is>
          <t>38</t>
        </is>
      </c>
      <c r="E1413" s="46" t="inlineStr">
        <is>
          <t>Oui</t>
        </is>
      </c>
    </row>
    <row r="1414">
      <c r="A1414" s="42" t="n">
        <v>127</v>
      </c>
      <c r="B1414" s="28" t="inlineStr">
        <is>
          <t>PIDR anc A25-78</t>
        </is>
      </c>
      <c r="C1414" s="43" t="n">
        <v>0.4166666666666667</v>
      </c>
      <c r="D1414" s="28" t="inlineStr">
        <is>
          <t>0,42</t>
        </is>
      </c>
      <c r="E1414" s="44" t="inlineStr">
        <is>
          <t>Oui</t>
        </is>
      </c>
    </row>
    <row r="1415">
      <c r="A1415" s="42" t="n">
        <v>127</v>
      </c>
      <c r="B1415" s="30" t="inlineStr">
        <is>
          <t>PIDR sal A25-78</t>
        </is>
      </c>
      <c r="C1415" s="45" t="n">
        <v>194348.3333333333</v>
      </c>
      <c r="D1415" s="30" t="inlineStr">
        <is>
          <t>194 348</t>
        </is>
      </c>
      <c r="E1415" s="46" t="inlineStr">
        <is>
          <t>Oui</t>
        </is>
      </c>
    </row>
    <row r="1416">
      <c r="A1416" s="42" t="n">
        <v>127</v>
      </c>
      <c r="B1416" s="28" t="inlineStr">
        <is>
          <t>PIDR acq A25-78</t>
        </is>
      </c>
      <c r="C1416" s="43" t="n">
        <v>24293.54166666667</v>
      </c>
      <c r="D1416" s="28" t="inlineStr">
        <is>
          <t>24 294</t>
        </is>
      </c>
      <c r="E1416" s="44" t="inlineStr">
        <is>
          <t>Oui</t>
        </is>
      </c>
    </row>
    <row r="1417">
      <c r="A1417" s="42" t="n">
        <v>127</v>
      </c>
      <c r="B1417" s="30" t="inlineStr">
        <is>
          <t>PIDR dbo A25-78</t>
        </is>
      </c>
      <c r="C1417" s="45" t="n">
        <v>7798.732023947771</v>
      </c>
      <c r="D1417" s="30" t="inlineStr">
        <is>
          <t>7 799</t>
        </is>
      </c>
      <c r="E1417" s="46" t="inlineStr">
        <is>
          <t>Oui</t>
        </is>
      </c>
    </row>
    <row r="1418">
      <c r="A1418" s="42" t="n">
        <v>127</v>
      </c>
      <c r="B1418" s="28" t="inlineStr">
        <is>
          <t>PIDR âge A25-77</t>
        </is>
      </c>
      <c r="C1418" s="43" t="n">
        <v>41</v>
      </c>
      <c r="D1418" s="28" t="inlineStr">
        <is>
          <t>41</t>
        </is>
      </c>
      <c r="E1418" s="44" t="inlineStr">
        <is>
          <t>Oui</t>
        </is>
      </c>
    </row>
    <row r="1419">
      <c r="A1419" s="42" t="n">
        <v>127</v>
      </c>
      <c r="B1419" s="30" t="inlineStr">
        <is>
          <t>PIDR anc A25-77</t>
        </is>
      </c>
      <c r="C1419" s="45" t="n">
        <v>0.4166666666666667</v>
      </c>
      <c r="D1419" s="30" t="inlineStr">
        <is>
          <t>0,42</t>
        </is>
      </c>
      <c r="E1419" s="46" t="inlineStr">
        <is>
          <t>Oui</t>
        </is>
      </c>
    </row>
    <row r="1420">
      <c r="A1420" s="42" t="n">
        <v>127</v>
      </c>
      <c r="B1420" s="28" t="inlineStr">
        <is>
          <t>PIDR sal A25-77</t>
        </is>
      </c>
      <c r="C1420" s="43" t="n">
        <v>137651.3333333333</v>
      </c>
      <c r="D1420" s="28" t="inlineStr">
        <is>
          <t>137 651</t>
        </is>
      </c>
      <c r="E1420" s="44" t="inlineStr">
        <is>
          <t>Oui</t>
        </is>
      </c>
    </row>
    <row r="1421">
      <c r="A1421" s="42" t="n">
        <v>127</v>
      </c>
      <c r="B1421" s="30" t="inlineStr">
        <is>
          <t>PIDR acq A25-77</t>
        </is>
      </c>
      <c r="C1421" s="45" t="n">
        <v>17206.41666666667</v>
      </c>
      <c r="D1421" s="30" t="inlineStr">
        <is>
          <t>17 206</t>
        </is>
      </c>
      <c r="E1421" s="46" t="inlineStr">
        <is>
          <t>Oui</t>
        </is>
      </c>
    </row>
    <row r="1422">
      <c r="A1422" s="42" t="n">
        <v>127</v>
      </c>
      <c r="B1422" s="28" t="inlineStr">
        <is>
          <t>PIDR dbo A25-77</t>
        </is>
      </c>
      <c r="C1422" s="43" t="n">
        <v>6758.162397006446</v>
      </c>
      <c r="D1422" s="28" t="inlineStr">
        <is>
          <t>6 758</t>
        </is>
      </c>
      <c r="E1422" s="44" t="inlineStr">
        <is>
          <t>Oui</t>
        </is>
      </c>
    </row>
    <row r="1423">
      <c r="A1423" s="42" t="n">
        <v>127</v>
      </c>
      <c r="B1423" s="30" t="inlineStr">
        <is>
          <t>PIDR âge A25-73</t>
        </is>
      </c>
      <c r="C1423" s="45" t="n">
        <v>43</v>
      </c>
      <c r="D1423" s="30" t="inlineStr">
        <is>
          <t>43</t>
        </is>
      </c>
      <c r="E1423" s="46" t="inlineStr">
        <is>
          <t>Oui</t>
        </is>
      </c>
    </row>
    <row r="1424">
      <c r="A1424" s="42" t="n">
        <v>127</v>
      </c>
      <c r="B1424" s="28" t="inlineStr">
        <is>
          <t>PIDR anc A25-73</t>
        </is>
      </c>
      <c r="C1424" s="43" t="n">
        <v>0.4166666666666667</v>
      </c>
      <c r="D1424" s="28" t="inlineStr">
        <is>
          <t>0,42</t>
        </is>
      </c>
      <c r="E1424" s="44" t="inlineStr">
        <is>
          <t>Oui</t>
        </is>
      </c>
    </row>
    <row r="1425">
      <c r="A1425" s="42" t="n">
        <v>127</v>
      </c>
      <c r="B1425" s="30" t="inlineStr">
        <is>
          <t>PIDR sal A25-73</t>
        </is>
      </c>
      <c r="C1425" s="45" t="n">
        <v>115066.6666666667</v>
      </c>
      <c r="D1425" s="30" t="inlineStr">
        <is>
          <t>115 067</t>
        </is>
      </c>
      <c r="E1425" s="46" t="inlineStr">
        <is>
          <t>Oui</t>
        </is>
      </c>
    </row>
    <row r="1426">
      <c r="A1426" s="42" t="n">
        <v>127</v>
      </c>
      <c r="B1426" s="28" t="inlineStr">
        <is>
          <t>PIDR acq A25-73</t>
        </is>
      </c>
      <c r="C1426" s="43" t="n">
        <v>14383.33333333333</v>
      </c>
      <c r="D1426" s="28" t="inlineStr">
        <is>
          <t>14 383</t>
        </is>
      </c>
      <c r="E1426" s="44" t="inlineStr">
        <is>
          <t>Oui</t>
        </is>
      </c>
    </row>
    <row r="1427">
      <c r="A1427" s="42" t="n">
        <v>127</v>
      </c>
      <c r="B1427" s="30" t="inlineStr">
        <is>
          <t>PIDR dbo A25-73</t>
        </is>
      </c>
      <c r="C1427" s="45" t="n">
        <v>6419.829573447259</v>
      </c>
      <c r="D1427" s="30" t="inlineStr">
        <is>
          <t>6 420</t>
        </is>
      </c>
      <c r="E1427" s="46" t="inlineStr">
        <is>
          <t>Oui</t>
        </is>
      </c>
    </row>
    <row r="1428">
      <c r="A1428" s="42" t="n">
        <v>127</v>
      </c>
      <c r="B1428" s="28" t="inlineStr">
        <is>
          <t>PIDR âge A25-76</t>
        </is>
      </c>
      <c r="C1428" s="43" t="n">
        <v>33</v>
      </c>
      <c r="D1428" s="28" t="inlineStr">
        <is>
          <t>33</t>
        </is>
      </c>
      <c r="E1428" s="44" t="inlineStr">
        <is>
          <t>Oui</t>
        </is>
      </c>
    </row>
    <row r="1429">
      <c r="A1429" s="42" t="n">
        <v>127</v>
      </c>
      <c r="B1429" s="30" t="inlineStr">
        <is>
          <t>PIDR anc A25-76</t>
        </is>
      </c>
      <c r="C1429" s="45" t="n">
        <v>0.4166666666666667</v>
      </c>
      <c r="D1429" s="30" t="inlineStr">
        <is>
          <t>0,42</t>
        </is>
      </c>
      <c r="E1429" s="46" t="inlineStr">
        <is>
          <t>Oui</t>
        </is>
      </c>
    </row>
    <row r="1430">
      <c r="A1430" s="42" t="n">
        <v>127</v>
      </c>
      <c r="B1430" s="28" t="inlineStr">
        <is>
          <t>PIDR sal A25-76</t>
        </is>
      </c>
      <c r="C1430" s="43" t="n">
        <v>205256.5</v>
      </c>
      <c r="D1430" s="28" t="inlineStr">
        <is>
          <t>205 256</t>
        </is>
      </c>
      <c r="E1430" s="44" t="inlineStr">
        <is>
          <t>Oui</t>
        </is>
      </c>
    </row>
    <row r="1431">
      <c r="A1431" s="42" t="n">
        <v>127</v>
      </c>
      <c r="B1431" s="30" t="inlineStr">
        <is>
          <t>PIDR acq A25-76</t>
        </is>
      </c>
      <c r="C1431" s="45" t="n">
        <v>25657.0625</v>
      </c>
      <c r="D1431" s="30" t="inlineStr">
        <is>
          <t>25 657</t>
        </is>
      </c>
      <c r="E1431" s="46" t="inlineStr">
        <is>
          <t>Oui</t>
        </is>
      </c>
    </row>
    <row r="1432">
      <c r="A1432" s="42" t="n">
        <v>127</v>
      </c>
      <c r="B1432" s="28" t="inlineStr">
        <is>
          <t>PIDR dbo A25-76</t>
        </is>
      </c>
      <c r="C1432" s="43" t="n">
        <v>5804.226222781931</v>
      </c>
      <c r="D1432" s="28" t="inlineStr">
        <is>
          <t>5 804</t>
        </is>
      </c>
      <c r="E1432" s="44" t="inlineStr">
        <is>
          <t>Oui</t>
        </is>
      </c>
    </row>
    <row r="1433">
      <c r="A1433" s="42" t="n">
        <v>127</v>
      </c>
      <c r="B1433" s="30" t="inlineStr">
        <is>
          <t>PIDR âge A25-75</t>
        </is>
      </c>
      <c r="C1433" s="45" t="n">
        <v>43</v>
      </c>
      <c r="D1433" s="30" t="inlineStr">
        <is>
          <t>43</t>
        </is>
      </c>
      <c r="E1433" s="46" t="inlineStr">
        <is>
          <t>Oui</t>
        </is>
      </c>
    </row>
    <row r="1434">
      <c r="A1434" s="42" t="n">
        <v>127</v>
      </c>
      <c r="B1434" s="28" t="inlineStr">
        <is>
          <t>PIDR anc A25-75</t>
        </is>
      </c>
      <c r="C1434" s="43" t="n">
        <v>0.4166666666666667</v>
      </c>
      <c r="D1434" s="28" t="inlineStr">
        <is>
          <t>0,42</t>
        </is>
      </c>
      <c r="E1434" s="44" t="inlineStr">
        <is>
          <t>Oui</t>
        </is>
      </c>
    </row>
    <row r="1435">
      <c r="A1435" s="42" t="n">
        <v>127</v>
      </c>
      <c r="B1435" s="30" t="inlineStr">
        <is>
          <t>PIDR sal A25-75</t>
        </is>
      </c>
      <c r="C1435" s="45" t="n">
        <v>103726.8333333333</v>
      </c>
      <c r="D1435" s="30" t="inlineStr">
        <is>
          <t>103 727</t>
        </is>
      </c>
      <c r="E1435" s="46" t="inlineStr">
        <is>
          <t>Oui</t>
        </is>
      </c>
    </row>
    <row r="1436">
      <c r="A1436" s="42" t="n">
        <v>127</v>
      </c>
      <c r="B1436" s="28" t="inlineStr">
        <is>
          <t>PIDR acq A25-75</t>
        </is>
      </c>
      <c r="C1436" s="43" t="n">
        <v>12965.85416666667</v>
      </c>
      <c r="D1436" s="28" t="inlineStr">
        <is>
          <t>12 966</t>
        </is>
      </c>
      <c r="E1436" s="44" t="inlineStr">
        <is>
          <t>Oui</t>
        </is>
      </c>
    </row>
    <row r="1437">
      <c r="A1437" s="42" t="n">
        <v>127</v>
      </c>
      <c r="B1437" s="30" t="inlineStr">
        <is>
          <t>PIDR dbo A25-75</t>
        </is>
      </c>
      <c r="C1437" s="45" t="n">
        <v>5787.154625087209</v>
      </c>
      <c r="D1437" s="30" t="inlineStr">
        <is>
          <t>5 787</t>
        </is>
      </c>
      <c r="E1437" s="46" t="inlineStr">
        <is>
          <t>Oui</t>
        </is>
      </c>
    </row>
    <row r="1438">
      <c r="A1438" s="42" t="n">
        <v>127</v>
      </c>
      <c r="B1438" s="28" t="inlineStr">
        <is>
          <t>PIDR âge A25-69</t>
        </is>
      </c>
      <c r="C1438" s="43" t="n">
        <v>22</v>
      </c>
      <c r="D1438" s="28" t="inlineStr">
        <is>
          <t>22</t>
        </is>
      </c>
      <c r="E1438" s="44" t="inlineStr">
        <is>
          <t>Oui</t>
        </is>
      </c>
    </row>
    <row r="1439">
      <c r="A1439" s="42" t="n">
        <v>127</v>
      </c>
      <c r="B1439" s="30" t="inlineStr">
        <is>
          <t>PIDR anc A25-69</t>
        </is>
      </c>
      <c r="C1439" s="45" t="n">
        <v>0.5</v>
      </c>
      <c r="D1439" s="30" t="inlineStr">
        <is>
          <t>0,50</t>
        </is>
      </c>
      <c r="E1439" s="46" t="inlineStr">
        <is>
          <t>Oui</t>
        </is>
      </c>
    </row>
    <row r="1440">
      <c r="A1440" s="42" t="n">
        <v>127</v>
      </c>
      <c r="B1440" s="28" t="inlineStr">
        <is>
          <t>PIDR sal A25-69</t>
        </is>
      </c>
      <c r="C1440" s="43" t="n">
        <v>229527.1428571429</v>
      </c>
      <c r="D1440" s="28" t="inlineStr">
        <is>
          <t>229 527</t>
        </is>
      </c>
      <c r="E1440" s="44" t="inlineStr">
        <is>
          <t>Oui</t>
        </is>
      </c>
    </row>
    <row r="1441">
      <c r="A1441" s="42" t="n">
        <v>127</v>
      </c>
      <c r="B1441" s="30" t="inlineStr">
        <is>
          <t>PIDR acq A25-69</t>
        </is>
      </c>
      <c r="C1441" s="45" t="n">
        <v>34429.07142857143</v>
      </c>
      <c r="D1441" s="30" t="inlineStr">
        <is>
          <t>34 429</t>
        </is>
      </c>
      <c r="E1441" s="46" t="inlineStr">
        <is>
          <t>Oui</t>
        </is>
      </c>
    </row>
    <row r="1442">
      <c r="A1442" s="42" t="n">
        <v>127</v>
      </c>
      <c r="B1442" s="28" t="inlineStr">
        <is>
          <t>PIDR dbo A25-69</t>
        </is>
      </c>
      <c r="C1442" s="43" t="n">
        <v>3517.866161566933</v>
      </c>
      <c r="D1442" s="28" t="inlineStr">
        <is>
          <t>3 518</t>
        </is>
      </c>
      <c r="E1442" s="44" t="inlineStr">
        <is>
          <t>Oui</t>
        </is>
      </c>
    </row>
    <row r="1443">
      <c r="A1443" s="42" t="n">
        <v>127</v>
      </c>
      <c r="B1443" s="30" t="inlineStr">
        <is>
          <t>PIDR âge A25-79</t>
        </is>
      </c>
      <c r="C1443" s="45" t="n">
        <v>35</v>
      </c>
      <c r="D1443" s="30" t="inlineStr">
        <is>
          <t>35</t>
        </is>
      </c>
      <c r="E1443" s="46" t="inlineStr">
        <is>
          <t>Oui</t>
        </is>
      </c>
    </row>
    <row r="1444">
      <c r="A1444" s="42" t="n">
        <v>127</v>
      </c>
      <c r="B1444" s="28" t="inlineStr">
        <is>
          <t>PIDR anc A25-79</t>
        </is>
      </c>
      <c r="C1444" s="43" t="n">
        <v>0.4166666666666667</v>
      </c>
      <c r="D1444" s="28" t="inlineStr">
        <is>
          <t>0,42</t>
        </is>
      </c>
      <c r="E1444" s="44" t="inlineStr">
        <is>
          <t>Oui</t>
        </is>
      </c>
    </row>
    <row r="1445">
      <c r="A1445" s="42" t="n">
        <v>127</v>
      </c>
      <c r="B1445" s="30" t="inlineStr">
        <is>
          <t>PIDR sal A25-79</t>
        </is>
      </c>
      <c r="C1445" s="45" t="n">
        <v>98590.33333333333</v>
      </c>
      <c r="D1445" s="30" t="inlineStr">
        <is>
          <t>98 590</t>
        </is>
      </c>
      <c r="E1445" s="46" t="inlineStr">
        <is>
          <t>Oui</t>
        </is>
      </c>
    </row>
    <row r="1446">
      <c r="A1446" s="42" t="n">
        <v>127</v>
      </c>
      <c r="B1446" s="28" t="inlineStr">
        <is>
          <t>PIDR acq A25-79</t>
        </is>
      </c>
      <c r="C1446" s="43" t="n">
        <v>12323.79166666667</v>
      </c>
      <c r="D1446" s="28" t="inlineStr">
        <is>
          <t>12 324</t>
        </is>
      </c>
      <c r="E1446" s="44" t="inlineStr">
        <is>
          <t>Oui</t>
        </is>
      </c>
    </row>
    <row r="1447">
      <c r="A1447" s="42" t="n">
        <v>127</v>
      </c>
      <c r="B1447" s="30" t="inlineStr">
        <is>
          <t>PIDR dbo A25-79</t>
        </is>
      </c>
      <c r="C1447" s="45" t="n">
        <v>3211.354382119149</v>
      </c>
      <c r="D1447" s="30" t="inlineStr">
        <is>
          <t>3 211</t>
        </is>
      </c>
      <c r="E1447" s="46" t="inlineStr">
        <is>
          <t>Oui</t>
        </is>
      </c>
    </row>
    <row r="1448">
      <c r="A1448" s="42" t="n">
        <v>127</v>
      </c>
      <c r="B1448" s="28" t="inlineStr">
        <is>
          <t>PIDR âge A25-74</t>
        </is>
      </c>
      <c r="C1448" s="43" t="n">
        <v>29</v>
      </c>
      <c r="D1448" s="28" t="inlineStr">
        <is>
          <t>29</t>
        </is>
      </c>
      <c r="E1448" s="44" t="inlineStr">
        <is>
          <t>Oui</t>
        </is>
      </c>
    </row>
    <row r="1449">
      <c r="A1449" s="42" t="n">
        <v>127</v>
      </c>
      <c r="B1449" s="30" t="inlineStr">
        <is>
          <t>PIDR anc A25-74</t>
        </is>
      </c>
      <c r="C1449" s="45" t="n">
        <v>0.4166666666666667</v>
      </c>
      <c r="D1449" s="30" t="inlineStr">
        <is>
          <t>0,42</t>
        </is>
      </c>
      <c r="E1449" s="46" t="inlineStr">
        <is>
          <t>Oui</t>
        </is>
      </c>
    </row>
    <row r="1450">
      <c r="A1450" s="42" t="n">
        <v>127</v>
      </c>
      <c r="B1450" s="28" t="inlineStr">
        <is>
          <t>PIDR sal A25-74</t>
        </is>
      </c>
      <c r="C1450" s="43" t="n">
        <v>109642.3333333333</v>
      </c>
      <c r="D1450" s="28" t="inlineStr">
        <is>
          <t>109 642</t>
        </is>
      </c>
      <c r="E1450" s="44" t="inlineStr">
        <is>
          <t>Oui</t>
        </is>
      </c>
    </row>
    <row r="1451">
      <c r="A1451" s="42" t="n">
        <v>127</v>
      </c>
      <c r="B1451" s="30" t="inlineStr">
        <is>
          <t>PIDR acq A25-74</t>
        </is>
      </c>
      <c r="C1451" s="45" t="n">
        <v>13705.29166666667</v>
      </c>
      <c r="D1451" s="30" t="inlineStr">
        <is>
          <t>13 705</t>
        </is>
      </c>
      <c r="E1451" s="46" t="inlineStr">
        <is>
          <t>Oui</t>
        </is>
      </c>
    </row>
    <row r="1452">
      <c r="A1452" s="42" t="n">
        <v>127</v>
      </c>
      <c r="B1452" s="28" t="inlineStr">
        <is>
          <t>PIDR dbo A25-74</t>
        </is>
      </c>
      <c r="C1452" s="43" t="n">
        <v>2328.145302001243</v>
      </c>
      <c r="D1452" s="28" t="inlineStr">
        <is>
          <t>2 328</t>
        </is>
      </c>
      <c r="E1452" s="44" t="inlineStr">
        <is>
          <t>Oui</t>
        </is>
      </c>
    </row>
    <row r="1453">
      <c r="A1453" s="42" t="n">
        <v>127</v>
      </c>
      <c r="B1453" s="30" t="inlineStr">
        <is>
          <t>PIDR top Non documentée (2/2)</t>
        </is>
      </c>
      <c r="C1453" s="45" t="n">
        <v>8618.691769594847</v>
      </c>
      <c r="D1453" s="30" t="inlineStr">
        <is>
          <t>8 619 FCFA</t>
        </is>
      </c>
      <c r="E1453" s="46" t="inlineStr">
        <is>
          <t>Oui</t>
        </is>
      </c>
    </row>
    <row r="1454">
      <c r="A1454" s="42" t="n">
        <v>127</v>
      </c>
      <c r="B1454" s="28" t="inlineStr">
        <is>
          <t>PIDR top anc Non documentée (2/2)</t>
        </is>
      </c>
      <c r="C1454" s="43" t="n">
        <v>0.8333333333333334</v>
      </c>
      <c r="D1454" s="28" t="inlineStr">
        <is>
          <t>0,83</t>
        </is>
      </c>
      <c r="E1454" s="44" t="inlineStr">
        <is>
          <t>Oui</t>
        </is>
      </c>
    </row>
    <row r="1455">
      <c r="A1455" s="42" t="n">
        <v>128</v>
      </c>
      <c r="B1455" s="30" t="inlineStr">
        <is>
          <t>PIDR sens base</t>
        </is>
      </c>
      <c r="C1455" s="45" t="n">
        <v>24446566.18199894</v>
      </c>
      <c r="D1455" s="30" t="inlineStr">
        <is>
          <t>24 446 566 FCFA</t>
        </is>
      </c>
      <c r="E1455" s="46" t="inlineStr">
        <is>
          <t>Oui</t>
        </is>
      </c>
    </row>
    <row r="1456">
      <c r="A1456" s="42" t="n">
        <v>128</v>
      </c>
      <c r="B1456" s="28" t="inlineStr">
        <is>
          <t>PIDR sens sans rot</t>
        </is>
      </c>
      <c r="C1456" s="43" t="n">
        <v>62618476.38818674</v>
      </c>
      <c r="D1456" s="28" t="inlineStr">
        <is>
          <t>62 618 476 FCFA</t>
        </is>
      </c>
      <c r="E1456" s="44" t="inlineStr">
        <is>
          <t>Oui</t>
        </is>
      </c>
    </row>
    <row r="1457">
      <c r="A1457" s="42" t="n">
        <v>128</v>
      </c>
      <c r="B1457" s="30" t="inlineStr">
        <is>
          <t>PIDR embauches modifiées</t>
        </is>
      </c>
      <c r="C1457" s="45" t="n">
        <v>12</v>
      </c>
      <c r="D1457" s="30" t="inlineStr">
        <is>
          <t>12</t>
        </is>
      </c>
      <c r="E1457" s="46" t="inlineStr">
        <is>
          <t>Oui</t>
        </is>
      </c>
    </row>
    <row r="1458">
      <c r="A1458" s="42" t="n">
        <v>128</v>
      </c>
      <c r="B1458" s="28" t="inlineStr">
        <is>
          <t>PIDR sens Hypothèses centrales</t>
        </is>
      </c>
      <c r="C1458" s="43" t="n">
        <v>24446566.18199894</v>
      </c>
      <c r="D1458" s="28" t="inlineStr">
        <is>
          <t>24 446 566 FCFA</t>
        </is>
      </c>
      <c r="E1458" s="44" t="inlineStr">
        <is>
          <t>Oui</t>
        </is>
      </c>
    </row>
    <row r="1459">
      <c r="A1459" s="42" t="n">
        <v>128</v>
      </c>
      <c r="B1459" s="30" t="inlineStr">
        <is>
          <t>PIDR écart Hypothèses centrales</t>
        </is>
      </c>
      <c r="C1459" s="45" t="n">
        <v>0</v>
      </c>
      <c r="D1459" s="30" t="inlineStr">
        <is>
          <t>0,00 %</t>
        </is>
      </c>
      <c r="E1459" s="46" t="inlineStr">
        <is>
          <t>Oui</t>
        </is>
      </c>
    </row>
    <row r="1460">
      <c r="A1460" s="42" t="n">
        <v>128</v>
      </c>
      <c r="B1460" s="28" t="inlineStr">
        <is>
          <t>PIDR sens Départ à 58 ans (trois enfants à charge)</t>
        </is>
      </c>
      <c r="C1460" s="43" t="n">
        <v>19848491.86241297</v>
      </c>
      <c r="D1460" s="28" t="inlineStr">
        <is>
          <t>19 848 492 FCFA</t>
        </is>
      </c>
      <c r="E1460" s="44" t="inlineStr">
        <is>
          <t>Oui</t>
        </is>
      </c>
    </row>
    <row r="1461">
      <c r="A1461" s="42" t="n">
        <v>128</v>
      </c>
      <c r="B1461" s="30" t="inlineStr">
        <is>
          <t>PIDR écart Départ à 58 ans (trois enfants à charge)</t>
        </is>
      </c>
      <c r="C1461" s="45" t="n">
        <v>-0.1880867147293567</v>
      </c>
      <c r="D1461" s="30" t="inlineStr">
        <is>
          <t>-18,81 %</t>
        </is>
      </c>
      <c r="E1461" s="46" t="inlineStr">
        <is>
          <t>Oui</t>
        </is>
      </c>
    </row>
    <row r="1462">
      <c r="A1462" s="42" t="n">
        <v>128</v>
      </c>
      <c r="B1462" s="28" t="inlineStr">
        <is>
          <t>PIDR sens Départ à 60 ans</t>
        </is>
      </c>
      <c r="C1462" s="43" t="n">
        <v>17184449.78341464</v>
      </c>
      <c r="D1462" s="28" t="inlineStr">
        <is>
          <t>17 184 450 FCFA</t>
        </is>
      </c>
      <c r="E1462" s="44" t="inlineStr">
        <is>
          <t>Oui</t>
        </is>
      </c>
    </row>
    <row r="1463">
      <c r="A1463" s="42" t="n">
        <v>128</v>
      </c>
      <c r="B1463" s="30" t="inlineStr">
        <is>
          <t>PIDR écart Départ à 60 ans</t>
        </is>
      </c>
      <c r="C1463" s="45" t="n">
        <v>-0.2970607955538437</v>
      </c>
      <c r="D1463" s="30" t="inlineStr">
        <is>
          <t>-29,71 %</t>
        </is>
      </c>
      <c r="E1463" s="46" t="inlineStr">
        <is>
          <t>Oui</t>
        </is>
      </c>
    </row>
    <row r="1464">
      <c r="A1464" s="42" t="n">
        <v>128</v>
      </c>
      <c r="B1464" s="28" t="inlineStr">
        <is>
          <t>PIDR sens Taux d'actualisation de 3,5 %</t>
        </is>
      </c>
      <c r="C1464" s="43" t="n">
        <v>32254939.41791899</v>
      </c>
      <c r="D1464" s="28" t="inlineStr">
        <is>
          <t>32 254 939 FCFA</t>
        </is>
      </c>
      <c r="E1464" s="44" t="inlineStr">
        <is>
          <t>Oui</t>
        </is>
      </c>
    </row>
    <row r="1465">
      <c r="A1465" s="42" t="n">
        <v>128</v>
      </c>
      <c r="B1465" s="30" t="inlineStr">
        <is>
          <t>PIDR écart Taux d'actualisation de 3,5 %</t>
        </is>
      </c>
      <c r="C1465" s="45" t="n">
        <v>0.3194057266688723</v>
      </c>
      <c r="D1465" s="30" t="inlineStr">
        <is>
          <t>31,94 %</t>
        </is>
      </c>
      <c r="E1465" s="46" t="inlineStr">
        <is>
          <t>Oui</t>
        </is>
      </c>
    </row>
    <row r="1466">
      <c r="A1466" s="42" t="n">
        <v>128</v>
      </c>
      <c r="B1466" s="28" t="inlineStr">
        <is>
          <t>PIDR sens Sans rotation du personnel</t>
        </is>
      </c>
      <c r="C1466" s="43" t="n">
        <v>62618476.38818674</v>
      </c>
      <c r="D1466" s="28" t="inlineStr">
        <is>
          <t>62 618 476 FCFA</t>
        </is>
      </c>
      <c r="E1466" s="44" t="inlineStr">
        <is>
          <t>Oui</t>
        </is>
      </c>
    </row>
    <row r="1467">
      <c r="A1467" s="42" t="n">
        <v>128</v>
      </c>
      <c r="B1467" s="30" t="inlineStr">
        <is>
          <t>PIDR écart Sans rotation du personnel</t>
        </is>
      </c>
      <c r="C1467" s="45" t="n">
        <v>1.561442614149034</v>
      </c>
      <c r="D1467" s="30" t="inlineStr">
        <is>
          <t>156,14 %</t>
        </is>
      </c>
      <c r="E1467" s="46" t="inlineStr">
        <is>
          <t>Oui</t>
        </is>
      </c>
    </row>
    <row r="1468">
      <c r="A1468" s="42" t="n">
        <v>128</v>
      </c>
      <c r="B1468" s="28" t="inlineStr">
        <is>
          <t>PIDR sens Salaires + 1 point par an</t>
        </is>
      </c>
      <c r="C1468" s="43" t="n">
        <v>26163644.71112959</v>
      </c>
      <c r="D1468" s="28" t="inlineStr">
        <is>
          <t>26 163 645 FCFA</t>
        </is>
      </c>
      <c r="E1468" s="44" t="inlineStr">
        <is>
          <t>Oui</t>
        </is>
      </c>
    </row>
    <row r="1469">
      <c r="A1469" s="42" t="n">
        <v>128</v>
      </c>
      <c r="B1469" s="30" t="inlineStr">
        <is>
          <t>PIDR écart Salaires + 1 point par an</t>
        </is>
      </c>
      <c r="C1469" s="45" t="n">
        <v>0.07023802510125177</v>
      </c>
      <c r="D1469" s="30" t="inlineStr">
        <is>
          <t>7,02 %</t>
        </is>
      </c>
      <c r="E1469" s="46" t="inlineStr">
        <is>
          <t>Oui</t>
        </is>
      </c>
    </row>
    <row r="1470">
      <c r="A1470" s="42" t="n">
        <v>128</v>
      </c>
      <c r="B1470" s="28" t="inlineStr">
        <is>
          <t>PIDR âge 55 atteint</t>
        </is>
      </c>
      <c r="C1470" s="43" t="n">
        <v>5</v>
      </c>
      <c r="D1470" s="28" t="inlineStr">
        <is>
          <t>5</t>
        </is>
      </c>
      <c r="E1470" s="44" t="inlineStr">
        <is>
          <t>Oui</t>
        </is>
      </c>
    </row>
    <row r="1471">
      <c r="A1471" s="42" t="n">
        <v>128</v>
      </c>
      <c r="B1471" s="30" t="inlineStr">
        <is>
          <t>PIDR âge (t)</t>
        </is>
      </c>
      <c r="C1471" s="45" t="n">
        <v>55</v>
      </c>
      <c r="D1471" s="30" t="inlineStr">
        <is>
          <t>55</t>
        </is>
      </c>
      <c r="E1471" s="46" t="inlineStr">
        <is>
          <t>Oui</t>
        </is>
      </c>
    </row>
    <row r="1472">
      <c r="A1472" s="42" t="n">
        <v>128</v>
      </c>
      <c r="B1472" s="28" t="inlineStr">
        <is>
          <t>PIDR âge max</t>
        </is>
      </c>
      <c r="C1472" s="43" t="n">
        <v>60</v>
      </c>
      <c r="D1472" s="28" t="inlineStr">
        <is>
          <t>60</t>
        </is>
      </c>
      <c r="E1472" s="44" t="inlineStr">
        <is>
          <t>Oui</t>
        </is>
      </c>
    </row>
    <row r="1473">
      <c r="A1473" s="42" t="n">
        <v>128</v>
      </c>
      <c r="B1473" s="30" t="inlineStr">
        <is>
          <t>PIDR embauches (t)</t>
        </is>
      </c>
      <c r="C1473" s="45" t="n">
        <v>12</v>
      </c>
      <c r="D1473" s="30" t="inlineStr">
        <is>
          <t>12</t>
        </is>
      </c>
      <c r="E1473" s="46" t="inlineStr">
        <is>
          <t>Oui</t>
        </is>
      </c>
    </row>
    <row r="1474">
      <c r="A1474" s="42" t="n">
        <v>128</v>
      </c>
      <c r="B1474" s="28" t="inlineStr">
        <is>
          <t>PIDR embauches 2013</t>
        </is>
      </c>
      <c r="C1474" s="43" t="n">
        <v>3</v>
      </c>
      <c r="D1474" s="28" t="inlineStr">
        <is>
          <t>3</t>
        </is>
      </c>
      <c r="E1474" s="44" t="inlineStr">
        <is>
          <t>Oui</t>
        </is>
      </c>
    </row>
    <row r="1475">
      <c r="A1475" s="42" t="n">
        <v>128</v>
      </c>
      <c r="B1475" s="30" t="inlineStr">
        <is>
          <t>PIDR max indiv</t>
        </is>
      </c>
      <c r="C1475" s="45" t="n">
        <v>104542201.898276</v>
      </c>
      <c r="D1475" s="30" t="inlineStr">
        <is>
          <t>104 542 202 FCFA</t>
        </is>
      </c>
      <c r="E1475" s="46" t="inlineStr">
        <is>
          <t>Oui</t>
        </is>
      </c>
    </row>
    <row r="1476">
      <c r="A1476" s="42" t="n">
        <v>129</v>
      </c>
      <c r="B1476" s="28" t="inlineStr">
        <is>
          <t>CE total</t>
        </is>
      </c>
      <c r="C1476" s="43" t="n">
        <v>19518949297.58916</v>
      </c>
      <c r="D1476" s="28" t="inlineStr">
        <is>
          <t>19 518 949 298 FCFA</t>
        </is>
      </c>
      <c r="E1476" s="44" t="inlineStr">
        <is>
          <t>Oui</t>
        </is>
      </c>
    </row>
    <row r="1477">
      <c r="A1477" s="42" t="n">
        <v>129</v>
      </c>
      <c r="B1477" s="30" t="inlineStr">
        <is>
          <t>CE épargne</t>
        </is>
      </c>
      <c r="C1477" s="45" t="n">
        <v>19022429628.58916</v>
      </c>
      <c r="D1477" s="30" t="inlineStr">
        <is>
          <t>19 022 429 629 FCFA</t>
        </is>
      </c>
      <c r="E1477" s="46" t="inlineStr">
        <is>
          <t>Oui</t>
        </is>
      </c>
    </row>
    <row r="1478">
      <c r="A1478" s="42" t="n">
        <v>129</v>
      </c>
      <c r="B1478" s="28" t="inlineStr">
        <is>
          <t>CE décès</t>
        </is>
      </c>
      <c r="C1478" s="43" t="n">
        <v>489419669</v>
      </c>
      <c r="D1478" s="28" t="inlineStr">
        <is>
          <t>489 419 669 FCFA</t>
        </is>
      </c>
      <c r="E1478" s="44" t="inlineStr">
        <is>
          <t>Oui</t>
        </is>
      </c>
    </row>
    <row r="1479">
      <c r="A1479" s="42" t="n">
        <v>129</v>
      </c>
      <c r="B1479" s="30" t="inlineStr">
        <is>
          <t>CE tardifs</t>
        </is>
      </c>
      <c r="C1479" s="45" t="n">
        <v>7100000</v>
      </c>
      <c r="D1479" s="30" t="inlineStr">
        <is>
          <t>7 100 000 FCFA</t>
        </is>
      </c>
      <c r="E1479" s="46" t="inlineStr">
        <is>
          <t>Oui</t>
        </is>
      </c>
    </row>
    <row r="1480">
      <c r="A1480" s="42" t="n">
        <v>129</v>
      </c>
      <c r="B1480" s="28" t="inlineStr">
        <is>
          <t>CE maladie</t>
        </is>
      </c>
      <c r="C1480" s="43" t="n">
        <v>12481391.51090365</v>
      </c>
      <c r="D1480" s="28" t="inlineStr">
        <is>
          <t>12 481 392 FCFA</t>
        </is>
      </c>
      <c r="E1480" s="44" t="inlineStr">
        <is>
          <t>Oui</t>
        </is>
      </c>
    </row>
    <row r="1481">
      <c r="A1481" s="42" t="n">
        <v>129</v>
      </c>
      <c r="B1481" s="30" t="inlineStr">
        <is>
          <t>CE PIDR</t>
        </is>
      </c>
      <c r="C1481" s="45" t="n">
        <v>24446566.18199894</v>
      </c>
      <c r="D1481" s="30" t="inlineStr">
        <is>
          <t>24 446 566 FCFA</t>
        </is>
      </c>
      <c r="E1481" s="46" t="inlineStr">
        <is>
          <t>Oui</t>
        </is>
      </c>
    </row>
    <row r="1482">
      <c r="A1482" s="42" t="n">
        <v>129</v>
      </c>
      <c r="B1482" s="28" t="inlineStr">
        <is>
          <t>CE part épargne</t>
        </is>
      </c>
      <c r="C1482" s="43" t="n">
        <v>0.9745621723059997</v>
      </c>
      <c r="D1482" s="28" t="inlineStr">
        <is>
          <t>97,46 %</t>
        </is>
      </c>
      <c r="E1482" s="44" t="inlineStr">
        <is>
          <t>Oui</t>
        </is>
      </c>
    </row>
    <row r="1483">
      <c r="A1483" s="42" t="n">
        <v>130</v>
      </c>
      <c r="B1483" s="30" t="inlineStr">
        <is>
          <t>CP bilan</t>
        </is>
      </c>
      <c r="C1483" s="45" t="n">
        <v>4829298290</v>
      </c>
      <c r="D1483" s="30" t="inlineStr">
        <is>
          <t>4 829 298 290 FCFA</t>
        </is>
      </c>
      <c r="E1483" s="46" t="inlineStr">
        <is>
          <t>Oui</t>
        </is>
      </c>
    </row>
    <row r="1484">
      <c r="A1484" s="42" t="n">
        <v>130</v>
      </c>
      <c r="B1484" s="28" t="inlineStr">
        <is>
          <t>CP besoin</t>
        </is>
      </c>
      <c r="C1484" s="43" t="n">
        <v>19581391.51090365</v>
      </c>
      <c r="D1484" s="28" t="inlineStr">
        <is>
          <t>19 581 392 FCFA</t>
        </is>
      </c>
      <c r="E1484" s="44" t="inlineStr">
        <is>
          <t>Oui</t>
        </is>
      </c>
    </row>
    <row r="1485">
      <c r="A1485" s="42" t="n">
        <v>130</v>
      </c>
      <c r="B1485" s="30" t="inlineStr">
        <is>
          <t>CP mal</t>
        </is>
      </c>
      <c r="C1485" s="45" t="n">
        <v>2867602878</v>
      </c>
      <c r="D1485" s="30" t="inlineStr">
        <is>
          <t>2 867 602 878 FCFA</t>
        </is>
      </c>
      <c r="E1485" s="46" t="inlineStr">
        <is>
          <t>Oui</t>
        </is>
      </c>
    </row>
    <row r="1486">
      <c r="A1486" s="42" t="n">
        <v>130</v>
      </c>
      <c r="B1486" s="28" t="inlineStr">
        <is>
          <t>CP mal b</t>
        </is>
      </c>
      <c r="C1486" s="43" t="n">
        <v>12481391.51090365</v>
      </c>
      <c r="D1486" s="28" t="inlineStr">
        <is>
          <t>12 481 392 FCFA</t>
        </is>
      </c>
      <c r="E1486" s="44" t="inlineStr">
        <is>
          <t>Oui</t>
        </is>
      </c>
    </row>
    <row r="1487">
      <c r="A1487" s="42" t="n">
        <v>130</v>
      </c>
      <c r="B1487" s="30" t="inlineStr">
        <is>
          <t>CP obs</t>
        </is>
      </c>
      <c r="C1487" s="45" t="n">
        <v>1961695412</v>
      </c>
      <c r="D1487" s="30" t="inlineStr">
        <is>
          <t>1 961 695 412 FCFA</t>
        </is>
      </c>
      <c r="E1487" s="46" t="inlineStr">
        <is>
          <t>Oui</t>
        </is>
      </c>
    </row>
    <row r="1488">
      <c r="A1488" s="42" t="n">
        <v>130</v>
      </c>
      <c r="B1488" s="28" t="inlineStr">
        <is>
          <t>CP obs b</t>
        </is>
      </c>
      <c r="C1488" s="43" t="n">
        <v>7100000</v>
      </c>
      <c r="D1488" s="28" t="inlineStr">
        <is>
          <t>7 100 000 FCFA</t>
        </is>
      </c>
      <c r="E1488" s="44" t="inlineStr">
        <is>
          <t>Oui</t>
        </is>
      </c>
    </row>
    <row r="1489">
      <c r="A1489" s="42" t="n">
        <v>130</v>
      </c>
      <c r="B1489" s="30" t="inlineStr">
        <is>
          <t>CP rc</t>
        </is>
      </c>
      <c r="C1489" s="45" t="n">
        <v>0</v>
      </c>
      <c r="D1489" s="30" t="inlineStr">
        <is>
          <t>0 FCFA</t>
        </is>
      </c>
      <c r="E1489" s="46" t="inlineStr">
        <is>
          <t>Oui</t>
        </is>
      </c>
    </row>
    <row r="1490">
      <c r="A1490" s="42" t="n">
        <v>130</v>
      </c>
      <c r="B1490" s="28" t="inlineStr">
        <is>
          <t>CP int</t>
        </is>
      </c>
      <c r="C1490" s="43" t="n">
        <v>3278913237.589167</v>
      </c>
      <c r="D1490" s="28" t="inlineStr">
        <is>
          <t>3 278 913 238 FCFA</t>
        </is>
      </c>
      <c r="E1490" s="44" t="inlineStr">
        <is>
          <t>Oui</t>
        </is>
      </c>
    </row>
    <row r="1491">
      <c r="A1491" s="42" t="n">
        <v>130</v>
      </c>
      <c r="B1491" s="30" t="inlineStr">
        <is>
          <t>CP gr</t>
        </is>
      </c>
      <c r="C1491" s="45" t="n">
        <v>14016391.8</v>
      </c>
      <c r="D1491" s="30" t="inlineStr">
        <is>
          <t>14 016 392 FCFA</t>
        </is>
      </c>
      <c r="E1491" s="46" t="inlineStr">
        <is>
          <t>Oui</t>
        </is>
      </c>
    </row>
    <row r="1492">
      <c r="A1492" s="42" t="n">
        <v>132</v>
      </c>
      <c r="B1492" s="28" t="inlineStr">
        <is>
          <t>CMP (a)</t>
        </is>
      </c>
      <c r="C1492" s="43" t="n">
        <v>7083534565</v>
      </c>
      <c r="D1492" s="28" t="inlineStr">
        <is>
          <t>7 083 534 565 FCFA</t>
        </is>
      </c>
      <c r="E1492" s="44" t="inlineStr">
        <is>
          <t>Oui</t>
        </is>
      </c>
    </row>
    <row r="1493">
      <c r="A1493" s="42" t="n">
        <v>132</v>
      </c>
      <c r="B1493" s="30" t="inlineStr">
        <is>
          <t>Terrains</t>
        </is>
      </c>
      <c r="C1493" s="45" t="n">
        <v>5245896750</v>
      </c>
      <c r="D1493" s="30" t="inlineStr">
        <is>
          <t>5 245 896 750 FCFA</t>
        </is>
      </c>
      <c r="E1493" s="46" t="inlineStr">
        <is>
          <t>Oui</t>
        </is>
      </c>
    </row>
    <row r="1494">
      <c r="A1494" s="42" t="n">
        <v>132</v>
      </c>
      <c r="B1494" s="28" t="inlineStr">
        <is>
          <t>Trésorerie</t>
        </is>
      </c>
      <c r="C1494" s="43" t="n">
        <v>3359100618</v>
      </c>
      <c r="D1494" s="28" t="inlineStr">
        <is>
          <t>3 359 100 618 FCFA</t>
        </is>
      </c>
      <c r="E1494" s="44" t="inlineStr">
        <is>
          <t>Oui</t>
        </is>
      </c>
    </row>
    <row r="1495">
      <c r="A1495" s="42" t="n">
        <v>132</v>
      </c>
      <c r="B1495" s="30" t="inlineStr">
        <is>
          <t>CMP 2020</t>
        </is>
      </c>
      <c r="C1495" s="45" t="n">
        <v>2984680712</v>
      </c>
      <c r="D1495" s="30" t="inlineStr">
        <is>
          <t>2 984 680 712 FCFA</t>
        </is>
      </c>
      <c r="E1495" s="46" t="inlineStr">
        <is>
          <t>Oui</t>
        </is>
      </c>
    </row>
    <row r="1496">
      <c r="A1496" s="42" t="n">
        <v>132</v>
      </c>
      <c r="B1496" s="28" t="inlineStr">
        <is>
          <t>CMP 2026</t>
        </is>
      </c>
      <c r="C1496" s="43" t="n">
        <v>7083534565</v>
      </c>
      <c r="D1496" s="28" t="inlineStr">
        <is>
          <t>7 083 534 565 FCFA</t>
        </is>
      </c>
      <c r="E1496" s="44" t="inlineStr">
        <is>
          <t>Oui</t>
        </is>
      </c>
    </row>
    <row r="1497">
      <c r="A1497" s="42" t="n">
        <v>132</v>
      </c>
      <c r="B1497" s="30" t="inlineStr">
        <is>
          <t>Hôpital</t>
        </is>
      </c>
      <c r="C1497" s="45" t="n">
        <v>3407519850</v>
      </c>
      <c r="D1497" s="30" t="inlineStr">
        <is>
          <t>3 407 519 850 FCFA</t>
        </is>
      </c>
      <c r="E1497" s="46" t="inlineStr">
        <is>
          <t>Oui</t>
        </is>
      </c>
    </row>
    <row r="1498">
      <c r="A1498" s="42" t="n">
        <v>132</v>
      </c>
      <c r="B1498" s="28" t="inlineStr">
        <is>
          <t>Fournisseurs cliniques</t>
        </is>
      </c>
      <c r="C1498" s="43" t="n">
        <v>690234451</v>
      </c>
      <c r="D1498" s="28" t="inlineStr">
        <is>
          <t>690 234 451 FCFA</t>
        </is>
      </c>
      <c r="E1498" s="44" t="inlineStr">
        <is>
          <t>Oui</t>
        </is>
      </c>
    </row>
    <row r="1499">
      <c r="A1499" s="42" t="n">
        <v>133</v>
      </c>
      <c r="B1499" s="30" t="inlineStr">
        <is>
          <t>Actif &lt; 1 an 2026</t>
        </is>
      </c>
      <c r="C1499" s="45" t="n">
        <v>3457866951</v>
      </c>
      <c r="D1499" s="30" t="inlineStr">
        <is>
          <t>3 457 866 951 FCFA</t>
        </is>
      </c>
      <c r="E1499" s="46" t="inlineStr">
        <is>
          <t>Oui</t>
        </is>
      </c>
    </row>
    <row r="1500">
      <c r="A1500" s="42" t="n">
        <v>133</v>
      </c>
      <c r="B1500" s="28" t="inlineStr">
        <is>
          <t>Passif &lt; 1 an 2026</t>
        </is>
      </c>
      <c r="C1500" s="43" t="n">
        <v>7017736497</v>
      </c>
      <c r="D1500" s="28" t="inlineStr">
        <is>
          <t>7 017 736 497 FCFA</t>
        </is>
      </c>
      <c r="E1500" s="44" t="inlineStr">
        <is>
          <t>Oui</t>
        </is>
      </c>
    </row>
    <row r="1501">
      <c r="A1501" s="42" t="n">
        <v>133</v>
      </c>
      <c r="B1501" s="30" t="inlineStr">
        <is>
          <t>Actif &gt; 5 ans 2026</t>
        </is>
      </c>
      <c r="C1501" s="45" t="n">
        <v>17170238905</v>
      </c>
      <c r="D1501" s="30" t="inlineStr">
        <is>
          <t>17 170 238 905 FCFA</t>
        </is>
      </c>
      <c r="E1501" s="46" t="inlineStr">
        <is>
          <t>Oui</t>
        </is>
      </c>
    </row>
    <row r="1502">
      <c r="A1502" s="42" t="n">
        <v>133</v>
      </c>
      <c r="B1502" s="28" t="inlineStr">
        <is>
          <t>Actif total mobilisation 2026</t>
        </is>
      </c>
      <c r="C1502" s="43" t="n">
        <v>21925420866</v>
      </c>
      <c r="D1502" s="28" t="inlineStr">
        <is>
          <t>21 925 420 866 FCFA</t>
        </is>
      </c>
      <c r="E1502" s="44" t="inlineStr">
        <is>
          <t>Oui</t>
        </is>
      </c>
    </row>
    <row r="1503">
      <c r="A1503" s="42" t="n">
        <v>133</v>
      </c>
      <c r="B1503" s="30" t="inlineStr">
        <is>
          <t>Écart &lt; 1 an 2026</t>
        </is>
      </c>
      <c r="C1503" s="45" t="n">
        <v>3559869546</v>
      </c>
      <c r="D1503" s="30" t="inlineStr">
        <is>
          <t>3 559 869 546 FCFA</t>
        </is>
      </c>
      <c r="E1503" s="46" t="inlineStr">
        <is>
          <t>Oui</t>
        </is>
      </c>
    </row>
    <row r="1504">
      <c r="A1504" s="42" t="n">
        <v>133</v>
      </c>
      <c r="B1504" s="28" t="inlineStr">
        <is>
          <t>Épargne mobilisation 2026</t>
        </is>
      </c>
      <c r="C1504" s="43" t="n">
        <v>15743516391</v>
      </c>
      <c r="D1504" s="28" t="inlineStr">
        <is>
          <t>15 743 516 391 FCFA</t>
        </is>
      </c>
      <c r="E1504" s="44" t="inlineStr">
        <is>
          <t>Oui</t>
        </is>
      </c>
    </row>
    <row r="1505">
      <c r="A1505" s="42" t="n">
        <v>134</v>
      </c>
      <c r="B1505" s="30" t="inlineStr">
        <is>
          <t>Épargne ALM 2026</t>
        </is>
      </c>
      <c r="C1505" s="45" t="n">
        <v>15743516391</v>
      </c>
      <c r="D1505" s="30" t="inlineStr">
        <is>
          <t>15 743 516 391 FCFA</t>
        </is>
      </c>
      <c r="E1505" s="46" t="inlineStr">
        <is>
          <t>Oui</t>
        </is>
      </c>
    </row>
    <row r="1506">
      <c r="A1506" s="42" t="n">
        <v>134</v>
      </c>
      <c r="B1506" s="28" t="inlineStr">
        <is>
          <t>Hôpital ALM 2026</t>
        </is>
      </c>
      <c r="C1506" s="43" t="n">
        <v>3407519850</v>
      </c>
      <c r="D1506" s="28" t="inlineStr">
        <is>
          <t>3 407 519 850 FCFA</t>
        </is>
      </c>
      <c r="E1506" s="44" t="inlineStr">
        <is>
          <t>Oui</t>
        </is>
      </c>
    </row>
    <row r="1507">
      <c r="A1507" s="42" t="n">
        <v>134</v>
      </c>
      <c r="B1507" s="30" t="inlineStr">
        <is>
          <t>CMP inv ALM 2026</t>
        </is>
      </c>
      <c r="C1507" s="45" t="n">
        <v>5803025455</v>
      </c>
      <c r="D1507" s="30" t="inlineStr">
        <is>
          <t>5 803 025 455 FCFA</t>
        </is>
      </c>
      <c r="E1507" s="46" t="inlineStr">
        <is>
          <t>Oui</t>
        </is>
      </c>
    </row>
    <row r="1508">
      <c r="A1508" s="42" t="n">
        <v>134</v>
      </c>
      <c r="B1508" s="28" t="inlineStr">
        <is>
          <t>CMP ch ALM 2026</t>
        </is>
      </c>
      <c r="C1508" s="43" t="n">
        <v>1280300860</v>
      </c>
      <c r="D1508" s="28" t="inlineStr">
        <is>
          <t>1 280 300 860 FCFA</t>
        </is>
      </c>
      <c r="E1508" s="44" t="inlineStr">
        <is>
          <t>Oui</t>
        </is>
      </c>
    </row>
    <row r="1509">
      <c r="A1509" s="42" t="n">
        <v>134</v>
      </c>
      <c r="B1509" s="30" t="inlineStr">
        <is>
          <t>Terrains ALM 2026</t>
        </is>
      </c>
      <c r="C1509" s="45" t="n">
        <v>5245896750</v>
      </c>
      <c r="D1509" s="30" t="inlineStr">
        <is>
          <t>5 245 896 750 FCFA</t>
        </is>
      </c>
      <c r="E1509" s="46" t="inlineStr">
        <is>
          <t>Oui</t>
        </is>
      </c>
    </row>
    <row r="1510">
      <c r="A1510" s="42" t="n">
        <v>136</v>
      </c>
      <c r="B1510" s="28" t="inlineStr">
        <is>
          <t>Scénario 1 2026</t>
        </is>
      </c>
      <c r="C1510" s="43" t="n">
        <v>0.9632782946478021</v>
      </c>
      <c r="D1510" s="28" t="inlineStr">
        <is>
          <t>96,33 %</t>
        </is>
      </c>
      <c r="E1510" s="44" t="inlineStr">
        <is>
          <t>Oui</t>
        </is>
      </c>
    </row>
    <row r="1511">
      <c r="A1511" s="42" t="n">
        <v>136</v>
      </c>
      <c r="B1511" s="30" t="inlineStr">
        <is>
          <t>Scénario 3 2026</t>
        </is>
      </c>
      <c r="C1511" s="45" t="n">
        <v>0.2718953118025741</v>
      </c>
      <c r="D1511" s="30" t="inlineStr">
        <is>
          <t>27,19 %</t>
        </is>
      </c>
      <c r="E1511" s="46" t="inlineStr">
        <is>
          <t>Oui</t>
        </is>
      </c>
    </row>
    <row r="1512">
      <c r="A1512" s="42" t="n">
        <v>136</v>
      </c>
      <c r="B1512" s="28" t="inlineStr">
        <is>
          <t>Actif sc1 2025</t>
        </is>
      </c>
      <c r="C1512" s="43" t="n">
        <v>19954869035</v>
      </c>
      <c r="D1512" s="28" t="inlineStr">
        <is>
          <t>19 954 869 035 FCFA</t>
        </is>
      </c>
      <c r="E1512" s="44" t="inlineStr">
        <is>
          <t>Oui</t>
        </is>
      </c>
    </row>
    <row r="1513">
      <c r="A1513" s="42" t="n">
        <v>136</v>
      </c>
      <c r="B1513" s="30" t="inlineStr">
        <is>
          <t>Couv sc1 2025</t>
        </is>
      </c>
      <c r="C1513" s="45" t="n">
        <v>0.9806100102194548</v>
      </c>
      <c r="D1513" s="30" t="inlineStr">
        <is>
          <t>98,06 %</t>
        </is>
      </c>
      <c r="E1513" s="46" t="inlineStr">
        <is>
          <t>Oui</t>
        </is>
      </c>
    </row>
    <row r="1514">
      <c r="A1514" s="42" t="n">
        <v>136</v>
      </c>
      <c r="B1514" s="28" t="inlineStr">
        <is>
          <t>Actif sc1 2026</t>
        </is>
      </c>
      <c r="C1514" s="43" t="n">
        <v>21925420866</v>
      </c>
      <c r="D1514" s="28" t="inlineStr">
        <is>
          <t>21 925 420 866 FCFA</t>
        </is>
      </c>
      <c r="E1514" s="44" t="inlineStr">
        <is>
          <t>Oui</t>
        </is>
      </c>
    </row>
    <row r="1515">
      <c r="A1515" s="42" t="n">
        <v>136</v>
      </c>
      <c r="B1515" s="30" t="inlineStr">
        <is>
          <t>Couv sc1 2026</t>
        </is>
      </c>
      <c r="C1515" s="45" t="n">
        <v>0.9632782946478021</v>
      </c>
      <c r="D1515" s="30" t="inlineStr">
        <is>
          <t>96,33 %</t>
        </is>
      </c>
      <c r="E1515" s="46" t="inlineStr">
        <is>
          <t>Oui</t>
        </is>
      </c>
    </row>
    <row r="1516">
      <c r="A1516" s="42" t="n">
        <v>136</v>
      </c>
      <c r="B1516" s="28" t="inlineStr">
        <is>
          <t>Actif sc2 2025</t>
        </is>
      </c>
      <c r="C1516" s="43" t="n">
        <v>15732740110</v>
      </c>
      <c r="D1516" s="28" t="inlineStr">
        <is>
          <t>15 732 740 110 FCFA</t>
        </is>
      </c>
      <c r="E1516" s="44" t="inlineStr">
        <is>
          <t>Oui</t>
        </is>
      </c>
    </row>
    <row r="1517">
      <c r="A1517" s="42" t="n">
        <v>136</v>
      </c>
      <c r="B1517" s="30" t="inlineStr">
        <is>
          <t>Couv sc2 2025</t>
        </is>
      </c>
      <c r="C1517" s="45" t="n">
        <v>0.7731287242721374</v>
      </c>
      <c r="D1517" s="30" t="inlineStr">
        <is>
          <t>77,31 %</t>
        </is>
      </c>
      <c r="E1517" s="46" t="inlineStr">
        <is>
          <t>Oui</t>
        </is>
      </c>
    </row>
    <row r="1518">
      <c r="A1518" s="42" t="n">
        <v>136</v>
      </c>
      <c r="B1518" s="28" t="inlineStr">
        <is>
          <t>Actif sc2 2026</t>
        </is>
      </c>
      <c r="C1518" s="43" t="n">
        <v>17237600156</v>
      </c>
      <c r="D1518" s="28" t="inlineStr">
        <is>
          <t>17 237 600 156 FCFA</t>
        </is>
      </c>
      <c r="E1518" s="44" t="inlineStr">
        <is>
          <t>Oui</t>
        </is>
      </c>
    </row>
    <row r="1519">
      <c r="A1519" s="42" t="n">
        <v>136</v>
      </c>
      <c r="B1519" s="30" t="inlineStr">
        <is>
          <t>Couv sc2 2026</t>
        </is>
      </c>
      <c r="C1519" s="45" t="n">
        <v>0.7573221140690312</v>
      </c>
      <c r="D1519" s="30" t="inlineStr">
        <is>
          <t>75,73 %</t>
        </is>
      </c>
      <c r="E1519" s="46" t="inlineStr">
        <is>
          <t>Oui</t>
        </is>
      </c>
    </row>
    <row r="1520">
      <c r="A1520" s="42" t="n">
        <v>136</v>
      </c>
      <c r="B1520" s="28" t="inlineStr">
        <is>
          <t>Actif sc3 2025</t>
        </is>
      </c>
      <c r="C1520" s="43" t="n">
        <v>5298475488</v>
      </c>
      <c r="D1520" s="28" t="inlineStr">
        <is>
          <t>5 298 475 488 FCFA</t>
        </is>
      </c>
      <c r="E1520" s="44" t="inlineStr">
        <is>
          <t>Oui</t>
        </is>
      </c>
    </row>
    <row r="1521">
      <c r="A1521" s="42" t="n">
        <v>136</v>
      </c>
      <c r="B1521" s="30" t="inlineStr">
        <is>
          <t>Couv sc3 2025</t>
        </is>
      </c>
      <c r="C1521" s="45" t="n">
        <v>0.2603744526372038</v>
      </c>
      <c r="D1521" s="30" t="inlineStr">
        <is>
          <t>26,04 %</t>
        </is>
      </c>
      <c r="E1521" s="46" t="inlineStr">
        <is>
          <t>Oui</t>
        </is>
      </c>
    </row>
    <row r="1522">
      <c r="A1522" s="42" t="n">
        <v>136</v>
      </c>
      <c r="B1522" s="28" t="inlineStr">
        <is>
          <t>Actif sc3 2026</t>
        </is>
      </c>
      <c r="C1522" s="43" t="n">
        <v>6188677951</v>
      </c>
      <c r="D1522" s="28" t="inlineStr">
        <is>
          <t>6 188 677 951 FCFA</t>
        </is>
      </c>
      <c r="E1522" s="44" t="inlineStr">
        <is>
          <t>Oui</t>
        </is>
      </c>
    </row>
    <row r="1523">
      <c r="A1523" s="42" t="n">
        <v>136</v>
      </c>
      <c r="B1523" s="30" t="inlineStr">
        <is>
          <t>Couv sc3 2026</t>
        </is>
      </c>
      <c r="C1523" s="45" t="n">
        <v>0.2718953118025741</v>
      </c>
      <c r="D1523" s="30" t="inlineStr">
        <is>
          <t>27,19 %</t>
        </is>
      </c>
      <c r="E1523" s="46" t="inlineStr">
        <is>
          <t>Oui</t>
        </is>
      </c>
    </row>
    <row r="1524">
      <c r="A1524" s="42" t="n">
        <v>136</v>
      </c>
      <c r="B1524" s="28" t="inlineStr">
        <is>
          <t>Actif sc4 2025</t>
        </is>
      </c>
      <c r="C1524" s="43" t="n">
        <v>2715008827</v>
      </c>
      <c r="D1524" s="28" t="inlineStr">
        <is>
          <t>2 715 008 827 FCFA</t>
        </is>
      </c>
      <c r="E1524" s="44" t="inlineStr">
        <is>
          <t>Oui</t>
        </is>
      </c>
    </row>
    <row r="1525">
      <c r="A1525" s="42" t="n">
        <v>136</v>
      </c>
      <c r="B1525" s="30" t="inlineStr">
        <is>
          <t>Couv sc4 2025</t>
        </is>
      </c>
      <c r="C1525" s="45" t="n">
        <v>0.415432587997368</v>
      </c>
      <c r="D1525" s="30" t="inlineStr">
        <is>
          <t>41,54 %</t>
        </is>
      </c>
      <c r="E1525" s="46" t="inlineStr">
        <is>
          <t>Oui</t>
        </is>
      </c>
    </row>
    <row r="1526">
      <c r="A1526" s="42" t="n">
        <v>136</v>
      </c>
      <c r="B1526" s="28" t="inlineStr">
        <is>
          <t>Actif sc4 2026</t>
        </is>
      </c>
      <c r="C1526" s="43" t="n">
        <v>3457866951</v>
      </c>
      <c r="D1526" s="28" t="inlineStr">
        <is>
          <t>3 457 866 951 FCFA</t>
        </is>
      </c>
      <c r="E1526" s="44" t="inlineStr">
        <is>
          <t>Oui</t>
        </is>
      </c>
    </row>
    <row r="1527">
      <c r="A1527" s="42" t="n">
        <v>136</v>
      </c>
      <c r="B1527" s="30" t="inlineStr">
        <is>
          <t>Couv sc4 2026</t>
        </is>
      </c>
      <c r="C1527" s="45" t="n">
        <v>0.4927325146047016</v>
      </c>
      <c r="D1527" s="30" t="inlineStr">
        <is>
          <t>49,27 %</t>
        </is>
      </c>
      <c r="E1527" s="46" t="inlineStr">
        <is>
          <t>Oui</t>
        </is>
      </c>
    </row>
    <row r="1528">
      <c r="A1528" s="42" t="n">
        <v>136</v>
      </c>
      <c r="B1528" s="28" t="inlineStr">
        <is>
          <t>Engagements 2025</t>
        </is>
      </c>
      <c r="C1528" s="43" t="n">
        <v>20349444557</v>
      </c>
      <c r="D1528" s="28" t="inlineStr">
        <is>
          <t>20 349 444 557 FCFA</t>
        </is>
      </c>
      <c r="E1528" s="44" t="inlineStr">
        <is>
          <t>Oui</t>
        </is>
      </c>
    </row>
    <row r="1529">
      <c r="A1529" s="42" t="n">
        <v>136</v>
      </c>
      <c r="B1529" s="30" t="inlineStr">
        <is>
          <t>Engagements 2026</t>
        </is>
      </c>
      <c r="C1529" s="45" t="n">
        <v>22761252888</v>
      </c>
      <c r="D1529" s="30" t="inlineStr">
        <is>
          <t>22 761 252 888 FCFA</t>
        </is>
      </c>
      <c r="E1529" s="46" t="inlineStr">
        <is>
          <t>Oui</t>
        </is>
      </c>
    </row>
    <row r="1530">
      <c r="A1530" s="42" t="n">
        <v>136</v>
      </c>
      <c r="B1530" s="28" t="inlineStr">
        <is>
          <t>Scénario 1 2026 (b)</t>
        </is>
      </c>
      <c r="C1530" s="43" t="n">
        <v>0.9632782946478021</v>
      </c>
      <c r="D1530" s="28" t="inlineStr">
        <is>
          <t>96,33 %</t>
        </is>
      </c>
      <c r="E1530" s="44" t="inlineStr">
        <is>
          <t>Oui</t>
        </is>
      </c>
    </row>
    <row r="1531">
      <c r="A1531" s="42" t="n">
        <v>136</v>
      </c>
      <c r="B1531" s="30" t="inlineStr">
        <is>
          <t>Scénario 3 2026 (b)</t>
        </is>
      </c>
      <c r="C1531" s="45" t="n">
        <v>0.2718953118025741</v>
      </c>
      <c r="D1531" s="30" t="inlineStr">
        <is>
          <t>27,19 %</t>
        </is>
      </c>
      <c r="E1531" s="46" t="inlineStr">
        <is>
          <t>Oui</t>
        </is>
      </c>
    </row>
    <row r="1532">
      <c r="A1532" s="42" t="n">
        <v>136</v>
      </c>
      <c r="B1532" s="28" t="inlineStr">
        <is>
          <t>Scénario 4 2026 (b)</t>
        </is>
      </c>
      <c r="C1532" s="43" t="n">
        <v>0.4927325146047016</v>
      </c>
      <c r="D1532" s="28" t="inlineStr">
        <is>
          <t>49,27 %</t>
        </is>
      </c>
      <c r="E1532" s="44" t="inlineStr">
        <is>
          <t>Oui</t>
        </is>
      </c>
    </row>
    <row r="1533">
      <c r="A1533" s="42" t="n">
        <v>137</v>
      </c>
      <c r="B1533" s="30" t="inlineStr">
        <is>
          <t>ALM délai</t>
        </is>
      </c>
      <c r="C1533" s="45" t="n">
        <v>2.622797716643295</v>
      </c>
      <c r="D1533" s="30" t="inlineStr">
        <is>
          <t>2,62</t>
        </is>
      </c>
      <c r="E1533" s="46" t="inlineStr">
        <is>
          <t>Oui</t>
        </is>
      </c>
    </row>
    <row r="1534">
      <c r="A1534" s="42" t="n">
        <v>137</v>
      </c>
      <c r="B1534" s="28" t="inlineStr">
        <is>
          <t>ALM tmax</t>
        </is>
      </c>
      <c r="C1534" s="43" t="n">
        <v>0.2754862799419019</v>
      </c>
      <c r="D1534" s="28" t="inlineStr">
        <is>
          <t>27,55 %</t>
        </is>
      </c>
      <c r="E1534" s="44" t="inlineStr">
        <is>
          <t>Oui</t>
        </is>
      </c>
    </row>
    <row r="1535">
      <c r="A1535" s="42" t="n">
        <v>137</v>
      </c>
      <c r="B1535" s="30" t="inlineStr">
        <is>
          <t>ALM pic</t>
        </is>
      </c>
      <c r="C1535" s="45" t="n">
        <v>1.035337329862893</v>
      </c>
      <c r="D1535" s="30" t="inlineStr">
        <is>
          <t>103,53 %</t>
        </is>
      </c>
      <c r="E1535" s="46" t="inlineStr">
        <is>
          <t>Oui</t>
        </is>
      </c>
    </row>
    <row r="1536">
      <c r="A1536" s="42" t="n">
        <v>138</v>
      </c>
      <c r="B1536" s="28" t="inlineStr">
        <is>
          <t>ALM t moy</t>
        </is>
      </c>
      <c r="C1536" s="43" t="n">
        <v>0.192357070191737</v>
      </c>
      <c r="D1536" s="28" t="inlineStr">
        <is>
          <t>19,24 %</t>
        </is>
      </c>
      <c r="E1536" s="44" t="inlineStr">
        <is>
          <t>Oui</t>
        </is>
      </c>
    </row>
    <row r="1537">
      <c r="A1537" s="42" t="n">
        <v>138</v>
      </c>
      <c r="B1537" s="30" t="inlineStr">
        <is>
          <t>ALM tmin</t>
        </is>
      </c>
      <c r="C1537" s="45" t="n">
        <v>0.1259910046497532</v>
      </c>
      <c r="D1537" s="30" t="inlineStr">
        <is>
          <t>12,60 %</t>
        </is>
      </c>
      <c r="E1537" s="46" t="inlineStr">
        <is>
          <t>Oui</t>
        </is>
      </c>
    </row>
    <row r="1538">
      <c r="A1538" s="42" t="n">
        <v>138</v>
      </c>
      <c r="B1538" s="28" t="inlineStr">
        <is>
          <t>ALM tmax (s)</t>
        </is>
      </c>
      <c r="C1538" s="43" t="n">
        <v>0.2754862799419019</v>
      </c>
      <c r="D1538" s="28" t="inlineStr">
        <is>
          <t>27,55 %</t>
        </is>
      </c>
      <c r="E1538" s="44" t="inlineStr">
        <is>
          <t>Oui</t>
        </is>
      </c>
    </row>
    <row r="1539">
      <c r="A1539" s="42" t="n">
        <v>138</v>
      </c>
      <c r="B1539" s="30" t="inlineStr">
        <is>
          <t>ALM début 2021</t>
        </is>
      </c>
      <c r="C1539" s="45" t="n">
        <v>10828205640</v>
      </c>
      <c r="D1539" s="30" t="inlineStr">
        <is>
          <t>10 828 205 640 FCFA</t>
        </is>
      </c>
      <c r="E1539" s="46" t="inlineStr">
        <is>
          <t>Oui</t>
        </is>
      </c>
    </row>
    <row r="1540">
      <c r="A1540" s="42" t="n">
        <v>138</v>
      </c>
      <c r="B1540" s="28" t="inlineStr">
        <is>
          <t>ALM sorties 2021</t>
        </is>
      </c>
      <c r="C1540" s="43" t="n">
        <v>1652904458</v>
      </c>
      <c r="D1540" s="28" t="inlineStr">
        <is>
          <t>1 652 904 458 FCFA</t>
        </is>
      </c>
      <c r="E1540" s="44" t="inlineStr">
        <is>
          <t>Oui</t>
        </is>
      </c>
    </row>
    <row r="1541">
      <c r="A1541" s="42" t="n">
        <v>138</v>
      </c>
      <c r="B1541" s="30" t="inlineStr">
        <is>
          <t>ALM tp 2021</t>
        </is>
      </c>
      <c r="C1541" s="45" t="n">
        <v>0.1772789248844481</v>
      </c>
      <c r="D1541" s="30" t="inlineStr">
        <is>
          <t>17,73 %</t>
        </is>
      </c>
      <c r="E1541" s="46" t="inlineStr">
        <is>
          <t>Oui</t>
        </is>
      </c>
    </row>
    <row r="1542">
      <c r="A1542" s="42" t="n">
        <v>138</v>
      </c>
      <c r="B1542" s="28" t="inlineStr">
        <is>
          <t>ALM te 2021</t>
        </is>
      </c>
      <c r="C1542" s="43" t="n">
        <v>0.1002396257875964</v>
      </c>
      <c r="D1542" s="28" t="inlineStr">
        <is>
          <t>10,02 %</t>
        </is>
      </c>
      <c r="E1542" s="44" t="inlineStr">
        <is>
          <t>Oui</t>
        </is>
      </c>
    </row>
    <row r="1543">
      <c r="A1543" s="42" t="n">
        <v>138</v>
      </c>
      <c r="B1543" s="30" t="inlineStr">
        <is>
          <t>ALM tt 2021</t>
        </is>
      </c>
      <c r="C1543" s="45" t="n">
        <v>0.1526480483427539</v>
      </c>
      <c r="D1543" s="30" t="inlineStr">
        <is>
          <t>15,26 %</t>
        </is>
      </c>
      <c r="E1543" s="46" t="inlineStr">
        <is>
          <t>Oui</t>
        </is>
      </c>
    </row>
    <row r="1544">
      <c r="A1544" s="42" t="n">
        <v>138</v>
      </c>
      <c r="B1544" s="28" t="inlineStr">
        <is>
          <t>ALM début 2022</t>
        </is>
      </c>
      <c r="C1544" s="43" t="n">
        <v>10147421276</v>
      </c>
      <c r="D1544" s="28" t="inlineStr">
        <is>
          <t>10 147 421 276 FCFA</t>
        </is>
      </c>
      <c r="E1544" s="44" t="inlineStr">
        <is>
          <t>Oui</t>
        </is>
      </c>
    </row>
    <row r="1545">
      <c r="A1545" s="42" t="n">
        <v>138</v>
      </c>
      <c r="B1545" s="30" t="inlineStr">
        <is>
          <t>ALM sorties 2022</t>
        </is>
      </c>
      <c r="C1545" s="45" t="n">
        <v>2317974441</v>
      </c>
      <c r="D1545" s="30" t="inlineStr">
        <is>
          <t>2 317 974 441 FCFA</t>
        </is>
      </c>
      <c r="E1545" s="46" t="inlineStr">
        <is>
          <t>Oui</t>
        </is>
      </c>
    </row>
    <row r="1546">
      <c r="A1546" s="42" t="n">
        <v>138</v>
      </c>
      <c r="B1546" s="28" t="inlineStr">
        <is>
          <t>ALM tp 2022</t>
        </is>
      </c>
      <c r="C1546" s="43" t="n">
        <v>0.305528641933048</v>
      </c>
      <c r="D1546" s="28" t="inlineStr">
        <is>
          <t>30,55 %</t>
        </is>
      </c>
      <c r="E1546" s="44" t="inlineStr">
        <is>
          <t>Oui</t>
        </is>
      </c>
    </row>
    <row r="1547">
      <c r="A1547" s="42" t="n">
        <v>138</v>
      </c>
      <c r="B1547" s="30" t="inlineStr">
        <is>
          <t>ALM te 2022</t>
        </is>
      </c>
      <c r="C1547" s="45" t="n">
        <v>0.09883380200313824</v>
      </c>
      <c r="D1547" s="30" t="inlineStr">
        <is>
          <t>9,88 %</t>
        </is>
      </c>
      <c r="E1547" s="46" t="inlineStr">
        <is>
          <t>Oui</t>
        </is>
      </c>
    </row>
    <row r="1548">
      <c r="A1548" s="42" t="n">
        <v>138</v>
      </c>
      <c r="B1548" s="28" t="inlineStr">
        <is>
          <t>ALM tt 2022</t>
        </is>
      </c>
      <c r="C1548" s="43" t="n">
        <v>0.2284299013466917</v>
      </c>
      <c r="D1548" s="28" t="inlineStr">
        <is>
          <t>22,84 %</t>
        </is>
      </c>
      <c r="E1548" s="44" t="inlineStr">
        <is>
          <t>Oui</t>
        </is>
      </c>
    </row>
    <row r="1549">
      <c r="A1549" s="42" t="n">
        <v>138</v>
      </c>
      <c r="B1549" s="30" t="inlineStr">
        <is>
          <t>ALM début 2023</t>
        </is>
      </c>
      <c r="C1549" s="45" t="n">
        <v>9364845293</v>
      </c>
      <c r="D1549" s="30" t="inlineStr">
        <is>
          <t>9 364 845 293 FCFA</t>
        </is>
      </c>
      <c r="E1549" s="46" t="inlineStr">
        <is>
          <t>Oui</t>
        </is>
      </c>
    </row>
    <row r="1550">
      <c r="A1550" s="42" t="n">
        <v>138</v>
      </c>
      <c r="B1550" s="28" t="inlineStr">
        <is>
          <t>ALM sorties 2023</t>
        </is>
      </c>
      <c r="C1550" s="43" t="n">
        <v>2579886392</v>
      </c>
      <c r="D1550" s="28" t="inlineStr">
        <is>
          <t>2 579 886 392 FCFA</t>
        </is>
      </c>
      <c r="E1550" s="44" t="inlineStr">
        <is>
          <t>Oui</t>
        </is>
      </c>
    </row>
    <row r="1551">
      <c r="A1551" s="42" t="n">
        <v>138</v>
      </c>
      <c r="B1551" s="30" t="inlineStr">
        <is>
          <t>ALM tp 2023</t>
        </is>
      </c>
      <c r="C1551" s="45" t="n">
        <v>0.4616845733538888</v>
      </c>
      <c r="D1551" s="30" t="inlineStr">
        <is>
          <t>46,17 %</t>
        </is>
      </c>
      <c r="E1551" s="46" t="inlineStr">
        <is>
          <t>Oui</t>
        </is>
      </c>
    </row>
    <row r="1552">
      <c r="A1552" s="42" t="n">
        <v>138</v>
      </c>
      <c r="B1552" s="28" t="inlineStr">
        <is>
          <t>ALM te 2023</t>
        </is>
      </c>
      <c r="C1552" s="43" t="n">
        <v>0.070185144248847</v>
      </c>
      <c r="D1552" s="28" t="inlineStr">
        <is>
          <t>7,02 %</t>
        </is>
      </c>
      <c r="E1552" s="44" t="inlineStr">
        <is>
          <t>Oui</t>
        </is>
      </c>
    </row>
    <row r="1553">
      <c r="A1553" s="42" t="n">
        <v>138</v>
      </c>
      <c r="B1553" s="30" t="inlineStr">
        <is>
          <t>ALM tt 2023</t>
        </is>
      </c>
      <c r="C1553" s="45" t="n">
        <v>0.2754862799419019</v>
      </c>
      <c r="D1553" s="30" t="inlineStr">
        <is>
          <t>27,55 %</t>
        </is>
      </c>
      <c r="E1553" s="46" t="inlineStr">
        <is>
          <t>Oui</t>
        </is>
      </c>
    </row>
    <row r="1554">
      <c r="A1554" s="42" t="n">
        <v>138</v>
      </c>
      <c r="B1554" s="28" t="inlineStr">
        <is>
          <t>ALM début 2024</t>
        </is>
      </c>
      <c r="C1554" s="43" t="n">
        <v>9121576576</v>
      </c>
      <c r="D1554" s="28" t="inlineStr">
        <is>
          <t>9 121 576 576 FCFA</t>
        </is>
      </c>
      <c r="E1554" s="44" t="inlineStr">
        <is>
          <t>Oui</t>
        </is>
      </c>
    </row>
    <row r="1555">
      <c r="A1555" s="42" t="n">
        <v>138</v>
      </c>
      <c r="B1555" s="30" t="inlineStr">
        <is>
          <t>ALM sorties 2024</t>
        </is>
      </c>
      <c r="C1555" s="45" t="n">
        <v>1634861234</v>
      </c>
      <c r="D1555" s="30" t="inlineStr">
        <is>
          <t>1 634 861 234 FCFA</t>
        </is>
      </c>
      <c r="E1555" s="46" t="inlineStr">
        <is>
          <t>Oui</t>
        </is>
      </c>
    </row>
    <row r="1556">
      <c r="A1556" s="42" t="n">
        <v>138</v>
      </c>
      <c r="B1556" s="28" t="inlineStr">
        <is>
          <t>ALM tp 2024</t>
        </is>
      </c>
      <c r="C1556" s="43" t="n">
        <v>0.3344508888484473</v>
      </c>
      <c r="D1556" s="28" t="inlineStr">
        <is>
          <t>33,45 %</t>
        </is>
      </c>
      <c r="E1556" s="44" t="inlineStr">
        <is>
          <t>Oui</t>
        </is>
      </c>
    </row>
    <row r="1557">
      <c r="A1557" s="42" t="n">
        <v>138</v>
      </c>
      <c r="B1557" s="30" t="inlineStr">
        <is>
          <t>ALM te 2024</t>
        </is>
      </c>
      <c r="C1557" s="45" t="n">
        <v>0.07986749355962967</v>
      </c>
      <c r="D1557" s="30" t="inlineStr">
        <is>
          <t>7,99 %</t>
        </is>
      </c>
      <c r="E1557" s="46" t="inlineStr">
        <is>
          <t>Oui</t>
        </is>
      </c>
    </row>
    <row r="1558">
      <c r="A1558" s="42" t="n">
        <v>138</v>
      </c>
      <c r="B1558" s="28" t="inlineStr">
        <is>
          <t>ALM tt 2024</t>
        </is>
      </c>
      <c r="C1558" s="43" t="n">
        <v>0.1792301166775843</v>
      </c>
      <c r="D1558" s="28" t="inlineStr">
        <is>
          <t>17,92 %</t>
        </is>
      </c>
      <c r="E1558" s="44" t="inlineStr">
        <is>
          <t>Oui</t>
        </is>
      </c>
    </row>
    <row r="1559">
      <c r="A1559" s="42" t="n">
        <v>138</v>
      </c>
      <c r="B1559" s="30" t="inlineStr">
        <is>
          <t>ALM début 2025</t>
        </is>
      </c>
      <c r="C1559" s="45" t="n">
        <v>10785064432</v>
      </c>
      <c r="D1559" s="30" t="inlineStr">
        <is>
          <t>10 785 064 432 FCFA</t>
        </is>
      </c>
      <c r="E1559" s="46" t="inlineStr">
        <is>
          <t>Oui</t>
        </is>
      </c>
    </row>
    <row r="1560">
      <c r="A1560" s="42" t="n">
        <v>138</v>
      </c>
      <c r="B1560" s="28" t="inlineStr">
        <is>
          <t>ALM sorties 2025</t>
        </is>
      </c>
      <c r="C1560" s="43" t="n">
        <v>1358821103</v>
      </c>
      <c r="D1560" s="28" t="inlineStr">
        <is>
          <t>1 358 821 103 FCFA</t>
        </is>
      </c>
      <c r="E1560" s="44" t="inlineStr">
        <is>
          <t>Oui</t>
        </is>
      </c>
    </row>
    <row r="1561">
      <c r="A1561" s="42" t="n">
        <v>138</v>
      </c>
      <c r="B1561" s="30" t="inlineStr">
        <is>
          <t>ALM tp 2025</t>
        </is>
      </c>
      <c r="C1561" s="45" t="n">
        <v>0.2360211319357501</v>
      </c>
      <c r="D1561" s="30" t="inlineStr">
        <is>
          <t>23,60 %</t>
        </is>
      </c>
      <c r="E1561" s="46" t="inlineStr">
        <is>
          <t>Oui</t>
        </is>
      </c>
    </row>
    <row r="1562">
      <c r="A1562" s="42" t="n">
        <v>138</v>
      </c>
      <c r="B1562" s="28" t="inlineStr">
        <is>
          <t>ALM te 2025</t>
        </is>
      </c>
      <c r="C1562" s="43" t="n">
        <v>0.0653919062824901</v>
      </c>
      <c r="D1562" s="28" t="inlineStr">
        <is>
          <t>6,54 %</t>
        </is>
      </c>
      <c r="E1562" s="44" t="inlineStr">
        <is>
          <t>Oui</t>
        </is>
      </c>
    </row>
    <row r="1563">
      <c r="A1563" s="42" t="n">
        <v>138</v>
      </c>
      <c r="B1563" s="30" t="inlineStr">
        <is>
          <t>ALM tt 2025</t>
        </is>
      </c>
      <c r="C1563" s="45" t="n">
        <v>0.1259910046497532</v>
      </c>
      <c r="D1563" s="30" t="inlineStr">
        <is>
          <t>12,60 %</t>
        </is>
      </c>
      <c r="E1563" s="46" t="inlineStr">
        <is>
          <t>Oui</t>
        </is>
      </c>
    </row>
    <row r="1564">
      <c r="A1564" s="42" t="n">
        <v>138</v>
      </c>
      <c r="B1564" s="28" t="inlineStr">
        <is>
          <t>ALM t moy (a)</t>
        </is>
      </c>
      <c r="C1564" s="43" t="n">
        <v>0.192357070191737</v>
      </c>
      <c r="D1564" s="28" t="inlineStr">
        <is>
          <t>19,24 %</t>
        </is>
      </c>
      <c r="E1564" s="44" t="inlineStr">
        <is>
          <t>Oui</t>
        </is>
      </c>
    </row>
    <row r="1565">
      <c r="A1565" s="42" t="n">
        <v>138</v>
      </c>
      <c r="B1565" s="30" t="inlineStr">
        <is>
          <t>ALM tmax (a)</t>
        </is>
      </c>
      <c r="C1565" s="45" t="n">
        <v>0.2754862799419019</v>
      </c>
      <c r="D1565" s="30" t="inlineStr">
        <is>
          <t>27,55 %</t>
        </is>
      </c>
      <c r="E1565" s="46" t="inlineStr">
        <is>
          <t>Oui</t>
        </is>
      </c>
    </row>
    <row r="1566">
      <c r="A1566" s="42" t="n">
        <v>139</v>
      </c>
      <c r="B1566" s="28" t="inlineStr">
        <is>
          <t>GAP an5</t>
        </is>
      </c>
      <c r="C1566" s="43" t="n">
        <v>12596052822.43228</v>
      </c>
      <c r="D1566" s="28" t="inlineStr">
        <is>
          <t>12 596 052 822 FCFA</t>
        </is>
      </c>
      <c r="E1566" s="44" t="inlineStr">
        <is>
          <t>Oui</t>
        </is>
      </c>
    </row>
    <row r="1567">
      <c r="A1567" s="42" t="n">
        <v>139</v>
      </c>
      <c r="B1567" s="30" t="inlineStr">
        <is>
          <t>GAP fin</t>
        </is>
      </c>
      <c r="C1567" s="45" t="n">
        <v>835832021.9999971</v>
      </c>
      <c r="D1567" s="30" t="inlineStr">
        <is>
          <t>835 832 022 FCFA</t>
        </is>
      </c>
      <c r="E1567" s="46" t="inlineStr">
        <is>
          <t>Oui</t>
        </is>
      </c>
    </row>
    <row r="1568">
      <c r="A1568" s="42" t="n">
        <v>139</v>
      </c>
      <c r="B1568" s="28" t="inlineStr">
        <is>
          <t>GAP act Année 1</t>
        </is>
      </c>
      <c r="C1568" s="43" t="n">
        <v>3457866951</v>
      </c>
      <c r="D1568" s="28" t="inlineStr">
        <is>
          <t>3 457 866 951 FCFA</t>
        </is>
      </c>
      <c r="E1568" s="44" t="inlineStr">
        <is>
          <t>Oui</t>
        </is>
      </c>
    </row>
    <row r="1569">
      <c r="A1569" s="42" t="n">
        <v>139</v>
      </c>
      <c r="B1569" s="30" t="inlineStr">
        <is>
          <t>GAP det Année 1</t>
        </is>
      </c>
      <c r="C1569" s="45" t="n">
        <v>7017736497</v>
      </c>
      <c r="D1569" s="30" t="inlineStr">
        <is>
          <t>7 017 736 497 FCFA</t>
        </is>
      </c>
      <c r="E1569" s="46" t="inlineStr">
        <is>
          <t>Oui</t>
        </is>
      </c>
    </row>
    <row r="1570">
      <c r="A1570" s="42" t="n">
        <v>139</v>
      </c>
      <c r="B1570" s="28" t="inlineStr">
        <is>
          <t>GAP sor Année 1</t>
        </is>
      </c>
      <c r="C1570" s="43" t="n">
        <v>3028376687.488348</v>
      </c>
      <c r="D1570" s="28" t="inlineStr">
        <is>
          <t>3 028 376 687 FCFA</t>
        </is>
      </c>
      <c r="E1570" s="44" t="inlineStr">
        <is>
          <t>Oui</t>
        </is>
      </c>
    </row>
    <row r="1571">
      <c r="A1571" s="42" t="n">
        <v>139</v>
      </c>
      <c r="B1571" s="30" t="inlineStr">
        <is>
          <t>GAP éc Année 1</t>
        </is>
      </c>
      <c r="C1571" s="45" t="n">
        <v>-6588246233.488348</v>
      </c>
      <c r="D1571" s="30" t="inlineStr">
        <is>
          <t>-6 588 246 233 FCFA</t>
        </is>
      </c>
      <c r="E1571" s="46" t="inlineStr">
        <is>
          <t>Oui</t>
        </is>
      </c>
    </row>
    <row r="1572">
      <c r="A1572" s="42" t="n">
        <v>139</v>
      </c>
      <c r="B1572" s="28" t="inlineStr">
        <is>
          <t>GAP cum Année 1</t>
        </is>
      </c>
      <c r="C1572" s="43" t="n">
        <v>-6588246233.488348</v>
      </c>
      <c r="D1572" s="28" t="inlineStr">
        <is>
          <t>-6 588 246 233 FCFA</t>
        </is>
      </c>
      <c r="E1572" s="44" t="inlineStr">
        <is>
          <t>Oui</t>
        </is>
      </c>
    </row>
    <row r="1573">
      <c r="A1573" s="42" t="n">
        <v>139</v>
      </c>
      <c r="B1573" s="30" t="inlineStr">
        <is>
          <t>GAP act Année 2</t>
        </is>
      </c>
      <c r="C1573" s="45" t="n">
        <v>324328752.5</v>
      </c>
      <c r="D1573" s="30" t="inlineStr">
        <is>
          <t>324 328 752 FCFA</t>
        </is>
      </c>
      <c r="E1573" s="46" t="inlineStr">
        <is>
          <t>Oui</t>
        </is>
      </c>
    </row>
    <row r="1574">
      <c r="A1574" s="42" t="n">
        <v>139</v>
      </c>
      <c r="B1574" s="28" t="inlineStr">
        <is>
          <t>GAP det Année 2</t>
        </is>
      </c>
      <c r="C1574" s="43" t="n">
        <v>0</v>
      </c>
      <c r="D1574" s="28" t="inlineStr">
        <is>
          <t>0 FCFA</t>
        </is>
      </c>
      <c r="E1574" s="44" t="inlineStr">
        <is>
          <t>Oui</t>
        </is>
      </c>
    </row>
    <row r="1575">
      <c r="A1575" s="42" t="n">
        <v>139</v>
      </c>
      <c r="B1575" s="30" t="inlineStr">
        <is>
          <t>GAP sor Année 2</t>
        </is>
      </c>
      <c r="C1575" s="45" t="n">
        <v>2445847020.446133</v>
      </c>
      <c r="D1575" s="30" t="inlineStr">
        <is>
          <t>2 445 847 020 FCFA</t>
        </is>
      </c>
      <c r="E1575" s="46" t="inlineStr">
        <is>
          <t>Oui</t>
        </is>
      </c>
    </row>
    <row r="1576">
      <c r="A1576" s="42" t="n">
        <v>139</v>
      </c>
      <c r="B1576" s="28" t="inlineStr">
        <is>
          <t>GAP éc Année 2</t>
        </is>
      </c>
      <c r="C1576" s="43" t="n">
        <v>-2121518267.946133</v>
      </c>
      <c r="D1576" s="28" t="inlineStr">
        <is>
          <t>-2 121 518 268 FCFA</t>
        </is>
      </c>
      <c r="E1576" s="44" t="inlineStr">
        <is>
          <t>Oui</t>
        </is>
      </c>
    </row>
    <row r="1577">
      <c r="A1577" s="42" t="n">
        <v>139</v>
      </c>
      <c r="B1577" s="30" t="inlineStr">
        <is>
          <t>GAP cum Année 2</t>
        </is>
      </c>
      <c r="C1577" s="45" t="n">
        <v>-8709764501.434481</v>
      </c>
      <c r="D1577" s="30" t="inlineStr">
        <is>
          <t>-8 709 764 501 FCFA</t>
        </is>
      </c>
      <c r="E1577" s="46" t="inlineStr">
        <is>
          <t>Oui</t>
        </is>
      </c>
    </row>
    <row r="1578">
      <c r="A1578" s="42" t="n">
        <v>139</v>
      </c>
      <c r="B1578" s="28" t="inlineStr">
        <is>
          <t>GAP act Année 3</t>
        </is>
      </c>
      <c r="C1578" s="43" t="n">
        <v>324328752.5</v>
      </c>
      <c r="D1578" s="28" t="inlineStr">
        <is>
          <t>324 328 752 FCFA</t>
        </is>
      </c>
      <c r="E1578" s="44" t="inlineStr">
        <is>
          <t>Oui</t>
        </is>
      </c>
    </row>
    <row r="1579">
      <c r="A1579" s="42" t="n">
        <v>139</v>
      </c>
      <c r="B1579" s="30" t="inlineStr">
        <is>
          <t>GAP det Année 3</t>
        </is>
      </c>
      <c r="C1579" s="45" t="n">
        <v>0</v>
      </c>
      <c r="D1579" s="30" t="inlineStr">
        <is>
          <t>0 FCFA</t>
        </is>
      </c>
      <c r="E1579" s="46" t="inlineStr">
        <is>
          <t>Oui</t>
        </is>
      </c>
    </row>
    <row r="1580">
      <c r="A1580" s="42" t="n">
        <v>139</v>
      </c>
      <c r="B1580" s="28" t="inlineStr">
        <is>
          <t>GAP sor Année 3</t>
        </is>
      </c>
      <c r="C1580" s="43" t="n">
        <v>1975371053.455925</v>
      </c>
      <c r="D1580" s="28" t="inlineStr">
        <is>
          <t>1 975 371 053 FCFA</t>
        </is>
      </c>
      <c r="E1580" s="44" t="inlineStr">
        <is>
          <t>Oui</t>
        </is>
      </c>
    </row>
    <row r="1581">
      <c r="A1581" s="42" t="n">
        <v>139</v>
      </c>
      <c r="B1581" s="30" t="inlineStr">
        <is>
          <t>GAP éc Année 3</t>
        </is>
      </c>
      <c r="C1581" s="45" t="n">
        <v>-1651042300.955925</v>
      </c>
      <c r="D1581" s="30" t="inlineStr">
        <is>
          <t>-1 651 042 301 FCFA</t>
        </is>
      </c>
      <c r="E1581" s="46" t="inlineStr">
        <is>
          <t>Oui</t>
        </is>
      </c>
    </row>
    <row r="1582">
      <c r="A1582" s="42" t="n">
        <v>139</v>
      </c>
      <c r="B1582" s="28" t="inlineStr">
        <is>
          <t>GAP cum Année 3</t>
        </is>
      </c>
      <c r="C1582" s="43" t="n">
        <v>-10360806802.39041</v>
      </c>
      <c r="D1582" s="28" t="inlineStr">
        <is>
          <t>-10 360 806 802 FCFA</t>
        </is>
      </c>
      <c r="E1582" s="44" t="inlineStr">
        <is>
          <t>Oui</t>
        </is>
      </c>
    </row>
    <row r="1583">
      <c r="A1583" s="42" t="n">
        <v>139</v>
      </c>
      <c r="B1583" s="30" t="inlineStr">
        <is>
          <t>GAP act Année 4</t>
        </is>
      </c>
      <c r="C1583" s="45" t="n">
        <v>324328752.5</v>
      </c>
      <c r="D1583" s="30" t="inlineStr">
        <is>
          <t>324 328 752 FCFA</t>
        </is>
      </c>
      <c r="E1583" s="46" t="inlineStr">
        <is>
          <t>Oui</t>
        </is>
      </c>
    </row>
    <row r="1584">
      <c r="A1584" s="42" t="n">
        <v>139</v>
      </c>
      <c r="B1584" s="28" t="inlineStr">
        <is>
          <t>GAP det Année 4</t>
        </is>
      </c>
      <c r="C1584" s="43" t="n">
        <v>0</v>
      </c>
      <c r="D1584" s="28" t="inlineStr">
        <is>
          <t>0 FCFA</t>
        </is>
      </c>
      <c r="E1584" s="44" t="inlineStr">
        <is>
          <t>Oui</t>
        </is>
      </c>
    </row>
    <row r="1585">
      <c r="A1585" s="42" t="n">
        <v>139</v>
      </c>
      <c r="B1585" s="30" t="inlineStr">
        <is>
          <t>GAP sor Année 4</t>
        </is>
      </c>
      <c r="C1585" s="45" t="n">
        <v>1595394465.071578</v>
      </c>
      <c r="D1585" s="30" t="inlineStr">
        <is>
          <t>1 595 394 465 FCFA</t>
        </is>
      </c>
      <c r="E1585" s="46" t="inlineStr">
        <is>
          <t>Oui</t>
        </is>
      </c>
    </row>
    <row r="1586">
      <c r="A1586" s="42" t="n">
        <v>139</v>
      </c>
      <c r="B1586" s="28" t="inlineStr">
        <is>
          <t>GAP éc Année 4</t>
        </is>
      </c>
      <c r="C1586" s="43" t="n">
        <v>-1271065712.571578</v>
      </c>
      <c r="D1586" s="28" t="inlineStr">
        <is>
          <t>-1 271 065 713 FCFA</t>
        </is>
      </c>
      <c r="E1586" s="44" t="inlineStr">
        <is>
          <t>Oui</t>
        </is>
      </c>
    </row>
    <row r="1587">
      <c r="A1587" s="42" t="n">
        <v>139</v>
      </c>
      <c r="B1587" s="30" t="inlineStr">
        <is>
          <t>GAP cum Année 4</t>
        </is>
      </c>
      <c r="C1587" s="45" t="n">
        <v>-11631872514.96198</v>
      </c>
      <c r="D1587" s="30" t="inlineStr">
        <is>
          <t>-11 631 872 515 FCFA</t>
        </is>
      </c>
      <c r="E1587" s="46" t="inlineStr">
        <is>
          <t>Oui</t>
        </is>
      </c>
    </row>
    <row r="1588">
      <c r="A1588" s="42" t="n">
        <v>139</v>
      </c>
      <c r="B1588" s="28" t="inlineStr">
        <is>
          <t>GAP act Année 5</t>
        </is>
      </c>
      <c r="C1588" s="43" t="n">
        <v>324328752.5</v>
      </c>
      <c r="D1588" s="28" t="inlineStr">
        <is>
          <t>324 328 752 FCFA</t>
        </is>
      </c>
      <c r="E1588" s="44" t="inlineStr">
        <is>
          <t>Oui</t>
        </is>
      </c>
    </row>
    <row r="1589">
      <c r="A1589" s="42" t="n">
        <v>139</v>
      </c>
      <c r="B1589" s="30" t="inlineStr">
        <is>
          <t>GAP det Année 5</t>
        </is>
      </c>
      <c r="C1589" s="45" t="n">
        <v>0</v>
      </c>
      <c r="D1589" s="30" t="inlineStr">
        <is>
          <t>0 FCFA</t>
        </is>
      </c>
      <c r="E1589" s="46" t="inlineStr">
        <is>
          <t>Oui</t>
        </is>
      </c>
    </row>
    <row r="1590">
      <c r="A1590" s="42" t="n">
        <v>139</v>
      </c>
      <c r="B1590" s="28" t="inlineStr">
        <is>
          <t>GAP sor Année 5</t>
        </is>
      </c>
      <c r="C1590" s="43" t="n">
        <v>1288509059.970296</v>
      </c>
      <c r="D1590" s="28" t="inlineStr">
        <is>
          <t>1 288 509 060 FCFA</t>
        </is>
      </c>
      <c r="E1590" s="44" t="inlineStr">
        <is>
          <t>Oui</t>
        </is>
      </c>
    </row>
    <row r="1591">
      <c r="A1591" s="42" t="n">
        <v>139</v>
      </c>
      <c r="B1591" s="30" t="inlineStr">
        <is>
          <t>GAP éc Année 5</t>
        </is>
      </c>
      <c r="C1591" s="45" t="n">
        <v>-964180307.4702959</v>
      </c>
      <c r="D1591" s="30" t="inlineStr">
        <is>
          <t>-964 180 307 FCFA</t>
        </is>
      </c>
      <c r="E1591" s="46" t="inlineStr">
        <is>
          <t>Oui</t>
        </is>
      </c>
    </row>
    <row r="1592">
      <c r="A1592" s="42" t="n">
        <v>139</v>
      </c>
      <c r="B1592" s="28" t="inlineStr">
        <is>
          <t>GAP cum Année 5</t>
        </is>
      </c>
      <c r="C1592" s="43" t="n">
        <v>-12596052822.43228</v>
      </c>
      <c r="D1592" s="28" t="inlineStr">
        <is>
          <t>-12 596 052 822 FCFA</t>
        </is>
      </c>
      <c r="E1592" s="44" t="inlineStr">
        <is>
          <t>Oui</t>
        </is>
      </c>
    </row>
    <row r="1593">
      <c r="A1593" s="42" t="n">
        <v>139</v>
      </c>
      <c r="B1593" s="30" t="inlineStr">
        <is>
          <t>GAP act Au-delà de 5 ans</t>
        </is>
      </c>
      <c r="C1593" s="45" t="n">
        <v>17170238905</v>
      </c>
      <c r="D1593" s="30" t="inlineStr">
        <is>
          <t>17 170 238 905 FCFA</t>
        </is>
      </c>
      <c r="E1593" s="46" t="inlineStr">
        <is>
          <t>Oui</t>
        </is>
      </c>
    </row>
    <row r="1594">
      <c r="A1594" s="42" t="n">
        <v>139</v>
      </c>
      <c r="B1594" s="28" t="inlineStr">
        <is>
          <t>GAP det Au-delà de 5 ans</t>
        </is>
      </c>
      <c r="C1594" s="43" t="n">
        <v>0</v>
      </c>
      <c r="D1594" s="28" t="inlineStr">
        <is>
          <t>0 FCFA</t>
        </is>
      </c>
      <c r="E1594" s="44" t="inlineStr">
        <is>
          <t>Oui</t>
        </is>
      </c>
    </row>
    <row r="1595">
      <c r="A1595" s="42" t="n">
        <v>139</v>
      </c>
      <c r="B1595" s="30" t="inlineStr">
        <is>
          <t>GAP sor Au-delà de 5 ans</t>
        </is>
      </c>
      <c r="C1595" s="45" t="n">
        <v>5410018104.567719</v>
      </c>
      <c r="D1595" s="30" t="inlineStr">
        <is>
          <t>5 410 018 105 FCFA</t>
        </is>
      </c>
      <c r="E1595" s="46" t="inlineStr">
        <is>
          <t>Oui</t>
        </is>
      </c>
    </row>
    <row r="1596">
      <c r="A1596" s="42" t="n">
        <v>139</v>
      </c>
      <c r="B1596" s="28" t="inlineStr">
        <is>
          <t>GAP éc Au-delà de 5 ans</t>
        </is>
      </c>
      <c r="C1596" s="43" t="n">
        <v>11760220800.43228</v>
      </c>
      <c r="D1596" s="28" t="inlineStr">
        <is>
          <t>11 760 220 800 FCFA</t>
        </is>
      </c>
      <c r="E1596" s="44" t="inlineStr">
        <is>
          <t>Oui</t>
        </is>
      </c>
    </row>
    <row r="1597">
      <c r="A1597" s="42" t="n">
        <v>139</v>
      </c>
      <c r="B1597" s="30" t="inlineStr">
        <is>
          <t>GAP cum Au-delà de 5 ans</t>
        </is>
      </c>
      <c r="C1597" s="45" t="n">
        <v>-835832021.9999971</v>
      </c>
      <c r="D1597" s="30" t="inlineStr">
        <is>
          <t>-835 832 022 FCFA</t>
        </is>
      </c>
      <c r="E1597" s="46" t="inlineStr">
        <is>
          <t>Oui</t>
        </is>
      </c>
    </row>
    <row r="1598">
      <c r="A1598" s="42" t="n">
        <v>139</v>
      </c>
      <c r="B1598" s="28" t="inlineStr">
        <is>
          <t>GAP an1</t>
        </is>
      </c>
      <c r="C1598" s="43" t="n">
        <v>6588246233.488348</v>
      </c>
      <c r="D1598" s="28" t="inlineStr">
        <is>
          <t>6 588 246 233 FCFA</t>
        </is>
      </c>
      <c r="E1598" s="44" t="inlineStr">
        <is>
          <t>Oui</t>
        </is>
      </c>
    </row>
    <row r="1599">
      <c r="A1599" s="42" t="n">
        <v>139</v>
      </c>
      <c r="B1599" s="30" t="inlineStr">
        <is>
          <t>GAP 5+</t>
        </is>
      </c>
      <c r="C1599" s="45" t="n">
        <v>17170238905</v>
      </c>
      <c r="D1599" s="30" t="inlineStr">
        <is>
          <t>17 170 238 905 FCFA</t>
        </is>
      </c>
      <c r="E1599" s="46" t="inlineStr">
        <is>
          <t>Oui</t>
        </is>
      </c>
    </row>
    <row r="1600">
      <c r="A1600" s="42" t="n">
        <v>139</v>
      </c>
      <c r="B1600" s="28" t="inlineStr">
        <is>
          <t>GAP fin (a)</t>
        </is>
      </c>
      <c r="C1600" s="43" t="n">
        <v>835832021.9999971</v>
      </c>
      <c r="D1600" s="28" t="inlineStr">
        <is>
          <t>835 832 022 FCFA</t>
        </is>
      </c>
      <c r="E1600" s="44" t="inlineStr">
        <is>
          <t>Oui</t>
        </is>
      </c>
    </row>
    <row r="1601">
      <c r="A1601" s="42" t="n">
        <v>140</v>
      </c>
      <c r="B1601" s="30" t="inlineStr">
        <is>
          <t>ALM pic (sc)</t>
        </is>
      </c>
      <c r="C1601" s="45" t="n">
        <v>1.035337329862893</v>
      </c>
      <c r="D1601" s="30" t="inlineStr">
        <is>
          <t>103,53 %</t>
        </is>
      </c>
      <c r="E1601" s="46" t="inlineStr">
        <is>
          <t>Oui</t>
        </is>
      </c>
    </row>
    <row r="1602">
      <c r="A1602" s="42" t="n">
        <v>140</v>
      </c>
      <c r="B1602" s="28" t="inlineStr">
        <is>
          <t>SC act 31/12/2025 Central</t>
        </is>
      </c>
      <c r="C1602" s="43" t="n">
        <v>2715008827</v>
      </c>
      <c r="D1602" s="28" t="inlineStr">
        <is>
          <t>2 715 008 827 FCFA</t>
        </is>
      </c>
      <c r="E1602" s="44" t="inlineStr">
        <is>
          <t>Oui</t>
        </is>
      </c>
    </row>
    <row r="1603">
      <c r="A1603" s="42" t="n">
        <v>140</v>
      </c>
      <c r="B1603" s="30" t="inlineStr">
        <is>
          <t>SC bes 31/12/2025 Central</t>
        </is>
      </c>
      <c r="C1603" s="45" t="n">
        <v>9192611041.627502</v>
      </c>
      <c r="D1603" s="30" t="inlineStr">
        <is>
          <t>9 192 611 042 FCFA</t>
        </is>
      </c>
      <c r="E1603" s="46" t="inlineStr">
        <is>
          <t>Oui</t>
        </is>
      </c>
    </row>
    <row r="1604">
      <c r="A1604" s="42" t="n">
        <v>140</v>
      </c>
      <c r="B1604" s="28" t="inlineStr">
        <is>
          <t>SC éc 31/12/2025 Central</t>
        </is>
      </c>
      <c r="C1604" s="43" t="n">
        <v>-6477602214.627502</v>
      </c>
      <c r="D1604" s="28" t="inlineStr">
        <is>
          <t>-6 477 602 215 FCFA</t>
        </is>
      </c>
      <c r="E1604" s="44" t="inlineStr">
        <is>
          <t>Oui</t>
        </is>
      </c>
    </row>
    <row r="1605">
      <c r="A1605" s="42" t="n">
        <v>140</v>
      </c>
      <c r="B1605" s="30" t="inlineStr">
        <is>
          <t>SC couv 31/12/2025 Central</t>
        </is>
      </c>
      <c r="C1605" s="45" t="n">
        <v>0.2953468622468032</v>
      </c>
      <c r="D1605" s="30" t="inlineStr">
        <is>
          <t>29,53 %</t>
        </is>
      </c>
      <c r="E1605" s="46" t="inlineStr">
        <is>
          <t>Oui</t>
        </is>
      </c>
    </row>
    <row r="1606">
      <c r="A1606" s="42" t="n">
        <v>140</v>
      </c>
      <c r="B1606" s="28" t="inlineStr">
        <is>
          <t>SC act 31/12/2025 Résistance</t>
        </is>
      </c>
      <c r="C1606" s="43" t="n">
        <v>2715008827</v>
      </c>
      <c r="D1606" s="28" t="inlineStr">
        <is>
          <t>2 715 008 827 FCFA</t>
        </is>
      </c>
      <c r="E1606" s="44" t="inlineStr">
        <is>
          <t>Oui</t>
        </is>
      </c>
    </row>
    <row r="1607">
      <c r="A1607" s="42" t="n">
        <v>140</v>
      </c>
      <c r="B1607" s="30" t="inlineStr">
        <is>
          <t>SC bes 31/12/2025 Résistance</t>
        </is>
      </c>
      <c r="C1607" s="45" t="n">
        <v>10340963511.78068</v>
      </c>
      <c r="D1607" s="30" t="inlineStr">
        <is>
          <t>10 340 963 512 FCFA</t>
        </is>
      </c>
      <c r="E1607" s="46" t="inlineStr">
        <is>
          <t>Oui</t>
        </is>
      </c>
    </row>
    <row r="1608">
      <c r="A1608" s="42" t="n">
        <v>140</v>
      </c>
      <c r="B1608" s="28" t="inlineStr">
        <is>
          <t>SC éc 31/12/2025 Résistance</t>
        </is>
      </c>
      <c r="C1608" s="43" t="n">
        <v>-7625954684.780682</v>
      </c>
      <c r="D1608" s="28" t="inlineStr">
        <is>
          <t>-7 625 954 685 FCFA</t>
        </is>
      </c>
      <c r="E1608" s="44" t="inlineStr">
        <is>
          <t>Oui</t>
        </is>
      </c>
    </row>
    <row r="1609">
      <c r="A1609" s="42" t="n">
        <v>140</v>
      </c>
      <c r="B1609" s="30" t="inlineStr">
        <is>
          <t>SC couv 31/12/2025 Résistance</t>
        </is>
      </c>
      <c r="C1609" s="45" t="n">
        <v>0.2625489224390933</v>
      </c>
      <c r="D1609" s="30" t="inlineStr">
        <is>
          <t>26,25 %</t>
        </is>
      </c>
      <c r="E1609" s="46" t="inlineStr">
        <is>
          <t>Oui</t>
        </is>
      </c>
    </row>
    <row r="1610">
      <c r="A1610" s="42" t="n">
        <v>140</v>
      </c>
      <c r="B1610" s="28" t="inlineStr">
        <is>
          <t>SC act 31/12/2025 Résistance sévère</t>
        </is>
      </c>
      <c r="C1610" s="43" t="n">
        <v>2715008827</v>
      </c>
      <c r="D1610" s="28" t="inlineStr">
        <is>
          <t>2 715 008 827 FCFA</t>
        </is>
      </c>
      <c r="E1610" s="44" t="inlineStr">
        <is>
          <t>Oui</t>
        </is>
      </c>
    </row>
    <row r="1611">
      <c r="A1611" s="42" t="n">
        <v>140</v>
      </c>
      <c r="B1611" s="30" t="inlineStr">
        <is>
          <t>SC bes 31/12/2025 Résistance sévère</t>
        </is>
      </c>
      <c r="C1611" s="45" t="n">
        <v>12175203735.9291</v>
      </c>
      <c r="D1611" s="30" t="inlineStr">
        <is>
          <t>12 175 203 736 FCFA</t>
        </is>
      </c>
      <c r="E1611" s="46" t="inlineStr">
        <is>
          <t>Oui</t>
        </is>
      </c>
    </row>
    <row r="1612">
      <c r="A1612" s="42" t="n">
        <v>140</v>
      </c>
      <c r="B1612" s="28" t="inlineStr">
        <is>
          <t>SC éc 31/12/2025 Résistance sévère</t>
        </is>
      </c>
      <c r="C1612" s="43" t="n">
        <v>-9460194908.929104</v>
      </c>
      <c r="D1612" s="28" t="inlineStr">
        <is>
          <t>-9 460 194 909 FCFA</t>
        </is>
      </c>
      <c r="E1612" s="44" t="inlineStr">
        <is>
          <t>Oui</t>
        </is>
      </c>
    </row>
    <row r="1613">
      <c r="A1613" s="42" t="n">
        <v>140</v>
      </c>
      <c r="B1613" s="30" t="inlineStr">
        <is>
          <t>SC couv 31/12/2025 Résistance sévère</t>
        </is>
      </c>
      <c r="C1613" s="45" t="n">
        <v>0.2229949400343907</v>
      </c>
      <c r="D1613" s="30" t="inlineStr">
        <is>
          <t>22,30 %</t>
        </is>
      </c>
      <c r="E1613" s="46" t="inlineStr">
        <is>
          <t>Oui</t>
        </is>
      </c>
    </row>
    <row r="1614">
      <c r="A1614" s="42" t="n">
        <v>140</v>
      </c>
      <c r="B1614" s="28" t="inlineStr">
        <is>
          <t>SC act 31/08/2026 Central</t>
        </is>
      </c>
      <c r="C1614" s="43" t="n">
        <v>3457866951</v>
      </c>
      <c r="D1614" s="28" t="inlineStr">
        <is>
          <t>3 457 866 951 FCFA</t>
        </is>
      </c>
      <c r="E1614" s="44" t="inlineStr">
        <is>
          <t>Oui</t>
        </is>
      </c>
    </row>
    <row r="1615">
      <c r="A1615" s="42" t="n">
        <v>140</v>
      </c>
      <c r="B1615" s="30" t="inlineStr">
        <is>
          <t>SC bes 31/08/2026 Central</t>
        </is>
      </c>
      <c r="C1615" s="45" t="n">
        <v>10046113184.48835</v>
      </c>
      <c r="D1615" s="30" t="inlineStr">
        <is>
          <t>10 046 113 184 FCFA</t>
        </is>
      </c>
      <c r="E1615" s="46" t="inlineStr">
        <is>
          <t>Oui</t>
        </is>
      </c>
    </row>
    <row r="1616">
      <c r="A1616" s="42" t="n">
        <v>140</v>
      </c>
      <c r="B1616" s="28" t="inlineStr">
        <is>
          <t>SC éc 31/08/2026 Central</t>
        </is>
      </c>
      <c r="C1616" s="43" t="n">
        <v>-6588246233.488348</v>
      </c>
      <c r="D1616" s="28" t="inlineStr">
        <is>
          <t>-6 588 246 233 FCFA</t>
        </is>
      </c>
      <c r="E1616" s="44" t="inlineStr">
        <is>
          <t>Oui</t>
        </is>
      </c>
    </row>
    <row r="1617">
      <c r="A1617" s="42" t="n">
        <v>140</v>
      </c>
      <c r="B1617" s="30" t="inlineStr">
        <is>
          <t>SC couv 31/08/2026 Central</t>
        </is>
      </c>
      <c r="C1617" s="45" t="n">
        <v>0.3441994816800494</v>
      </c>
      <c r="D1617" s="30" t="inlineStr">
        <is>
          <t>34,42 %</t>
        </is>
      </c>
      <c r="E1617" s="46" t="inlineStr">
        <is>
          <t>Oui</t>
        </is>
      </c>
    </row>
    <row r="1618">
      <c r="A1618" s="42" t="n">
        <v>140</v>
      </c>
      <c r="B1618" s="28" t="inlineStr">
        <is>
          <t>SC act 31/08/2026 Résistance</t>
        </is>
      </c>
      <c r="C1618" s="43" t="n">
        <v>3457866951</v>
      </c>
      <c r="D1618" s="28" t="inlineStr">
        <is>
          <t>3 457 866 951 FCFA</t>
        </is>
      </c>
      <c r="E1618" s="44" t="inlineStr">
        <is>
          <t>Oui</t>
        </is>
      </c>
    </row>
    <row r="1619">
      <c r="A1619" s="42" t="n">
        <v>140</v>
      </c>
      <c r="B1619" s="30" t="inlineStr">
        <is>
          <t>SC bes 31/08/2026 Résistance</t>
        </is>
      </c>
      <c r="C1619" s="45" t="n">
        <v>11354859260.76095</v>
      </c>
      <c r="D1619" s="30" t="inlineStr">
        <is>
          <t>11 354 859 261 FCFA</t>
        </is>
      </c>
      <c r="E1619" s="46" t="inlineStr">
        <is>
          <t>Oui</t>
        </is>
      </c>
    </row>
    <row r="1620">
      <c r="A1620" s="42" t="n">
        <v>140</v>
      </c>
      <c r="B1620" s="28" t="inlineStr">
        <is>
          <t>SC éc 31/08/2026 Résistance</t>
        </is>
      </c>
      <c r="C1620" s="43" t="n">
        <v>-7896992309.760948</v>
      </c>
      <c r="D1620" s="28" t="inlineStr">
        <is>
          <t>-7 896 992 310 FCFA</t>
        </is>
      </c>
      <c r="E1620" s="44" t="inlineStr">
        <is>
          <t>Oui</t>
        </is>
      </c>
    </row>
    <row r="1621">
      <c r="A1621" s="42" t="n">
        <v>140</v>
      </c>
      <c r="B1621" s="30" t="inlineStr">
        <is>
          <t>SC couv 31/08/2026 Résistance</t>
        </is>
      </c>
      <c r="C1621" s="45" t="n">
        <v>0.3045275041804675</v>
      </c>
      <c r="D1621" s="30" t="inlineStr">
        <is>
          <t>30,45 %</t>
        </is>
      </c>
      <c r="E1621" s="46" t="inlineStr">
        <is>
          <t>Oui</t>
        </is>
      </c>
    </row>
    <row r="1622">
      <c r="A1622" s="42" t="n">
        <v>140</v>
      </c>
      <c r="B1622" s="28" t="inlineStr">
        <is>
          <t>SC act 31/08/2026 Résistance sévère</t>
        </is>
      </c>
      <c r="C1622" s="43" t="n">
        <v>3457866951</v>
      </c>
      <c r="D1622" s="28" t="inlineStr">
        <is>
          <t>3 457 866 951 FCFA</t>
        </is>
      </c>
      <c r="E1622" s="44" t="inlineStr">
        <is>
          <t>Oui</t>
        </is>
      </c>
    </row>
    <row r="1623">
      <c r="A1623" s="42" t="n">
        <v>140</v>
      </c>
      <c r="B1623" s="30" t="inlineStr">
        <is>
          <t>SC bes 31/08/2026 Résistance sévère</t>
        </is>
      </c>
      <c r="C1623" s="45" t="n">
        <v>13189099484.90937</v>
      </c>
      <c r="D1623" s="30" t="inlineStr">
        <is>
          <t>13 189 099 485 FCFA</t>
        </is>
      </c>
      <c r="E1623" s="46" t="inlineStr">
        <is>
          <t>Oui</t>
        </is>
      </c>
    </row>
    <row r="1624">
      <c r="A1624" s="42" t="n">
        <v>140</v>
      </c>
      <c r="B1624" s="28" t="inlineStr">
        <is>
          <t>SC éc 31/08/2026 Résistance sévère</t>
        </is>
      </c>
      <c r="C1624" s="43" t="n">
        <v>-9731232533.90937</v>
      </c>
      <c r="D1624" s="28" t="inlineStr">
        <is>
          <t>-9 731 232 534 FCFA</t>
        </is>
      </c>
      <c r="E1624" s="44" t="inlineStr">
        <is>
          <t>Oui</t>
        </is>
      </c>
    </row>
    <row r="1625">
      <c r="A1625" s="42" t="n">
        <v>140</v>
      </c>
      <c r="B1625" s="30" t="inlineStr">
        <is>
          <t>SC couv 31/08/2026 Résistance sévère</t>
        </is>
      </c>
      <c r="C1625" s="45" t="n">
        <v>0.2621761216492758</v>
      </c>
      <c r="D1625" s="30" t="inlineStr">
        <is>
          <t>26,22 %</t>
        </is>
      </c>
      <c r="E1625" s="46" t="inlineStr">
        <is>
          <t>Oui</t>
        </is>
      </c>
    </row>
    <row r="1626">
      <c r="A1626" s="42" t="n">
        <v>140</v>
      </c>
      <c r="B1626" s="28" t="inlineStr">
        <is>
          <t>SC c26</t>
        </is>
      </c>
      <c r="C1626" s="43" t="n">
        <v>0.3441994816800494</v>
      </c>
      <c r="D1626" s="28" t="inlineStr">
        <is>
          <t>34,42 %</t>
        </is>
      </c>
      <c r="E1626" s="44" t="inlineStr">
        <is>
          <t>Oui</t>
        </is>
      </c>
    </row>
    <row r="1627">
      <c r="A1627" s="42" t="n">
        <v>140</v>
      </c>
      <c r="B1627" s="30" t="inlineStr">
        <is>
          <t>SC min</t>
        </is>
      </c>
      <c r="C1627" s="45" t="n">
        <v>0.2229949400343907</v>
      </c>
      <c r="D1627" s="30" t="inlineStr">
        <is>
          <t>22,30 %</t>
        </is>
      </c>
      <c r="E1627" s="46" t="inlineStr">
        <is>
          <t>Oui</t>
        </is>
      </c>
    </row>
    <row r="1628">
      <c r="A1628" s="42" t="n">
        <v>140</v>
      </c>
      <c r="B1628" s="28" t="inlineStr">
        <is>
          <t>SC max</t>
        </is>
      </c>
      <c r="C1628" s="43" t="n">
        <v>0.3441994816800494</v>
      </c>
      <c r="D1628" s="28" t="inlineStr">
        <is>
          <t>34,42 %</t>
        </is>
      </c>
      <c r="E1628" s="44" t="inlineStr">
        <is>
          <t>Oui</t>
        </is>
      </c>
    </row>
    <row r="1629">
      <c r="A1629" s="42" t="n">
        <v>142</v>
      </c>
      <c r="B1629" s="30" t="inlineStr">
        <is>
          <t>CA c</t>
        </is>
      </c>
      <c r="C1629" s="45" t="n">
        <v>0.3441994816800494</v>
      </c>
      <c r="D1629" s="30" t="inlineStr">
        <is>
          <t>34,42 %</t>
        </is>
      </c>
      <c r="E1629" s="46" t="inlineStr">
        <is>
          <t>Oui</t>
        </is>
      </c>
    </row>
    <row r="1630">
      <c r="A1630" s="42" t="n">
        <v>142</v>
      </c>
      <c r="B1630" s="28" t="inlineStr">
        <is>
          <t>CA s</t>
        </is>
      </c>
      <c r="C1630" s="43" t="n">
        <v>0.2621761216492758</v>
      </c>
      <c r="D1630" s="28" t="inlineStr">
        <is>
          <t>26,22 %</t>
        </is>
      </c>
      <c r="E1630" s="44" t="inlineStr">
        <is>
          <t>Oui</t>
        </is>
      </c>
    </row>
    <row r="1631">
      <c r="A1631" s="42" t="n">
        <v>142</v>
      </c>
      <c r="B1631" s="30" t="inlineStr">
        <is>
          <t>CA c (t)</t>
        </is>
      </c>
      <c r="C1631" s="45" t="n">
        <v>0.3441994816800494</v>
      </c>
      <c r="D1631" s="30" t="inlineStr">
        <is>
          <t>34,42 %</t>
        </is>
      </c>
      <c r="E1631" s="46" t="inlineStr">
        <is>
          <t>Oui</t>
        </is>
      </c>
    </row>
    <row r="1632">
      <c r="A1632" s="42" t="n">
        <v>142</v>
      </c>
      <c r="B1632" s="28" t="inlineStr">
        <is>
          <t>CA gap</t>
        </is>
      </c>
      <c r="C1632" s="43" t="n">
        <v>12596052822.43228</v>
      </c>
      <c r="D1632" s="28" t="inlineStr">
        <is>
          <t>12 596 052 822 FCFA</t>
        </is>
      </c>
      <c r="E1632" s="44" t="inlineStr">
        <is>
          <t>Oui</t>
        </is>
      </c>
    </row>
    <row r="1633">
      <c r="A1633" s="42" t="n">
        <v>142</v>
      </c>
      <c r="B1633" s="30" t="inlineStr">
        <is>
          <t>CA s (t)</t>
        </is>
      </c>
      <c r="C1633" s="45" t="n">
        <v>0.2621761216492758</v>
      </c>
      <c r="D1633" s="30" t="inlineStr">
        <is>
          <t>26,22 %</t>
        </is>
      </c>
      <c r="E1633" s="46" t="inlineStr">
        <is>
          <t>Oui</t>
        </is>
      </c>
    </row>
    <row r="1634">
      <c r="A1634" s="42" t="n">
        <v>144</v>
      </c>
      <c r="B1634" s="28" t="inlineStr">
        <is>
          <t>FP hors résultat 2025</t>
        </is>
      </c>
      <c r="C1634" s="43" t="n">
        <v>-876142111</v>
      </c>
      <c r="D1634" s="28" t="inlineStr">
        <is>
          <t>-876 142 111 FCFA</t>
        </is>
      </c>
      <c r="E1634" s="44" t="inlineStr">
        <is>
          <t>Oui</t>
        </is>
      </c>
    </row>
    <row r="1635">
      <c r="A1635" s="42" t="n">
        <v>144</v>
      </c>
      <c r="B1635" s="30" t="inlineStr">
        <is>
          <t>Résultat 2025 (fp)</t>
        </is>
      </c>
      <c r="C1635" s="45" t="n">
        <v>437899911</v>
      </c>
      <c r="D1635" s="30" t="inlineStr">
        <is>
          <t>437 899 911 FCFA</t>
        </is>
      </c>
      <c r="E1635" s="46" t="inlineStr">
        <is>
          <t>Oui</t>
        </is>
      </c>
    </row>
    <row r="1636">
      <c r="A1636" s="42" t="n">
        <v>144</v>
      </c>
      <c r="B1636" s="28" t="inlineStr">
        <is>
          <t>FP 2025 (pas)</t>
        </is>
      </c>
      <c r="C1636" s="43" t="n">
        <v>-438242200</v>
      </c>
      <c r="D1636" s="28" t="inlineStr">
        <is>
          <t>-438 242 200 FCFA</t>
        </is>
      </c>
      <c r="E1636" s="44" t="inlineStr">
        <is>
          <t>Oui</t>
        </is>
      </c>
    </row>
    <row r="1637">
      <c r="A1637" s="42" t="n">
        <v>144</v>
      </c>
      <c r="B1637" s="30" t="inlineStr">
        <is>
          <t>Sous-total FP</t>
        </is>
      </c>
      <c r="C1637" s="45" t="n">
        <v>-876142111</v>
      </c>
      <c r="D1637" s="30" t="inlineStr">
        <is>
          <t>-876 142 111 FCFA</t>
        </is>
      </c>
      <c r="E1637" s="46" t="inlineStr">
        <is>
          <t>Oui</t>
        </is>
      </c>
    </row>
    <row r="1638">
      <c r="A1638" s="42" t="n">
        <v>144</v>
      </c>
      <c r="B1638" s="28" t="inlineStr">
        <is>
          <t>Résultat (pas FP)</t>
        </is>
      </c>
      <c r="C1638" s="43" t="n">
        <v>437899911</v>
      </c>
      <c r="D1638" s="28" t="inlineStr">
        <is>
          <t>437 899 911 FCFA</t>
        </is>
      </c>
      <c r="E1638" s="44" t="inlineStr">
        <is>
          <t>Oui</t>
        </is>
      </c>
    </row>
    <row r="1639">
      <c r="A1639" s="42" t="n">
        <v>144</v>
      </c>
      <c r="B1639" s="30" t="inlineStr">
        <is>
          <t>FP (pas total)</t>
        </is>
      </c>
      <c r="C1639" s="45" t="n">
        <v>-438242200</v>
      </c>
      <c r="D1639" s="30" t="inlineStr">
        <is>
          <t>-438 242 200 FCFA</t>
        </is>
      </c>
      <c r="E1639" s="46" t="inlineStr">
        <is>
          <t>Oui</t>
        </is>
      </c>
    </row>
    <row r="1640">
      <c r="A1640" s="42" t="n">
        <v>145</v>
      </c>
      <c r="B1640" s="28" t="inlineStr">
        <is>
          <t>FP 2020 (f)</t>
        </is>
      </c>
      <c r="C1640" s="43" t="n">
        <v>-6743081733</v>
      </c>
      <c r="D1640" s="28" t="inlineStr">
        <is>
          <t>-6 743 081 733 FCFA</t>
        </is>
      </c>
      <c r="E1640" s="44" t="inlineStr">
        <is>
          <t>Oui</t>
        </is>
      </c>
    </row>
    <row r="1641">
      <c r="A1641" s="42" t="n">
        <v>145</v>
      </c>
      <c r="B1641" s="30" t="inlineStr">
        <is>
          <t>FP 2025 (f)</t>
        </is>
      </c>
      <c r="C1641" s="45" t="n">
        <v>-438242200</v>
      </c>
      <c r="D1641" s="30" t="inlineStr">
        <is>
          <t>-438 242 200 FCFA</t>
        </is>
      </c>
      <c r="E1641" s="46" t="inlineStr">
        <is>
          <t>Oui</t>
        </is>
      </c>
    </row>
    <row r="1642">
      <c r="A1642" s="42" t="n">
        <v>145</v>
      </c>
      <c r="B1642" s="28" t="inlineStr">
        <is>
          <t>FP 2026 (f)</t>
        </is>
      </c>
      <c r="C1642" s="43" t="n">
        <v>-879498700</v>
      </c>
      <c r="D1642" s="28" t="inlineStr">
        <is>
          <t>-879 498 700 FCFA</t>
        </is>
      </c>
      <c r="E1642" s="44" t="inlineStr">
        <is>
          <t>Oui</t>
        </is>
      </c>
    </row>
    <row r="1643">
      <c r="A1643" s="42" t="n">
        <v>145</v>
      </c>
      <c r="B1643" s="30" t="inlineStr">
        <is>
          <t>FP 2020 (t)</t>
        </is>
      </c>
      <c r="C1643" s="45" t="n">
        <v>-6743081733</v>
      </c>
      <c r="D1643" s="30" t="inlineStr">
        <is>
          <t>-6 743 081 733 FCFA</t>
        </is>
      </c>
      <c r="E1643" s="46" t="inlineStr">
        <is>
          <t>Oui</t>
        </is>
      </c>
    </row>
    <row r="1644">
      <c r="A1644" s="42" t="n">
        <v>145</v>
      </c>
      <c r="B1644" s="28" t="inlineStr">
        <is>
          <t>FP 2025 (t)</t>
        </is>
      </c>
      <c r="C1644" s="43" t="n">
        <v>-438242200</v>
      </c>
      <c r="D1644" s="28" t="inlineStr">
        <is>
          <t>-438 242 200 FCFA</t>
        </is>
      </c>
      <c r="E1644" s="44" t="inlineStr">
        <is>
          <t>Oui</t>
        </is>
      </c>
    </row>
    <row r="1645">
      <c r="A1645" s="42" t="n">
        <v>145</v>
      </c>
      <c r="B1645" s="30" t="inlineStr">
        <is>
          <t>FEP 2025</t>
        </is>
      </c>
      <c r="C1645" s="45" t="n">
        <v>0.2153205579766456</v>
      </c>
      <c r="D1645" s="30" t="inlineStr">
        <is>
          <t>0,22</t>
        </is>
      </c>
      <c r="E1645" s="46" t="inlineStr">
        <is>
          <t>Oui</t>
        </is>
      </c>
    </row>
    <row r="1646">
      <c r="A1646" s="42" t="n">
        <v>146</v>
      </c>
      <c r="B1646" s="28" t="inlineStr">
        <is>
          <t>DAT BOA 2026</t>
        </is>
      </c>
      <c r="C1646" s="43" t="n">
        <v>485541804</v>
      </c>
      <c r="D1646" s="28" t="inlineStr">
        <is>
          <t>485 541 804 FCFA</t>
        </is>
      </c>
      <c r="E1646" s="44" t="inlineStr">
        <is>
          <t>Oui</t>
        </is>
      </c>
    </row>
    <row r="1647">
      <c r="A1647" s="42" t="n">
        <v>146</v>
      </c>
      <c r="B1647" s="30" t="inlineStr">
        <is>
          <t>FCP 2025</t>
        </is>
      </c>
      <c r="C1647" s="45" t="n">
        <v>500000000</v>
      </c>
      <c r="D1647" s="30" t="inlineStr">
        <is>
          <t>500 000 000 FCFA</t>
        </is>
      </c>
      <c r="E1647" s="46" t="inlineStr">
        <is>
          <t>Oui</t>
        </is>
      </c>
    </row>
    <row r="1648">
      <c r="A1648" s="42" t="n">
        <v>146</v>
      </c>
      <c r="B1648" s="28" t="inlineStr">
        <is>
          <t>DAT versé 2021</t>
        </is>
      </c>
      <c r="C1648" s="43" t="n">
        <v>2367038113</v>
      </c>
      <c r="D1648" s="28" t="inlineStr">
        <is>
          <t>2 367 038 113 FCFA</t>
        </is>
      </c>
      <c r="E1648" s="44" t="inlineStr">
        <is>
          <t>Oui</t>
        </is>
      </c>
    </row>
    <row r="1649">
      <c r="A1649" s="42" t="n">
        <v>146</v>
      </c>
      <c r="B1649" s="30" t="inlineStr">
        <is>
          <t>DAT débouclé 2021</t>
        </is>
      </c>
      <c r="C1649" s="45" t="n">
        <v>2367038113</v>
      </c>
      <c r="D1649" s="30" t="inlineStr">
        <is>
          <t>2 367 038 113 FCFA</t>
        </is>
      </c>
      <c r="E1649" s="46" t="inlineStr">
        <is>
          <t>Oui</t>
        </is>
      </c>
    </row>
    <row r="1650">
      <c r="A1650" s="42" t="n">
        <v>146</v>
      </c>
      <c r="B1650" s="28" t="inlineStr">
        <is>
          <t>DAT solde 2021</t>
        </is>
      </c>
      <c r="C1650" s="43" t="n">
        <v>0</v>
      </c>
      <c r="D1650" s="28" t="inlineStr">
        <is>
          <t>0 FCFA</t>
        </is>
      </c>
      <c r="E1650" s="44" t="inlineStr">
        <is>
          <t>Oui</t>
        </is>
      </c>
    </row>
    <row r="1651">
      <c r="A1651" s="42" t="n">
        <v>146</v>
      </c>
      <c r="B1651" s="30" t="inlineStr">
        <is>
          <t>DAT versé 2022</t>
        </is>
      </c>
      <c r="C1651" s="45" t="n">
        <v>2363639657</v>
      </c>
      <c r="D1651" s="30" t="inlineStr">
        <is>
          <t>2 363 639 657 FCFA</t>
        </is>
      </c>
      <c r="E1651" s="46" t="inlineStr">
        <is>
          <t>Oui</t>
        </is>
      </c>
    </row>
    <row r="1652">
      <c r="A1652" s="42" t="n">
        <v>146</v>
      </c>
      <c r="B1652" s="28" t="inlineStr">
        <is>
          <t>DAT débouclé 2022</t>
        </is>
      </c>
      <c r="C1652" s="43" t="n">
        <v>2363499130</v>
      </c>
      <c r="D1652" s="28" t="inlineStr">
        <is>
          <t>2 363 499 130 FCFA</t>
        </is>
      </c>
      <c r="E1652" s="44" t="inlineStr">
        <is>
          <t>Oui</t>
        </is>
      </c>
    </row>
    <row r="1653">
      <c r="A1653" s="42" t="n">
        <v>146</v>
      </c>
      <c r="B1653" s="30" t="inlineStr">
        <is>
          <t>DAT solde 2022</t>
        </is>
      </c>
      <c r="C1653" s="45" t="n">
        <v>140527</v>
      </c>
      <c r="D1653" s="30" t="inlineStr">
        <is>
          <t>140 527 FCFA</t>
        </is>
      </c>
      <c r="E1653" s="46" t="inlineStr">
        <is>
          <t>Oui</t>
        </is>
      </c>
    </row>
    <row r="1654">
      <c r="A1654" s="42" t="n">
        <v>146</v>
      </c>
      <c r="B1654" s="28" t="inlineStr">
        <is>
          <t>DAT versé 2023</t>
        </is>
      </c>
      <c r="C1654" s="43" t="n">
        <v>1965985975</v>
      </c>
      <c r="D1654" s="28" t="inlineStr">
        <is>
          <t>1 965 985 975 FCFA</t>
        </is>
      </c>
      <c r="E1654" s="44" t="inlineStr">
        <is>
          <t>Oui</t>
        </is>
      </c>
    </row>
    <row r="1655">
      <c r="A1655" s="42" t="n">
        <v>146</v>
      </c>
      <c r="B1655" s="30" t="inlineStr">
        <is>
          <t>DAT débouclé 2023</t>
        </is>
      </c>
      <c r="C1655" s="45" t="n">
        <v>1966126502</v>
      </c>
      <c r="D1655" s="30" t="inlineStr">
        <is>
          <t>1 966 126 502 FCFA</t>
        </is>
      </c>
      <c r="E1655" s="46" t="inlineStr">
        <is>
          <t>Oui</t>
        </is>
      </c>
    </row>
    <row r="1656">
      <c r="A1656" s="42" t="n">
        <v>146</v>
      </c>
      <c r="B1656" s="28" t="inlineStr">
        <is>
          <t>DAT solde 2023</t>
        </is>
      </c>
      <c r="C1656" s="43" t="n">
        <v>0</v>
      </c>
      <c r="D1656" s="28" t="inlineStr">
        <is>
          <t>0 FCFA</t>
        </is>
      </c>
      <c r="E1656" s="44" t="inlineStr">
        <is>
          <t>Oui</t>
        </is>
      </c>
    </row>
    <row r="1657">
      <c r="A1657" s="42" t="n">
        <v>146</v>
      </c>
      <c r="B1657" s="30" t="inlineStr">
        <is>
          <t>DAT versé 2024</t>
        </is>
      </c>
      <c r="C1657" s="45" t="n">
        <v>2669457975</v>
      </c>
      <c r="D1657" s="30" t="inlineStr">
        <is>
          <t>2 669 457 975 FCFA</t>
        </is>
      </c>
      <c r="E1657" s="46" t="inlineStr">
        <is>
          <t>Oui</t>
        </is>
      </c>
    </row>
    <row r="1658">
      <c r="A1658" s="42" t="n">
        <v>146</v>
      </c>
      <c r="B1658" s="28" t="inlineStr">
        <is>
          <t>DAT débouclé 2024</t>
        </is>
      </c>
      <c r="C1658" s="43" t="n">
        <v>2669457975</v>
      </c>
      <c r="D1658" s="28" t="inlineStr">
        <is>
          <t>2 669 457 975 FCFA</t>
        </is>
      </c>
      <c r="E1658" s="44" t="inlineStr">
        <is>
          <t>Oui</t>
        </is>
      </c>
    </row>
    <row r="1659">
      <c r="A1659" s="42" t="n">
        <v>146</v>
      </c>
      <c r="B1659" s="30" t="inlineStr">
        <is>
          <t>DAT solde 2024</t>
        </is>
      </c>
      <c r="C1659" s="45" t="n">
        <v>0</v>
      </c>
      <c r="D1659" s="30" t="inlineStr">
        <is>
          <t>0 FCFA</t>
        </is>
      </c>
      <c r="E1659" s="46" t="inlineStr">
        <is>
          <t>Oui</t>
        </is>
      </c>
    </row>
    <row r="1660">
      <c r="A1660" s="42" t="n">
        <v>146</v>
      </c>
      <c r="B1660" s="28" t="inlineStr">
        <is>
          <t>DAT versé 2025</t>
        </is>
      </c>
      <c r="C1660" s="43" t="n">
        <v>3335116874</v>
      </c>
      <c r="D1660" s="28" t="inlineStr">
        <is>
          <t>3 335 116 874 FCFA</t>
        </is>
      </c>
      <c r="E1660" s="44" t="inlineStr">
        <is>
          <t>Oui</t>
        </is>
      </c>
    </row>
    <row r="1661">
      <c r="A1661" s="42" t="n">
        <v>146</v>
      </c>
      <c r="B1661" s="30" t="inlineStr">
        <is>
          <t>DAT débouclé 2025</t>
        </is>
      </c>
      <c r="C1661" s="45" t="n">
        <v>3335116874</v>
      </c>
      <c r="D1661" s="30" t="inlineStr">
        <is>
          <t>3 335 116 874 FCFA</t>
        </is>
      </c>
      <c r="E1661" s="46" t="inlineStr">
        <is>
          <t>Oui</t>
        </is>
      </c>
    </row>
    <row r="1662">
      <c r="A1662" s="42" t="n">
        <v>146</v>
      </c>
      <c r="B1662" s="28" t="inlineStr">
        <is>
          <t>DAT solde 2025</t>
        </is>
      </c>
      <c r="C1662" s="43" t="n">
        <v>0</v>
      </c>
      <c r="D1662" s="28" t="inlineStr">
        <is>
          <t>0 FCFA</t>
        </is>
      </c>
      <c r="E1662" s="44" t="inlineStr">
        <is>
          <t>Oui</t>
        </is>
      </c>
    </row>
    <row r="1663">
      <c r="A1663" s="42" t="n">
        <v>146</v>
      </c>
      <c r="B1663" s="30" t="inlineStr">
        <is>
          <t>DAT versé 2026</t>
        </is>
      </c>
      <c r="C1663" s="45" t="n">
        <v>2176471267</v>
      </c>
      <c r="D1663" s="30" t="inlineStr">
        <is>
          <t>2 176 471 267 FCFA</t>
        </is>
      </c>
      <c r="E1663" s="46" t="inlineStr">
        <is>
          <t>Oui</t>
        </is>
      </c>
    </row>
    <row r="1664">
      <c r="A1664" s="42" t="n">
        <v>146</v>
      </c>
      <c r="B1664" s="28" t="inlineStr">
        <is>
          <t>DAT débouclé 2026</t>
        </is>
      </c>
      <c r="C1664" s="43" t="n">
        <v>1690929463</v>
      </c>
      <c r="D1664" s="28" t="inlineStr">
        <is>
          <t>1 690 929 463 FCFA</t>
        </is>
      </c>
      <c r="E1664" s="44" t="inlineStr">
        <is>
          <t>Oui</t>
        </is>
      </c>
    </row>
    <row r="1665">
      <c r="A1665" s="42" t="n">
        <v>146</v>
      </c>
      <c r="B1665" s="30" t="inlineStr">
        <is>
          <t>DAT solde 2026</t>
        </is>
      </c>
      <c r="C1665" s="45" t="n">
        <v>485541804</v>
      </c>
      <c r="D1665" s="30" t="inlineStr">
        <is>
          <t>485 541 804 FCFA</t>
        </is>
      </c>
      <c r="E1665" s="46" t="inlineStr">
        <is>
          <t>Oui</t>
        </is>
      </c>
    </row>
    <row r="1666">
      <c r="A1666" s="42" t="n">
        <v>146</v>
      </c>
      <c r="B1666" s="28" t="inlineStr">
        <is>
          <t>DAT min</t>
        </is>
      </c>
      <c r="C1666" s="43" t="n">
        <v>1965985975</v>
      </c>
      <c r="D1666" s="28" t="inlineStr">
        <is>
          <t>1 965 985 975 FCFA</t>
        </is>
      </c>
      <c r="E1666" s="44" t="inlineStr">
        <is>
          <t>Oui</t>
        </is>
      </c>
    </row>
    <row r="1667">
      <c r="A1667" s="42" t="n">
        <v>146</v>
      </c>
      <c r="B1667" s="30" t="inlineStr">
        <is>
          <t>DAT max</t>
        </is>
      </c>
      <c r="C1667" s="45" t="n">
        <v>3335116874</v>
      </c>
      <c r="D1667" s="30" t="inlineStr">
        <is>
          <t>3 335 116 874 FCFA</t>
        </is>
      </c>
      <c r="E1667" s="46" t="inlineStr">
        <is>
          <t>Oui</t>
        </is>
      </c>
    </row>
    <row r="1668">
      <c r="A1668" s="42" t="n">
        <v>148</v>
      </c>
      <c r="B1668" s="28" t="inlineStr">
        <is>
          <t>CC immo</t>
        </is>
      </c>
      <c r="C1668" s="43" t="n">
        <v>15736951165</v>
      </c>
      <c r="D1668" s="28" t="inlineStr">
        <is>
          <t>15 736 951 165 FCFA</t>
        </is>
      </c>
      <c r="E1668" s="44" t="inlineStr">
        <is>
          <t>Oui</t>
        </is>
      </c>
    </row>
    <row r="1669">
      <c r="A1669" s="42" t="n">
        <v>148</v>
      </c>
      <c r="B1669" s="30" t="inlineStr">
        <is>
          <t>CC cmp</t>
        </is>
      </c>
      <c r="C1669" s="45" t="n">
        <v>7083534565</v>
      </c>
      <c r="D1669" s="30" t="inlineStr">
        <is>
          <t>7 083 534 565 FCFA</t>
        </is>
      </c>
      <c r="E1669" s="46" t="inlineStr">
        <is>
          <t>Oui</t>
        </is>
      </c>
    </row>
    <row r="1670">
      <c r="A1670" s="42" t="n">
        <v>148</v>
      </c>
      <c r="B1670" s="28" t="inlineStr">
        <is>
          <t>CC terrains</t>
        </is>
      </c>
      <c r="C1670" s="43" t="n">
        <v>5245896750</v>
      </c>
      <c r="D1670" s="28" t="inlineStr">
        <is>
          <t>5 245 896 750 FCFA</t>
        </is>
      </c>
      <c r="E1670" s="44" t="inlineStr">
        <is>
          <t>Oui</t>
        </is>
      </c>
    </row>
    <row r="1671">
      <c r="A1671" s="42" t="n">
        <v>149</v>
      </c>
      <c r="B1671" s="30" t="inlineStr">
        <is>
          <t>Rendement moyen</t>
        </is>
      </c>
      <c r="C1671" s="45" t="n">
        <v>0.06478885197869323</v>
      </c>
      <c r="D1671" s="30" t="inlineStr">
        <is>
          <t>6,48 %</t>
        </is>
      </c>
      <c r="E1671" s="46" t="inlineStr">
        <is>
          <t>Oui</t>
        </is>
      </c>
    </row>
    <row r="1672">
      <c r="A1672" s="42" t="n">
        <v>149</v>
      </c>
      <c r="B1672" s="28" t="inlineStr">
        <is>
          <t>Produits fin</t>
        </is>
      </c>
      <c r="C1672" s="43" t="n">
        <v>173881316</v>
      </c>
      <c r="D1672" s="28" t="inlineStr">
        <is>
          <t>173 881 316 FCFA</t>
        </is>
      </c>
      <c r="E1672" s="44" t="inlineStr">
        <is>
          <t>Oui</t>
        </is>
      </c>
    </row>
    <row r="1673">
      <c r="A1673" s="42" t="n">
        <v>149</v>
      </c>
      <c r="B1673" s="30" t="inlineStr">
        <is>
          <t>Placements moyens</t>
        </is>
      </c>
      <c r="C1673" s="45" t="n">
        <v>536763071.7</v>
      </c>
      <c r="D1673" s="30" t="inlineStr">
        <is>
          <t>536 763 072 FCFA</t>
        </is>
      </c>
      <c r="E1673" s="46" t="inlineStr">
        <is>
          <t>Oui</t>
        </is>
      </c>
    </row>
    <row r="1674">
      <c r="A1674" s="42" t="n">
        <v>149</v>
      </c>
      <c r="B1674" s="28" t="inlineStr">
        <is>
          <t>Épargne (rend)</t>
        </is>
      </c>
      <c r="C1674" s="43" t="n">
        <v>15743516391</v>
      </c>
      <c r="D1674" s="28" t="inlineStr">
        <is>
          <t>15 743 516 391 FCFA</t>
        </is>
      </c>
      <c r="E1674" s="44" t="inlineStr">
        <is>
          <t>Oui</t>
        </is>
      </c>
    </row>
    <row r="1675">
      <c r="A1675" s="42" t="n">
        <v>149</v>
      </c>
      <c r="B1675" s="30" t="inlineStr">
        <is>
          <t>Comptes courants 2026</t>
        </is>
      </c>
      <c r="C1675" s="45" t="n">
        <v>2356399123</v>
      </c>
      <c r="D1675" s="30" t="inlineStr">
        <is>
          <t>2 356 399 123 FCFA</t>
        </is>
      </c>
      <c r="E1675" s="46" t="inlineStr">
        <is>
          <t>Oui</t>
        </is>
      </c>
    </row>
    <row r="1676">
      <c r="A1676" s="42" t="n">
        <v>150</v>
      </c>
      <c r="B1676" s="28" t="inlineStr">
        <is>
          <t>CPL liq</t>
        </is>
      </c>
      <c r="C1676" s="43" t="n">
        <v>0.3441994816800494</v>
      </c>
      <c r="D1676" s="28" t="inlineStr">
        <is>
          <t>34,42 %</t>
        </is>
      </c>
      <c r="E1676" s="44" t="inlineStr">
        <is>
          <t>Oui</t>
        </is>
      </c>
    </row>
    <row r="1677">
      <c r="A1677" s="42" t="n">
        <v>150</v>
      </c>
      <c r="B1677" s="30" t="inlineStr">
        <is>
          <t>CPL pf</t>
        </is>
      </c>
      <c r="C1677" s="45" t="n">
        <v>173881316</v>
      </c>
      <c r="D1677" s="30" t="inlineStr">
        <is>
          <t>173 881 316 FCFA</t>
        </is>
      </c>
      <c r="E1677" s="46" t="inlineStr">
        <is>
          <t>Oui</t>
        </is>
      </c>
    </row>
    <row r="1678">
      <c r="A1678" s="42" t="n">
        <v>150</v>
      </c>
      <c r="B1678" s="28" t="inlineStr">
        <is>
          <t>CPL int</t>
        </is>
      </c>
      <c r="C1678" s="43" t="n">
        <v>2349114242.755</v>
      </c>
      <c r="D1678" s="28" t="inlineStr">
        <is>
          <t>2 349 114 243 FCFA</t>
        </is>
      </c>
      <c r="E1678" s="44" t="inlineStr">
        <is>
          <t>Oui</t>
        </is>
      </c>
    </row>
    <row r="1679">
      <c r="A1679" s="42" t="n">
        <v>154</v>
      </c>
      <c r="B1679" s="30" t="inlineStr">
        <is>
          <t>Épargne risques longs</t>
        </is>
      </c>
      <c r="C1679" s="45" t="n">
        <v>15743516391</v>
      </c>
      <c r="D1679" s="30" t="inlineStr">
        <is>
          <t>15 743 516 391 FCFA</t>
        </is>
      </c>
      <c r="E1679" s="46" t="inlineStr">
        <is>
          <t>Oui</t>
        </is>
      </c>
    </row>
    <row r="1680">
      <c r="A1680" s="42" t="n">
        <v>159</v>
      </c>
      <c r="B1680" s="28" t="inlineStr">
        <is>
          <t>SIN 2022</t>
        </is>
      </c>
      <c r="C1680" s="43" t="n">
        <v>0.09057696166716429</v>
      </c>
      <c r="D1680" s="28" t="inlineStr">
        <is>
          <t>9,06 %</t>
        </is>
      </c>
      <c r="E1680" s="44" t="inlineStr">
        <is>
          <t>Oui</t>
        </is>
      </c>
    </row>
    <row r="1681">
      <c r="A1681" s="42" t="n">
        <v>159</v>
      </c>
      <c r="B1681" s="30" t="inlineStr">
        <is>
          <t>SIN 2023</t>
        </is>
      </c>
      <c r="C1681" s="45" t="n">
        <v>0.2456277537433684</v>
      </c>
      <c r="D1681" s="30" t="inlineStr">
        <is>
          <t>24,56 %</t>
        </is>
      </c>
      <c r="E1681" s="46" t="inlineStr">
        <is>
          <t>Oui</t>
        </is>
      </c>
    </row>
    <row r="1682">
      <c r="A1682" s="42" t="n">
        <v>159</v>
      </c>
      <c r="B1682" s="28" t="inlineStr">
        <is>
          <t>SIN 2024</t>
        </is>
      </c>
      <c r="C1682" s="43" t="n">
        <v>0.4034261051264778</v>
      </c>
      <c r="D1682" s="28" t="inlineStr">
        <is>
          <t>40,34 %</t>
        </is>
      </c>
      <c r="E1682" s="44" t="inlineStr">
        <is>
          <t>Oui</t>
        </is>
      </c>
    </row>
    <row r="1683">
      <c r="A1683" s="42" t="n">
        <v>159</v>
      </c>
      <c r="B1683" s="30" t="inlineStr">
        <is>
          <t>SIN 2025</t>
        </is>
      </c>
      <c r="C1683" s="45" t="n">
        <v>0.574807069687674</v>
      </c>
      <c r="D1683" s="30" t="inlineStr">
        <is>
          <t>57,48 %</t>
        </is>
      </c>
      <c r="E1683" s="46" t="inlineStr">
        <is>
          <t>Oui</t>
        </is>
      </c>
    </row>
    <row r="1684">
      <c r="A1684" s="42" t="n">
        <v>159</v>
      </c>
      <c r="B1684" s="28" t="inlineStr">
        <is>
          <t>SIN 2026</t>
        </is>
      </c>
      <c r="C1684" s="43" t="n">
        <v>0.7519679703716217</v>
      </c>
      <c r="D1684" s="28" t="inlineStr">
        <is>
          <t>75,20 %</t>
        </is>
      </c>
      <c r="E1684" s="44" t="inlineStr">
        <is>
          <t>Oui</t>
        </is>
      </c>
    </row>
    <row r="1685">
      <c r="A1685" s="42" t="n">
        <v>159</v>
      </c>
      <c r="B1685" s="30" t="inlineStr">
        <is>
          <t>MSE 2022</t>
        </is>
      </c>
      <c r="C1685" s="45" t="n">
        <v>6.647305067569919</v>
      </c>
      <c r="D1685" s="30" t="inlineStr">
        <is>
          <t>6,65</t>
        </is>
      </c>
      <c r="E1685" s="46" t="inlineStr">
        <is>
          <t>Oui</t>
        </is>
      </c>
    </row>
    <row r="1686">
      <c r="A1686" s="42" t="n">
        <v>159</v>
      </c>
      <c r="B1686" s="28" t="inlineStr">
        <is>
          <t>MSE 2023</t>
        </is>
      </c>
      <c r="C1686" s="43" t="n">
        <v>6.704873738926956</v>
      </c>
      <c r="D1686" s="28" t="inlineStr">
        <is>
          <t>6,70</t>
        </is>
      </c>
      <c r="E1686" s="44" t="inlineStr">
        <is>
          <t>Oui</t>
        </is>
      </c>
    </row>
    <row r="1687">
      <c r="A1687" s="42" t="n">
        <v>159</v>
      </c>
      <c r="B1687" s="30" t="inlineStr">
        <is>
          <t>MSE 2024</t>
        </is>
      </c>
      <c r="C1687" s="45" t="n">
        <v>7.220708829452581</v>
      </c>
      <c r="D1687" s="30" t="inlineStr">
        <is>
          <t>7,22</t>
        </is>
      </c>
      <c r="E1687" s="46" t="inlineStr">
        <is>
          <t>Oui</t>
        </is>
      </c>
    </row>
    <row r="1688">
      <c r="A1688" s="42" t="n">
        <v>159</v>
      </c>
      <c r="B1688" s="28" t="inlineStr">
        <is>
          <t>MSE 2025</t>
        </is>
      </c>
      <c r="C1688" s="43" t="n">
        <v>7.765392737736256</v>
      </c>
      <c r="D1688" s="28" t="inlineStr">
        <is>
          <t>7,77</t>
        </is>
      </c>
      <c r="E1688" s="44" t="inlineStr">
        <is>
          <t>Oui</t>
        </is>
      </c>
    </row>
    <row r="1689">
      <c r="A1689" s="42" t="n">
        <v>159</v>
      </c>
      <c r="B1689" s="30" t="inlineStr">
        <is>
          <t>MSE 2026</t>
        </is>
      </c>
      <c r="C1689" s="45" t="n">
        <v>7.146251083188217</v>
      </c>
      <c r="D1689" s="30" t="inlineStr">
        <is>
          <t>7,15</t>
        </is>
      </c>
      <c r="E1689" s="46" t="inlineStr">
        <is>
          <t>Oui</t>
        </is>
      </c>
    </row>
    <row r="1690">
      <c r="A1690" s="42" t="n">
        <v>159</v>
      </c>
      <c r="B1690" s="28" t="inlineStr">
        <is>
          <t>ROB 2022</t>
        </is>
      </c>
      <c r="C1690" s="43" t="n">
        <v>-0</v>
      </c>
      <c r="D1690" s="28" t="inlineStr">
        <is>
          <t>-0,00</t>
        </is>
      </c>
      <c r="E1690" s="44" t="inlineStr">
        <is>
          <t>Oui</t>
        </is>
      </c>
    </row>
    <row r="1691">
      <c r="A1691" s="42" t="n">
        <v>159</v>
      </c>
      <c r="B1691" s="30" t="inlineStr">
        <is>
          <t>ROB 2023</t>
        </is>
      </c>
      <c r="C1691" s="45" t="n">
        <v>3.245000870920969</v>
      </c>
      <c r="D1691" s="30" t="inlineStr">
        <is>
          <t>3,25</t>
        </is>
      </c>
      <c r="E1691" s="46" t="inlineStr">
        <is>
          <t>Oui</t>
        </is>
      </c>
    </row>
    <row r="1692">
      <c r="A1692" s="42" t="n">
        <v>159</v>
      </c>
      <c r="B1692" s="28" t="inlineStr">
        <is>
          <t>ROB 2024</t>
        </is>
      </c>
      <c r="C1692" s="43" t="n">
        <v>4.910048646299662</v>
      </c>
      <c r="D1692" s="28" t="inlineStr">
        <is>
          <t>4,91</t>
        </is>
      </c>
      <c r="E1692" s="44" t="inlineStr">
        <is>
          <t>Oui</t>
        </is>
      </c>
    </row>
    <row r="1693">
      <c r="A1693" s="42" t="n">
        <v>159</v>
      </c>
      <c r="B1693" s="30" t="inlineStr">
        <is>
          <t>ROB 2025</t>
        </is>
      </c>
      <c r="C1693" s="45" t="n">
        <v>5.00963658518129</v>
      </c>
      <c r="D1693" s="30" t="inlineStr">
        <is>
          <t>5,01</t>
        </is>
      </c>
      <c r="E1693" s="46" t="inlineStr">
        <is>
          <t>Oui</t>
        </is>
      </c>
    </row>
    <row r="1694">
      <c r="A1694" s="42" t="n">
        <v>159</v>
      </c>
      <c r="B1694" s="28" t="inlineStr">
        <is>
          <t>ROB 2026</t>
        </is>
      </c>
      <c r="C1694" s="43" t="n">
        <v>3.647798013610966</v>
      </c>
      <c r="D1694" s="28" t="inlineStr">
        <is>
          <t>3,65</t>
        </is>
      </c>
      <c r="E1694" s="44" t="inlineStr">
        <is>
          <t>Oui</t>
        </is>
      </c>
    </row>
    <row r="1695">
      <c r="A1695" s="42" t="n">
        <v>159</v>
      </c>
      <c r="B1695" s="30" t="inlineStr">
        <is>
          <t>FEP 2022</t>
        </is>
      </c>
      <c r="C1695" s="45" t="n">
        <v>0.1335617058972045</v>
      </c>
      <c r="D1695" s="30" t="inlineStr">
        <is>
          <t>0,13</t>
        </is>
      </c>
      <c r="E1695" s="46" t="inlineStr">
        <is>
          <t>Oui</t>
        </is>
      </c>
    </row>
    <row r="1696">
      <c r="A1696" s="42" t="n">
        <v>159</v>
      </c>
      <c r="B1696" s="28" t="inlineStr">
        <is>
          <t>FEP 2023</t>
        </is>
      </c>
      <c r="C1696" s="43" t="n">
        <v>0.1938791275198898</v>
      </c>
      <c r="D1696" s="28" t="inlineStr">
        <is>
          <t>0,19</t>
        </is>
      </c>
      <c r="E1696" s="44" t="inlineStr">
        <is>
          <t>Oui</t>
        </is>
      </c>
    </row>
    <row r="1697">
      <c r="A1697" s="42" t="n">
        <v>159</v>
      </c>
      <c r="B1697" s="30" t="inlineStr">
        <is>
          <t>FEP 2024</t>
        </is>
      </c>
      <c r="C1697" s="45" t="n">
        <v>0.212216490457113</v>
      </c>
      <c r="D1697" s="30" t="inlineStr">
        <is>
          <t>0,21</t>
        </is>
      </c>
      <c r="E1697" s="46" t="inlineStr">
        <is>
          <t>Oui</t>
        </is>
      </c>
    </row>
    <row r="1698">
      <c r="A1698" s="42" t="n">
        <v>159</v>
      </c>
      <c r="B1698" s="28" t="inlineStr">
        <is>
          <t>FEP 2025</t>
        </is>
      </c>
      <c r="C1698" s="43" t="n">
        <v>0.2153205579766456</v>
      </c>
      <c r="D1698" s="28" t="inlineStr">
        <is>
          <t>0,22</t>
        </is>
      </c>
      <c r="E1698" s="44" t="inlineStr">
        <is>
          <t>Oui</t>
        </is>
      </c>
    </row>
    <row r="1699">
      <c r="A1699" s="42" t="n">
        <v>159</v>
      </c>
      <c r="B1699" s="30" t="inlineStr">
        <is>
          <t>FEP 2026</t>
        </is>
      </c>
      <c r="C1699" s="45" t="n">
        <v>0.1731994528009115</v>
      </c>
      <c r="D1699" s="30" t="inlineStr">
        <is>
          <t>0,17</t>
        </is>
      </c>
      <c r="E1699" s="46" t="inlineStr">
        <is>
          <t>Oui</t>
        </is>
      </c>
    </row>
    <row r="1700">
      <c r="A1700" s="42" t="n">
        <v>159</v>
      </c>
      <c r="B1700" s="28" t="inlineStr">
        <is>
          <t>LIQ 2022</t>
        </is>
      </c>
      <c r="C1700" s="43" t="n">
        <v>0.104440554951509</v>
      </c>
      <c r="D1700" s="28" t="inlineStr">
        <is>
          <t>0,10</t>
        </is>
      </c>
      <c r="E1700" s="44" t="inlineStr">
        <is>
          <t>Oui</t>
        </is>
      </c>
    </row>
    <row r="1701">
      <c r="A1701" s="42" t="n">
        <v>159</v>
      </c>
      <c r="B1701" s="30" t="inlineStr">
        <is>
          <t>LIQ 2023</t>
        </is>
      </c>
      <c r="C1701" s="45" t="n">
        <v>0.1086583639281966</v>
      </c>
      <c r="D1701" s="30" t="inlineStr">
        <is>
          <t>0,11</t>
        </is>
      </c>
      <c r="E1701" s="46" t="inlineStr">
        <is>
          <t>Oui</t>
        </is>
      </c>
    </row>
    <row r="1702">
      <c r="A1702" s="42" t="n">
        <v>159</v>
      </c>
      <c r="B1702" s="28" t="inlineStr">
        <is>
          <t>LIQ 2024</t>
        </is>
      </c>
      <c r="C1702" s="43" t="n">
        <v>0.07119313549763213</v>
      </c>
      <c r="D1702" s="28" t="inlineStr">
        <is>
          <t>0,07</t>
        </is>
      </c>
      <c r="E1702" s="44" t="inlineStr">
        <is>
          <t>Oui</t>
        </is>
      </c>
    </row>
    <row r="1703">
      <c r="A1703" s="42" t="n">
        <v>159</v>
      </c>
      <c r="B1703" s="30" t="inlineStr">
        <is>
          <t>LIQ 2025</t>
        </is>
      </c>
      <c r="C1703" s="45" t="n">
        <v>0.1265562520616417</v>
      </c>
      <c r="D1703" s="30" t="inlineStr">
        <is>
          <t>0,13</t>
        </is>
      </c>
      <c r="E1703" s="46" t="inlineStr">
        <is>
          <t>Oui</t>
        </is>
      </c>
    </row>
    <row r="1704">
      <c r="A1704" s="42" t="n">
        <v>159</v>
      </c>
      <c r="B1704" s="28" t="inlineStr">
        <is>
          <t>LIQ 2026</t>
        </is>
      </c>
      <c r="C1704" s="43" t="n">
        <v>0.1873248451328696</v>
      </c>
      <c r="D1704" s="28" t="inlineStr">
        <is>
          <t>0,19</t>
        </is>
      </c>
      <c r="E1704" s="44" t="inlineStr">
        <is>
          <t>Oui</t>
        </is>
      </c>
    </row>
    <row r="1705">
      <c r="A1705" s="42" t="n">
        <v>159</v>
      </c>
      <c r="B1705" s="30" t="inlineStr">
        <is>
          <t>EQS 2022</t>
        </is>
      </c>
      <c r="C1705" s="45" t="n">
        <v>2.130299994358726</v>
      </c>
      <c r="D1705" s="30" t="inlineStr">
        <is>
          <t>2,13</t>
        </is>
      </c>
      <c r="E1705" s="46" t="inlineStr">
        <is>
          <t>Oui</t>
        </is>
      </c>
    </row>
    <row r="1706">
      <c r="A1706" s="42" t="n">
        <v>159</v>
      </c>
      <c r="B1706" s="28" t="inlineStr">
        <is>
          <t>EQS 2023</t>
        </is>
      </c>
      <c r="C1706" s="43" t="n">
        <v>1.611207931275919</v>
      </c>
      <c r="D1706" s="28" t="inlineStr">
        <is>
          <t>1,61</t>
        </is>
      </c>
      <c r="E1706" s="44" t="inlineStr">
        <is>
          <t>Oui</t>
        </is>
      </c>
    </row>
    <row r="1707">
      <c r="A1707" s="42" t="n">
        <v>159</v>
      </c>
      <c r="B1707" s="30" t="inlineStr">
        <is>
          <t>EQS 2024</t>
        </is>
      </c>
      <c r="C1707" s="45" t="n">
        <v>1.702337827601856</v>
      </c>
      <c r="D1707" s="30" t="inlineStr">
        <is>
          <t>1,70</t>
        </is>
      </c>
      <c r="E1707" s="46" t="inlineStr">
        <is>
          <t>Oui</t>
        </is>
      </c>
    </row>
    <row r="1708">
      <c r="A1708" s="42" t="n">
        <v>159</v>
      </c>
      <c r="B1708" s="28" t="inlineStr">
        <is>
          <t>EQS 2025</t>
        </is>
      </c>
      <c r="C1708" s="43" t="n">
        <v>1.536687732810269</v>
      </c>
      <c r="D1708" s="28" t="inlineStr">
        <is>
          <t>1,54</t>
        </is>
      </c>
      <c r="E1708" s="44" t="inlineStr">
        <is>
          <t>Oui</t>
        </is>
      </c>
    </row>
    <row r="1709">
      <c r="A1709" s="42" t="n">
        <v>159</v>
      </c>
      <c r="B1709" s="30" t="inlineStr">
        <is>
          <t>EQS 2026</t>
        </is>
      </c>
      <c r="C1709" s="45" t="n">
        <v>1.718698438746898</v>
      </c>
      <c r="D1709" s="30" t="inlineStr">
        <is>
          <t>1,72</t>
        </is>
      </c>
      <c r="E1709" s="46" t="inlineStr">
        <is>
          <t>Oui</t>
        </is>
      </c>
    </row>
    <row r="1710">
      <c r="A1710" s="42" t="n">
        <v>159</v>
      </c>
      <c r="B1710" s="28" t="inlineStr">
        <is>
          <t>AUT 2022</t>
        </is>
      </c>
      <c r="C1710" s="43" t="n">
        <v>1.738590174295683</v>
      </c>
      <c r="D1710" s="28" t="inlineStr">
        <is>
          <t>1,74</t>
        </is>
      </c>
      <c r="E1710" s="44" t="inlineStr">
        <is>
          <t>Oui</t>
        </is>
      </c>
    </row>
    <row r="1711">
      <c r="A1711" s="42" t="n">
        <v>159</v>
      </c>
      <c r="B1711" s="30" t="inlineStr">
        <is>
          <t>AUT 2023</t>
        </is>
      </c>
      <c r="C1711" s="45" t="n">
        <v>1.39542726519851</v>
      </c>
      <c r="D1711" s="30" t="inlineStr">
        <is>
          <t>1,40</t>
        </is>
      </c>
      <c r="E1711" s="46" t="inlineStr">
        <is>
          <t>Oui</t>
        </is>
      </c>
    </row>
    <row r="1712">
      <c r="A1712" s="42" t="n">
        <v>159</v>
      </c>
      <c r="B1712" s="28" t="inlineStr">
        <is>
          <t>AUT 2024</t>
        </is>
      </c>
      <c r="C1712" s="43" t="n">
        <v>1.290072774049286</v>
      </c>
      <c r="D1712" s="28" t="inlineStr">
        <is>
          <t>1,29</t>
        </is>
      </c>
      <c r="E1712" s="44" t="inlineStr">
        <is>
          <t>Oui</t>
        </is>
      </c>
    </row>
    <row r="1713">
      <c r="A1713" s="42" t="n">
        <v>159</v>
      </c>
      <c r="B1713" s="30" t="inlineStr">
        <is>
          <t>AUT 2025</t>
        </is>
      </c>
      <c r="C1713" s="45" t="n">
        <v>1.051596193890561</v>
      </c>
      <c r="D1713" s="30" t="inlineStr">
        <is>
          <t>1,05</t>
        </is>
      </c>
      <c r="E1713" s="46" t="inlineStr">
        <is>
          <t>Oui</t>
        </is>
      </c>
    </row>
    <row r="1714">
      <c r="A1714" s="42" t="n">
        <v>159</v>
      </c>
      <c r="B1714" s="28" t="inlineStr">
        <is>
          <t>AUT 2026</t>
        </is>
      </c>
      <c r="C1714" s="43" t="n">
        <v>0.8380981034963108</v>
      </c>
      <c r="D1714" s="28" t="inlineStr">
        <is>
          <t>0,84</t>
        </is>
      </c>
      <c r="E1714" s="44" t="inlineStr">
        <is>
          <t>Oui</t>
        </is>
      </c>
    </row>
    <row r="1715">
      <c r="A1715" s="42" t="n">
        <v>159</v>
      </c>
      <c r="B1715" s="30" t="inlineStr">
        <is>
          <t>EXN 2022</t>
        </is>
      </c>
      <c r="C1715" s="45" t="n">
        <v>0.8063797680247953</v>
      </c>
      <c r="D1715" s="30" t="inlineStr">
        <is>
          <t>80,64 %</t>
        </is>
      </c>
      <c r="E1715" s="46" t="inlineStr">
        <is>
          <t>Oui</t>
        </is>
      </c>
    </row>
    <row r="1716">
      <c r="A1716" s="42" t="n">
        <v>159</v>
      </c>
      <c r="B1716" s="28" t="inlineStr">
        <is>
          <t>EXN 2023</t>
        </is>
      </c>
      <c r="C1716" s="43" t="n">
        <v>0.3355452883622809</v>
      </c>
      <c r="D1716" s="28" t="inlineStr">
        <is>
          <t>33,55 %</t>
        </is>
      </c>
      <c r="E1716" s="44" t="inlineStr">
        <is>
          <t>Oui</t>
        </is>
      </c>
    </row>
    <row r="1717">
      <c r="A1717" s="42" t="n">
        <v>159</v>
      </c>
      <c r="B1717" s="30" t="inlineStr">
        <is>
          <t>EXN 2024</t>
        </is>
      </c>
      <c r="C1717" s="45" t="n">
        <v>0.2518015832545693</v>
      </c>
      <c r="D1717" s="30" t="inlineStr">
        <is>
          <t>25,18 %</t>
        </is>
      </c>
      <c r="E1717" s="46" t="inlineStr">
        <is>
          <t>Oui</t>
        </is>
      </c>
    </row>
    <row r="1718">
      <c r="A1718" s="42" t="n">
        <v>159</v>
      </c>
      <c r="B1718" s="28" t="inlineStr">
        <is>
          <t>EXN 2025</t>
        </is>
      </c>
      <c r="C1718" s="43" t="n">
        <v>0.1281105192864206</v>
      </c>
      <c r="D1718" s="28" t="inlineStr">
        <is>
          <t>12,81 %</t>
        </is>
      </c>
      <c r="E1718" s="44" t="inlineStr">
        <is>
          <t>Oui</t>
        </is>
      </c>
    </row>
    <row r="1719">
      <c r="A1719" s="42" t="n">
        <v>159</v>
      </c>
      <c r="B1719" s="30" t="inlineStr">
        <is>
          <t>EXN 2026</t>
        </is>
      </c>
      <c r="C1719" s="45" t="n">
        <v>-0.1844565628073395</v>
      </c>
      <c r="D1719" s="30" t="inlineStr">
        <is>
          <t>-18,45 %</t>
        </is>
      </c>
      <c r="E1719" s="46" t="inlineStr">
        <is>
          <t>Oui</t>
        </is>
      </c>
    </row>
    <row r="1720">
      <c r="A1720" s="42" t="n">
        <v>159</v>
      </c>
      <c r="B1720" s="28" t="inlineStr">
        <is>
          <t>TFP 2022</t>
        </is>
      </c>
      <c r="C1720" s="43" t="n">
        <v>2.401963941438741</v>
      </c>
      <c r="D1720" s="28" t="inlineStr">
        <is>
          <t>240,20 %</t>
        </is>
      </c>
      <c r="E1720" s="44" t="inlineStr">
        <is>
          <t>Oui</t>
        </is>
      </c>
    </row>
    <row r="1721">
      <c r="A1721" s="42" t="n">
        <v>159</v>
      </c>
      <c r="B1721" s="30" t="inlineStr">
        <is>
          <t>TFP 2023</t>
        </is>
      </c>
      <c r="C1721" s="45" t="n">
        <v>1.468229044089623</v>
      </c>
      <c r="D1721" s="30" t="inlineStr">
        <is>
          <t>146,82 %</t>
        </is>
      </c>
      <c r="E1721" s="46" t="inlineStr">
        <is>
          <t>Oui</t>
        </is>
      </c>
    </row>
    <row r="1722">
      <c r="A1722" s="42" t="n">
        <v>159</v>
      </c>
      <c r="B1722" s="28" t="inlineStr">
        <is>
          <t>TFP 2024</t>
        </is>
      </c>
      <c r="C1722" s="43" t="n">
        <v>1.324842367019224</v>
      </c>
      <c r="D1722" s="28" t="inlineStr">
        <is>
          <t>132,48 %</t>
        </is>
      </c>
      <c r="E1722" s="44" t="inlineStr">
        <is>
          <t>Oui</t>
        </is>
      </c>
    </row>
    <row r="1723">
      <c r="A1723" s="42" t="n">
        <v>159</v>
      </c>
      <c r="B1723" s="30" t="inlineStr">
        <is>
          <t>TFP 2025</t>
        </is>
      </c>
      <c r="C1723" s="45" t="n">
        <v>1.134720534478943</v>
      </c>
      <c r="D1723" s="30" t="inlineStr">
        <is>
          <t>113,47 %</t>
        </is>
      </c>
      <c r="E1723" s="46" t="inlineStr">
        <is>
          <t>Oui</t>
        </is>
      </c>
    </row>
    <row r="1724">
      <c r="A1724" s="42" t="n">
        <v>159</v>
      </c>
      <c r="B1724" s="28" t="inlineStr">
        <is>
          <t>TFP 2026</t>
        </is>
      </c>
      <c r="C1724" s="43" t="n">
        <v>0.8454073045337206</v>
      </c>
      <c r="D1724" s="28" t="inlineStr">
        <is>
          <t>84,54 %</t>
        </is>
      </c>
      <c r="E1724" s="44" t="inlineStr">
        <is>
          <t>Oui</t>
        </is>
      </c>
    </row>
    <row r="1725">
      <c r="A1725" s="42" t="n">
        <v>160</v>
      </c>
      <c r="B1725" s="30" t="inlineStr">
        <is>
          <t>RL1 2022</t>
        </is>
      </c>
      <c r="C1725" s="45" t="n">
        <v>0.09491285816161747</v>
      </c>
      <c r="D1725" s="30" t="inlineStr">
        <is>
          <t>0,09</t>
        </is>
      </c>
      <c r="E1725" s="46" t="inlineStr">
        <is>
          <t>Oui</t>
        </is>
      </c>
    </row>
    <row r="1726">
      <c r="A1726" s="42" t="n">
        <v>160</v>
      </c>
      <c r="B1726" s="28" t="inlineStr">
        <is>
          <t>RL1 2023</t>
        </is>
      </c>
      <c r="C1726" s="43" t="n">
        <v>0.09200296264661868</v>
      </c>
      <c r="D1726" s="28" t="inlineStr">
        <is>
          <t>0,09</t>
        </is>
      </c>
      <c r="E1726" s="44" t="inlineStr">
        <is>
          <t>Oui</t>
        </is>
      </c>
    </row>
    <row r="1727">
      <c r="A1727" s="42" t="n">
        <v>160</v>
      </c>
      <c r="B1727" s="30" t="inlineStr">
        <is>
          <t>RL1 2024</t>
        </is>
      </c>
      <c r="C1727" s="45" t="n">
        <v>0.06489769174890359</v>
      </c>
      <c r="D1727" s="30" t="inlineStr">
        <is>
          <t>0,06</t>
        </is>
      </c>
      <c r="E1727" s="46" t="inlineStr">
        <is>
          <t>Oui</t>
        </is>
      </c>
    </row>
    <row r="1728">
      <c r="A1728" s="42" t="n">
        <v>160</v>
      </c>
      <c r="B1728" s="28" t="inlineStr">
        <is>
          <t>RL1 2025</t>
        </is>
      </c>
      <c r="C1728" s="43" t="n">
        <v>0.1164143426545503</v>
      </c>
      <c r="D1728" s="28" t="inlineStr">
        <is>
          <t>0,12</t>
        </is>
      </c>
      <c r="E1728" s="44" t="inlineStr">
        <is>
          <t>Oui</t>
        </is>
      </c>
    </row>
    <row r="1729">
      <c r="A1729" s="42" t="n">
        <v>160</v>
      </c>
      <c r="B1729" s="30" t="inlineStr">
        <is>
          <t>RL1 2026</t>
        </is>
      </c>
      <c r="C1729" s="45" t="n">
        <v>0.1627899128345373</v>
      </c>
      <c r="D1729" s="30" t="inlineStr">
        <is>
          <t>0,16</t>
        </is>
      </c>
      <c r="E1729" s="46" t="inlineStr">
        <is>
          <t>Oui</t>
        </is>
      </c>
    </row>
    <row r="1730">
      <c r="A1730" s="42" t="n">
        <v>160</v>
      </c>
      <c r="B1730" s="28" t="inlineStr">
        <is>
          <t>RL2 2022</t>
        </is>
      </c>
      <c r="C1730" s="43" t="n">
        <v>0.1160599124860752</v>
      </c>
      <c r="D1730" s="28" t="inlineStr">
        <is>
          <t>0,12</t>
        </is>
      </c>
      <c r="E1730" s="44" t="inlineStr">
        <is>
          <t>Oui</t>
        </is>
      </c>
    </row>
    <row r="1731">
      <c r="A1731" s="42" t="n">
        <v>160</v>
      </c>
      <c r="B1731" s="30" t="inlineStr">
        <is>
          <t>RL2 2023</t>
        </is>
      </c>
      <c r="C1731" s="45" t="n">
        <v>0.1147809378756505</v>
      </c>
      <c r="D1731" s="30" t="inlineStr">
        <is>
          <t>0,11</t>
        </is>
      </c>
      <c r="E1731" s="46" t="inlineStr">
        <is>
          <t>Oui</t>
        </is>
      </c>
    </row>
    <row r="1732">
      <c r="A1732" s="42" t="n">
        <v>160</v>
      </c>
      <c r="B1732" s="28" t="inlineStr">
        <is>
          <t>RL2 2024</t>
        </is>
      </c>
      <c r="C1732" s="43" t="n">
        <v>0.1269462369747672</v>
      </c>
      <c r="D1732" s="28" t="inlineStr">
        <is>
          <t>0,13</t>
        </is>
      </c>
      <c r="E1732" s="44" t="inlineStr">
        <is>
          <t>Oui</t>
        </is>
      </c>
    </row>
    <row r="1733">
      <c r="A1733" s="42" t="n">
        <v>160</v>
      </c>
      <c r="B1733" s="30" t="inlineStr">
        <is>
          <t>RL2 2025</t>
        </is>
      </c>
      <c r="C1733" s="45" t="n">
        <v>0.1749344871042123</v>
      </c>
      <c r="D1733" s="30" t="inlineStr">
        <is>
          <t>0,17</t>
        </is>
      </c>
      <c r="E1733" s="46" t="inlineStr">
        <is>
          <t>Oui</t>
        </is>
      </c>
    </row>
    <row r="1734">
      <c r="A1734" s="42" t="n">
        <v>160</v>
      </c>
      <c r="B1734" s="28" t="inlineStr">
        <is>
          <t>RL2 2026</t>
        </is>
      </c>
      <c r="C1734" s="43" t="n">
        <v>0.1928326849202298</v>
      </c>
      <c r="D1734" s="28" t="inlineStr">
        <is>
          <t>0,19</t>
        </is>
      </c>
      <c r="E1734" s="44" t="inlineStr">
        <is>
          <t>Oui</t>
        </is>
      </c>
    </row>
    <row r="1735">
      <c r="A1735" s="42" t="n">
        <v>160</v>
      </c>
      <c r="B1735" s="30" t="inlineStr">
        <is>
          <t>RL3 2022</t>
        </is>
      </c>
      <c r="C1735" s="45" t="n">
        <v>0.104440554951509</v>
      </c>
      <c r="D1735" s="30" t="inlineStr">
        <is>
          <t>0,10</t>
        </is>
      </c>
      <c r="E1735" s="46" t="inlineStr">
        <is>
          <t>Oui</t>
        </is>
      </c>
    </row>
    <row r="1736">
      <c r="A1736" s="42" t="n">
        <v>160</v>
      </c>
      <c r="B1736" s="28" t="inlineStr">
        <is>
          <t>RL3 2023</t>
        </is>
      </c>
      <c r="C1736" s="43" t="n">
        <v>0.1086583639281966</v>
      </c>
      <c r="D1736" s="28" t="inlineStr">
        <is>
          <t>0,11</t>
        </is>
      </c>
      <c r="E1736" s="44" t="inlineStr">
        <is>
          <t>Oui</t>
        </is>
      </c>
    </row>
    <row r="1737">
      <c r="A1737" s="42" t="n">
        <v>160</v>
      </c>
      <c r="B1737" s="30" t="inlineStr">
        <is>
          <t>RL3 2024</t>
        </is>
      </c>
      <c r="C1737" s="45" t="n">
        <v>0.07119313549763213</v>
      </c>
      <c r="D1737" s="30" t="inlineStr">
        <is>
          <t>0,07</t>
        </is>
      </c>
      <c r="E1737" s="46" t="inlineStr">
        <is>
          <t>Oui</t>
        </is>
      </c>
    </row>
    <row r="1738">
      <c r="A1738" s="42" t="n">
        <v>160</v>
      </c>
      <c r="B1738" s="28" t="inlineStr">
        <is>
          <t>RL3 2025</t>
        </is>
      </c>
      <c r="C1738" s="43" t="n">
        <v>0.1265562520616417</v>
      </c>
      <c r="D1738" s="28" t="inlineStr">
        <is>
          <t>0,13</t>
        </is>
      </c>
      <c r="E1738" s="44" t="inlineStr">
        <is>
          <t>Oui</t>
        </is>
      </c>
    </row>
    <row r="1739">
      <c r="A1739" s="42" t="n">
        <v>160</v>
      </c>
      <c r="B1739" s="30" t="inlineStr">
        <is>
          <t>RL3 2026</t>
        </is>
      </c>
      <c r="C1739" s="45" t="n">
        <v>0.1873248451328696</v>
      </c>
      <c r="D1739" s="30" t="inlineStr">
        <is>
          <t>0,19</t>
        </is>
      </c>
      <c r="E1739" s="46" t="inlineStr">
        <is>
          <t>Oui</t>
        </is>
      </c>
    </row>
    <row r="1740">
      <c r="A1740" s="42" t="n">
        <v>160</v>
      </c>
      <c r="B1740" s="28" t="inlineStr">
        <is>
          <t>RL4 2022</t>
        </is>
      </c>
      <c r="C1740" s="43" t="n">
        <v>0</v>
      </c>
      <c r="D1740" s="28" t="inlineStr">
        <is>
          <t>0,00</t>
        </is>
      </c>
      <c r="E1740" s="44" t="inlineStr">
        <is>
          <t>Oui</t>
        </is>
      </c>
    </row>
    <row r="1741">
      <c r="A1741" s="42" t="n">
        <v>160</v>
      </c>
      <c r="B1741" s="30" t="inlineStr">
        <is>
          <t>RL4 2023</t>
        </is>
      </c>
      <c r="C1741" s="45" t="n">
        <v>0</v>
      </c>
      <c r="D1741" s="30" t="inlineStr">
        <is>
          <t>0,00</t>
        </is>
      </c>
      <c r="E1741" s="46" t="inlineStr">
        <is>
          <t>Oui</t>
        </is>
      </c>
    </row>
    <row r="1742">
      <c r="A1742" s="42" t="n">
        <v>160</v>
      </c>
      <c r="B1742" s="28" t="inlineStr">
        <is>
          <t>RL4 2024</t>
        </is>
      </c>
      <c r="C1742" s="43" t="n">
        <v>0</v>
      </c>
      <c r="D1742" s="28" t="inlineStr">
        <is>
          <t>0,00</t>
        </is>
      </c>
      <c r="E1742" s="44" t="inlineStr">
        <is>
          <t>Oui</t>
        </is>
      </c>
    </row>
    <row r="1743">
      <c r="A1743" s="42" t="n">
        <v>160</v>
      </c>
      <c r="B1743" s="30" t="inlineStr">
        <is>
          <t>RL4 2025</t>
        </is>
      </c>
      <c r="C1743" s="45" t="n">
        <v>0</v>
      </c>
      <c r="D1743" s="30" t="inlineStr">
        <is>
          <t>0,00</t>
        </is>
      </c>
      <c r="E1743" s="46" t="inlineStr">
        <is>
          <t>Oui</t>
        </is>
      </c>
    </row>
    <row r="1744">
      <c r="A1744" s="42" t="n">
        <v>160</v>
      </c>
      <c r="B1744" s="28" t="inlineStr">
        <is>
          <t>RL4 2026</t>
        </is>
      </c>
      <c r="C1744" s="43" t="n">
        <v>0</v>
      </c>
      <c r="D1744" s="28" t="inlineStr">
        <is>
          <t>0,00</t>
        </is>
      </c>
      <c r="E1744" s="44" t="inlineStr">
        <is>
          <t>Oui</t>
        </is>
      </c>
    </row>
    <row r="1745">
      <c r="A1745" s="42" t="n">
        <v>160</v>
      </c>
      <c r="B1745" s="30" t="inlineStr">
        <is>
          <t>RL5 2022</t>
        </is>
      </c>
      <c r="C1745" s="45" t="n">
        <v>-0.6544749714362921</v>
      </c>
      <c r="D1745" s="30" t="inlineStr">
        <is>
          <t>-0,65</t>
        </is>
      </c>
      <c r="E1745" s="46" t="inlineStr">
        <is>
          <t>Oui</t>
        </is>
      </c>
    </row>
    <row r="1746">
      <c r="A1746" s="42" t="n">
        <v>160</v>
      </c>
      <c r="B1746" s="28" t="inlineStr">
        <is>
          <t>RL5 2023</t>
        </is>
      </c>
      <c r="C1746" s="43" t="n">
        <v>-0.3406000719253184</v>
      </c>
      <c r="D1746" s="28" t="inlineStr">
        <is>
          <t>-0,34</t>
        </is>
      </c>
      <c r="E1746" s="44" t="inlineStr">
        <is>
          <t>Oui</t>
        </is>
      </c>
    </row>
    <row r="1747">
      <c r="A1747" s="42" t="n">
        <v>160</v>
      </c>
      <c r="B1747" s="30" t="inlineStr">
        <is>
          <t>RL5 2024</t>
        </is>
      </c>
      <c r="C1747" s="45" t="n">
        <v>-0.2078753436137531</v>
      </c>
      <c r="D1747" s="30" t="inlineStr">
        <is>
          <t>-0,21</t>
        </is>
      </c>
      <c r="E1747" s="46" t="inlineStr">
        <is>
          <t>Oui</t>
        </is>
      </c>
    </row>
    <row r="1748">
      <c r="A1748" s="42" t="n">
        <v>160</v>
      </c>
      <c r="B1748" s="28" t="inlineStr">
        <is>
          <t>RL5 2025</t>
        </is>
      </c>
      <c r="C1748" s="43" t="n">
        <v>-0.1463890121485525</v>
      </c>
      <c r="D1748" s="28" t="inlineStr">
        <is>
          <t>-0,15</t>
        </is>
      </c>
      <c r="E1748" s="44" t="inlineStr">
        <is>
          <t>Oui</t>
        </is>
      </c>
    </row>
    <row r="1749">
      <c r="A1749" s="42" t="n">
        <v>160</v>
      </c>
      <c r="B1749" s="30" t="inlineStr">
        <is>
          <t>RL5 2026</t>
        </is>
      </c>
      <c r="C1749" s="45" t="n">
        <v>-0.3103322996600214</v>
      </c>
      <c r="D1749" s="30" t="inlineStr">
        <is>
          <t>-0,31</t>
        </is>
      </c>
      <c r="E1749" s="46" t="inlineStr">
        <is>
          <t>Oui</t>
        </is>
      </c>
    </row>
    <row r="1750">
      <c r="A1750" s="42" t="n">
        <v>160</v>
      </c>
      <c r="B1750" s="28" t="inlineStr">
        <is>
          <t>RL6 2022</t>
        </is>
      </c>
      <c r="C1750" s="43" t="n">
        <v>0.01302438139479114</v>
      </c>
      <c r="D1750" s="28" t="inlineStr">
        <is>
          <t>1,30 %</t>
        </is>
      </c>
      <c r="E1750" s="44" t="inlineStr">
        <is>
          <t>Oui</t>
        </is>
      </c>
    </row>
    <row r="1751">
      <c r="A1751" s="42" t="n">
        <v>160</v>
      </c>
      <c r="B1751" s="30" t="inlineStr">
        <is>
          <t>RL6 2023</t>
        </is>
      </c>
      <c r="C1751" s="45" t="n">
        <v>0.01276185573574572</v>
      </c>
      <c r="D1751" s="30" t="inlineStr">
        <is>
          <t>1,28 %</t>
        </is>
      </c>
      <c r="E1751" s="46" t="inlineStr">
        <is>
          <t>Oui</t>
        </is>
      </c>
    </row>
    <row r="1752">
      <c r="A1752" s="42" t="n">
        <v>160</v>
      </c>
      <c r="B1752" s="28" t="inlineStr">
        <is>
          <t>RL6 2024</t>
        </is>
      </c>
      <c r="C1752" s="43" t="n">
        <v>0.01731201345070705</v>
      </c>
      <c r="D1752" s="28" t="inlineStr">
        <is>
          <t>1,73 %</t>
        </is>
      </c>
      <c r="E1752" s="44" t="inlineStr">
        <is>
          <t>Oui</t>
        </is>
      </c>
    </row>
    <row r="1753">
      <c r="A1753" s="42" t="n">
        <v>160</v>
      </c>
      <c r="B1753" s="30" t="inlineStr">
        <is>
          <t>RL6 2025</t>
        </is>
      </c>
      <c r="C1753" s="45" t="n">
        <v>0.228827023659462</v>
      </c>
      <c r="D1753" s="30" t="inlineStr">
        <is>
          <t>22,88 %</t>
        </is>
      </c>
      <c r="E1753" s="46" t="inlineStr">
        <is>
          <t>Oui</t>
        </is>
      </c>
    </row>
    <row r="1754">
      <c r="A1754" s="42" t="n">
        <v>160</v>
      </c>
      <c r="B1754" s="28" t="inlineStr">
        <is>
          <t>RL7 2022</t>
        </is>
      </c>
      <c r="C1754" s="43" t="n">
        <v>638155842</v>
      </c>
      <c r="D1754" s="28" t="inlineStr">
        <is>
          <t>638 155 842 FCFA</t>
        </is>
      </c>
      <c r="E1754" s="44" t="inlineStr">
        <is>
          <t>Oui</t>
        </is>
      </c>
    </row>
    <row r="1755">
      <c r="A1755" s="42" t="n">
        <v>160</v>
      </c>
      <c r="B1755" s="30" t="inlineStr">
        <is>
          <t>RL7 2023</t>
        </is>
      </c>
      <c r="C1755" s="45" t="n">
        <v>695388139</v>
      </c>
      <c r="D1755" s="30" t="inlineStr">
        <is>
          <t>695 388 139 FCFA</t>
        </is>
      </c>
      <c r="E1755" s="46" t="inlineStr">
        <is>
          <t>Oui</t>
        </is>
      </c>
    </row>
    <row r="1756">
      <c r="A1756" s="42" t="n">
        <v>160</v>
      </c>
      <c r="B1756" s="28" t="inlineStr">
        <is>
          <t>RL7 2024</t>
        </is>
      </c>
      <c r="C1756" s="43" t="n">
        <v>438360275</v>
      </c>
      <c r="D1756" s="28" t="inlineStr">
        <is>
          <t>438 360 275 FCFA</t>
        </is>
      </c>
      <c r="E1756" s="44" t="inlineStr">
        <is>
          <t>Oui</t>
        </is>
      </c>
    </row>
    <row r="1757">
      <c r="A1757" s="42" t="n">
        <v>160</v>
      </c>
      <c r="B1757" s="30" t="inlineStr">
        <is>
          <t>RL7 2025</t>
        </is>
      </c>
      <c r="C1757" s="45" t="n">
        <v>1449586812</v>
      </c>
      <c r="D1757" s="30" t="inlineStr">
        <is>
          <t>1 449 586 812 FCFA</t>
        </is>
      </c>
      <c r="E1757" s="46" t="inlineStr">
        <is>
          <t>Oui</t>
        </is>
      </c>
    </row>
    <row r="1758">
      <c r="A1758" s="42" t="n">
        <v>160</v>
      </c>
      <c r="B1758" s="28" t="inlineStr">
        <is>
          <t>RL7 2026</t>
        </is>
      </c>
      <c r="C1758" s="43" t="n">
        <v>2356399123</v>
      </c>
      <c r="D1758" s="28" t="inlineStr">
        <is>
          <t>2 356 399 123 FCFA</t>
        </is>
      </c>
      <c r="E1758" s="44" t="inlineStr">
        <is>
          <t>Oui</t>
        </is>
      </c>
    </row>
    <row r="1759">
      <c r="A1759" s="42" t="n">
        <v>161</v>
      </c>
      <c r="B1759" s="30" t="inlineStr">
        <is>
          <t>CHF 2022</t>
        </is>
      </c>
      <c r="C1759" s="45" t="n">
        <v>0.4735154752022679</v>
      </c>
      <c r="D1759" s="30" t="inlineStr">
        <is>
          <t>47,35 %</t>
        </is>
      </c>
      <c r="E1759" s="46" t="inlineStr">
        <is>
          <t>Oui</t>
        </is>
      </c>
    </row>
    <row r="1760">
      <c r="A1760" s="42" t="n">
        <v>161</v>
      </c>
      <c r="B1760" s="28" t="inlineStr">
        <is>
          <t>CHF 2023</t>
        </is>
      </c>
      <c r="C1760" s="43" t="n">
        <v>0.4482405145921421</v>
      </c>
      <c r="D1760" s="28" t="inlineStr">
        <is>
          <t>44,82 %</t>
        </is>
      </c>
      <c r="E1760" s="44" t="inlineStr">
        <is>
          <t>Oui</t>
        </is>
      </c>
    </row>
    <row r="1761">
      <c r="A1761" s="42" t="n">
        <v>161</v>
      </c>
      <c r="B1761" s="30" t="inlineStr">
        <is>
          <t>CHF 2024</t>
        </is>
      </c>
      <c r="C1761" s="45" t="n">
        <v>0.3606756953950909</v>
      </c>
      <c r="D1761" s="30" t="inlineStr">
        <is>
          <t>36,07 %</t>
        </is>
      </c>
      <c r="E1761" s="46" t="inlineStr">
        <is>
          <t>Oui</t>
        </is>
      </c>
    </row>
    <row r="1762">
      <c r="A1762" s="42" t="n">
        <v>161</v>
      </c>
      <c r="B1762" s="28" t="inlineStr">
        <is>
          <t>CHF 2025</t>
        </is>
      </c>
      <c r="C1762" s="43" t="n">
        <v>0.3633533094915952</v>
      </c>
      <c r="D1762" s="28" t="inlineStr">
        <is>
          <t>36,34 %</t>
        </is>
      </c>
      <c r="E1762" s="44" t="inlineStr">
        <is>
          <t>Oui</t>
        </is>
      </c>
    </row>
    <row r="1763">
      <c r="A1763" s="42" t="n">
        <v>161</v>
      </c>
      <c r="B1763" s="30" t="inlineStr">
        <is>
          <t>CHF 2026</t>
        </is>
      </c>
      <c r="C1763" s="45" t="n">
        <v>0.4412097684017747</v>
      </c>
      <c r="D1763" s="30" t="inlineStr">
        <is>
          <t>44,12 %</t>
        </is>
      </c>
      <c r="E1763" s="46" t="inlineStr">
        <is>
          <t>Oui</t>
        </is>
      </c>
    </row>
    <row r="1764">
      <c r="A1764" s="42" t="n">
        <v>161</v>
      </c>
      <c r="B1764" s="28" t="inlineStr">
        <is>
          <t>CHB 2022</t>
        </is>
      </c>
      <c r="C1764" s="43" t="n">
        <v>0.3507645430860432</v>
      </c>
      <c r="D1764" s="28" t="inlineStr">
        <is>
          <t>35,08 %</t>
        </is>
      </c>
      <c r="E1764" s="44" t="inlineStr">
        <is>
          <t>Oui</t>
        </is>
      </c>
    </row>
    <row r="1765">
      <c r="A1765" s="42" t="n">
        <v>161</v>
      </c>
      <c r="B1765" s="30" t="inlineStr">
        <is>
          <t>CHB 2023</t>
        </is>
      </c>
      <c r="C1765" s="45" t="n">
        <v>0.438115371889645</v>
      </c>
      <c r="D1765" s="30" t="inlineStr">
        <is>
          <t>43,81 %</t>
        </is>
      </c>
      <c r="E1765" s="46" t="inlineStr">
        <is>
          <t>Oui</t>
        </is>
      </c>
    </row>
    <row r="1766">
      <c r="A1766" s="42" t="n">
        <v>161</v>
      </c>
      <c r="B1766" s="28" t="inlineStr">
        <is>
          <t>CHB 2024</t>
        </is>
      </c>
      <c r="C1766" s="43" t="n">
        <v>0.3619683196835955</v>
      </c>
      <c r="D1766" s="28" t="inlineStr">
        <is>
          <t>36,20 %</t>
        </is>
      </c>
      <c r="E1766" s="44" t="inlineStr">
        <is>
          <t>Oui</t>
        </is>
      </c>
    </row>
    <row r="1767">
      <c r="A1767" s="42" t="n">
        <v>161</v>
      </c>
      <c r="B1767" s="30" t="inlineStr">
        <is>
          <t>CHB 2025</t>
        </is>
      </c>
      <c r="C1767" s="45" t="n">
        <v>0.3485748792557832</v>
      </c>
      <c r="D1767" s="30" t="inlineStr">
        <is>
          <t>34,86 %</t>
        </is>
      </c>
      <c r="E1767" s="46" t="inlineStr">
        <is>
          <t>Oui</t>
        </is>
      </c>
    </row>
    <row r="1768">
      <c r="A1768" s="42" t="n">
        <v>161</v>
      </c>
      <c r="B1768" s="28" t="inlineStr">
        <is>
          <t>CHB 2026</t>
        </is>
      </c>
      <c r="C1768" s="43" t="n">
        <v>0.4373951681734312</v>
      </c>
      <c r="D1768" s="28" t="inlineStr">
        <is>
          <t>43,74 %</t>
        </is>
      </c>
      <c r="E1768" s="44" t="inlineStr">
        <is>
          <t>Oui</t>
        </is>
      </c>
    </row>
    <row r="1769">
      <c r="A1769" s="42" t="n">
        <v>161</v>
      </c>
      <c r="B1769" s="30" t="inlineStr">
        <is>
          <t>CUP 2022</t>
        </is>
      </c>
      <c r="C1769" s="45" t="n">
        <v>5.227769473459005</v>
      </c>
      <c r="D1769" s="30" t="inlineStr">
        <is>
          <t>522,78 %</t>
        </is>
      </c>
      <c r="E1769" s="46" t="inlineStr">
        <is>
          <t>Oui</t>
        </is>
      </c>
    </row>
    <row r="1770">
      <c r="A1770" s="42" t="n">
        <v>161</v>
      </c>
      <c r="B1770" s="28" t="inlineStr">
        <is>
          <t>CUP 2023</t>
        </is>
      </c>
      <c r="C1770" s="43" t="n">
        <v>1.824877310324074</v>
      </c>
      <c r="D1770" s="28" t="inlineStr">
        <is>
          <t>182,49 %</t>
        </is>
      </c>
      <c r="E1770" s="44" t="inlineStr">
        <is>
          <t>Oui</t>
        </is>
      </c>
    </row>
    <row r="1771">
      <c r="A1771" s="42" t="n">
        <v>161</v>
      </c>
      <c r="B1771" s="30" t="inlineStr">
        <is>
          <t>CUP 2024</t>
        </is>
      </c>
      <c r="C1771" s="45" t="n">
        <v>0.8940316226735395</v>
      </c>
      <c r="D1771" s="30" t="inlineStr">
        <is>
          <t>89,40 %</t>
        </is>
      </c>
      <c r="E1771" s="46" t="inlineStr">
        <is>
          <t>Oui</t>
        </is>
      </c>
    </row>
    <row r="1772">
      <c r="A1772" s="42" t="n">
        <v>161</v>
      </c>
      <c r="B1772" s="28" t="inlineStr">
        <is>
          <t>CUP 2025</t>
        </is>
      </c>
      <c r="C1772" s="43" t="n">
        <v>0.6321308986144274</v>
      </c>
      <c r="D1772" s="28" t="inlineStr">
        <is>
          <t>63,21 %</t>
        </is>
      </c>
      <c r="E1772" s="44" t="inlineStr">
        <is>
          <t>Oui</t>
        </is>
      </c>
    </row>
    <row r="1773">
      <c r="A1773" s="42" t="n">
        <v>161</v>
      </c>
      <c r="B1773" s="30" t="inlineStr">
        <is>
          <t>CUP 2026</t>
        </is>
      </c>
      <c r="C1773" s="45" t="n">
        <v>0.5867401083369672</v>
      </c>
      <c r="D1773" s="30" t="inlineStr">
        <is>
          <t>58,67 %</t>
        </is>
      </c>
      <c r="E1773" s="46" t="inlineStr">
        <is>
          <t>Oui</t>
        </is>
      </c>
    </row>
    <row r="1774">
      <c r="A1774" s="42" t="n">
        <v>161</v>
      </c>
      <c r="B1774" s="28" t="inlineStr">
        <is>
          <t>CHP 2022</t>
        </is>
      </c>
      <c r="C1774" s="43" t="n">
        <v>0.1926491362957095</v>
      </c>
      <c r="D1774" s="28" t="inlineStr">
        <is>
          <t>19,26 %</t>
        </is>
      </c>
      <c r="E1774" s="44" t="inlineStr">
        <is>
          <t>Oui</t>
        </is>
      </c>
    </row>
    <row r="1775">
      <c r="A1775" s="42" t="n">
        <v>161</v>
      </c>
      <c r="B1775" s="30" t="inlineStr">
        <is>
          <t>CHP 2023</t>
        </is>
      </c>
      <c r="C1775" s="45" t="n">
        <v>0.2321374678175681</v>
      </c>
      <c r="D1775" s="30" t="inlineStr">
        <is>
          <t>23,21 %</t>
        </is>
      </c>
      <c r="E1775" s="46" t="inlineStr">
        <is>
          <t>Oui</t>
        </is>
      </c>
    </row>
    <row r="1776">
      <c r="A1776" s="42" t="n">
        <v>161</v>
      </c>
      <c r="B1776" s="28" t="inlineStr">
        <is>
          <t>CHP 2024</t>
        </is>
      </c>
      <c r="C1776" s="43" t="n">
        <v>0.2482788189783611</v>
      </c>
      <c r="D1776" s="28" t="inlineStr">
        <is>
          <t>24,83 %</t>
        </is>
      </c>
      <c r="E1776" s="44" t="inlineStr">
        <is>
          <t>Oui</t>
        </is>
      </c>
    </row>
    <row r="1777">
      <c r="A1777" s="42" t="n">
        <v>161</v>
      </c>
      <c r="B1777" s="30" t="inlineStr">
        <is>
          <t>CHP 2025</t>
        </is>
      </c>
      <c r="C1777" s="45" t="n">
        <v>0.2657335960772857</v>
      </c>
      <c r="D1777" s="30" t="inlineStr">
        <is>
          <t>26,57 %</t>
        </is>
      </c>
      <c r="E1777" s="46" t="inlineStr">
        <is>
          <t>Oui</t>
        </is>
      </c>
    </row>
    <row r="1778">
      <c r="A1778" s="42" t="n">
        <v>161</v>
      </c>
      <c r="B1778" s="28" t="inlineStr">
        <is>
          <t>CHP 2026</t>
        </is>
      </c>
      <c r="C1778" s="43" t="n">
        <v>0.258255407917139</v>
      </c>
      <c r="D1778" s="28" t="inlineStr">
        <is>
          <t>25,83 %</t>
        </is>
      </c>
      <c r="E1778" s="44" t="inlineStr">
        <is>
          <t>Oui</t>
        </is>
      </c>
    </row>
    <row r="1779">
      <c r="A1779" s="42" t="n">
        <v>161</v>
      </c>
      <c r="B1779" s="30" t="inlineStr">
        <is>
          <t>FID 2025</t>
        </is>
      </c>
      <c r="C1779" s="45" t="n">
        <v>0.9648588821250692</v>
      </c>
      <c r="D1779" s="30" t="inlineStr">
        <is>
          <t>96,49 %</t>
        </is>
      </c>
      <c r="E1779" s="46" t="inlineStr">
        <is>
          <t>Oui</t>
        </is>
      </c>
    </row>
    <row r="1780">
      <c r="A1780" s="42" t="n">
        <v>161</v>
      </c>
      <c r="B1780" s="28" t="inlineStr">
        <is>
          <t>FID 2026</t>
        </is>
      </c>
      <c r="C1780" s="43" t="n">
        <v>0.9782595114637346</v>
      </c>
      <c r="D1780" s="28" t="inlineStr">
        <is>
          <t>97,83 %</t>
        </is>
      </c>
      <c r="E1780" s="44" t="inlineStr">
        <is>
          <t>Oui</t>
        </is>
      </c>
    </row>
    <row r="1781">
      <c r="A1781" s="42" t="n">
        <v>161</v>
      </c>
      <c r="B1781" s="30" t="inlineStr">
        <is>
          <t>DPP 2022</t>
        </is>
      </c>
      <c r="C1781" s="45" t="n">
        <v>840.8571041298487</v>
      </c>
      <c r="D1781" s="30" t="inlineStr">
        <is>
          <t>841</t>
        </is>
      </c>
      <c r="E1781" s="46" t="inlineStr">
        <is>
          <t>Oui</t>
        </is>
      </c>
    </row>
    <row r="1782">
      <c r="A1782" s="42" t="n">
        <v>161</v>
      </c>
      <c r="B1782" s="28" t="inlineStr">
        <is>
          <t>DPP 2023</t>
        </is>
      </c>
      <c r="C1782" s="43" t="n">
        <v>145.3425987252427</v>
      </c>
      <c r="D1782" s="28" t="inlineStr">
        <is>
          <t>145</t>
        </is>
      </c>
      <c r="E1782" s="44" t="inlineStr">
        <is>
          <t>Oui</t>
        </is>
      </c>
    </row>
    <row r="1783">
      <c r="A1783" s="42" t="n">
        <v>161</v>
      </c>
      <c r="B1783" s="30" t="inlineStr">
        <is>
          <t>DPP 2024</t>
        </is>
      </c>
      <c r="C1783" s="45" t="n">
        <v>67.98086388055722</v>
      </c>
      <c r="D1783" s="30" t="inlineStr">
        <is>
          <t>68</t>
        </is>
      </c>
      <c r="E1783" s="46" t="inlineStr">
        <is>
          <t>Oui</t>
        </is>
      </c>
    </row>
    <row r="1784">
      <c r="A1784" s="42" t="n">
        <v>161</v>
      </c>
      <c r="B1784" s="28" t="inlineStr">
        <is>
          <t>DPP 2025</t>
        </is>
      </c>
      <c r="C1784" s="43" t="n">
        <v>44.98303923837369</v>
      </c>
      <c r="D1784" s="28" t="inlineStr">
        <is>
          <t>45</t>
        </is>
      </c>
      <c r="E1784" s="44" t="inlineStr">
        <is>
          <t>Oui</t>
        </is>
      </c>
    </row>
    <row r="1785">
      <c r="A1785" s="42" t="n">
        <v>161</v>
      </c>
      <c r="B1785" s="30" t="inlineStr">
        <is>
          <t>DPP 2026</t>
        </is>
      </c>
      <c r="C1785" s="45" t="n">
        <v>93.2409219116372</v>
      </c>
      <c r="D1785" s="30" t="inlineStr">
        <is>
          <t>93</t>
        </is>
      </c>
      <c r="E1785" s="46" t="inlineStr">
        <is>
          <t>Oui</t>
        </is>
      </c>
    </row>
    <row r="1786">
      <c r="A1786" s="42" t="n">
        <v>161</v>
      </c>
      <c r="B1786" s="28" t="inlineStr">
        <is>
          <t>FOR 2022</t>
        </is>
      </c>
      <c r="C1786" s="43" t="n">
        <v>8.498734545933326e-05</v>
      </c>
      <c r="D1786" s="28" t="inlineStr">
        <is>
          <t>0,01 %</t>
        </is>
      </c>
      <c r="E1786" s="44" t="inlineStr">
        <is>
          <t>Oui</t>
        </is>
      </c>
    </row>
    <row r="1787">
      <c r="A1787" s="42" t="n">
        <v>161</v>
      </c>
      <c r="B1787" s="30" t="inlineStr">
        <is>
          <t>FOR 2023</t>
        </is>
      </c>
      <c r="C1787" s="45" t="n">
        <v>0.001907010471227613</v>
      </c>
      <c r="D1787" s="30" t="inlineStr">
        <is>
          <t>0,19 %</t>
        </is>
      </c>
      <c r="E1787" s="46" t="inlineStr">
        <is>
          <t>Oui</t>
        </is>
      </c>
    </row>
    <row r="1788">
      <c r="A1788" s="42" t="n">
        <v>161</v>
      </c>
      <c r="B1788" s="28" t="inlineStr">
        <is>
          <t>FOR 2024</t>
        </is>
      </c>
      <c r="C1788" s="43" t="n">
        <v>0.0003714722162387765</v>
      </c>
      <c r="D1788" s="28" t="inlineStr">
        <is>
          <t>0,04 %</t>
        </is>
      </c>
      <c r="E1788" s="44" t="inlineStr">
        <is>
          <t>Oui</t>
        </is>
      </c>
    </row>
    <row r="1789">
      <c r="A1789" s="42" t="n">
        <v>161</v>
      </c>
      <c r="B1789" s="30" t="inlineStr">
        <is>
          <t>FOR 2025</t>
        </is>
      </c>
      <c r="C1789" s="45" t="n">
        <v>0.007450522909487228</v>
      </c>
      <c r="D1789" s="30" t="inlineStr">
        <is>
          <t>0,75 %</t>
        </is>
      </c>
      <c r="E1789" s="46" t="inlineStr">
        <is>
          <t>Oui</t>
        </is>
      </c>
    </row>
    <row r="1790">
      <c r="A1790" s="42" t="n">
        <v>161</v>
      </c>
      <c r="B1790" s="28" t="inlineStr">
        <is>
          <t>FOR 2026</t>
        </is>
      </c>
      <c r="C1790" s="43" t="n">
        <v>0.0004144115563933815</v>
      </c>
      <c r="D1790" s="28" t="inlineStr">
        <is>
          <t>0,04 %</t>
        </is>
      </c>
      <c r="E1790" s="44" t="inlineStr">
        <is>
          <t>Oui</t>
        </is>
      </c>
    </row>
    <row r="1791">
      <c r="A1791" s="42" t="n">
        <v>161</v>
      </c>
      <c r="B1791" s="30" t="inlineStr">
        <is>
          <t>CRB 2025</t>
        </is>
      </c>
      <c r="C1791" s="45" t="n">
        <v>0.1072910902047592</v>
      </c>
      <c r="D1791" s="30" t="inlineStr">
        <is>
          <t>10,73 %</t>
        </is>
      </c>
      <c r="E1791" s="46" t="inlineStr">
        <is>
          <t>Oui</t>
        </is>
      </c>
    </row>
    <row r="1792">
      <c r="A1792" s="42" t="n">
        <v>161</v>
      </c>
      <c r="B1792" s="28" t="inlineStr">
        <is>
          <t>REC CGRAE</t>
        </is>
      </c>
      <c r="C1792" s="43" t="n">
        <v>1.001858448497196</v>
      </c>
      <c r="D1792" s="28" t="inlineStr">
        <is>
          <t>100,19 %</t>
        </is>
      </c>
      <c r="E1792" s="44" t="inlineStr">
        <is>
          <t>Oui</t>
        </is>
      </c>
    </row>
    <row r="1793">
      <c r="A1793" s="42" t="n">
        <v>163</v>
      </c>
      <c r="B1793" s="30" t="inlineStr">
        <is>
          <t>LIQ 2025</t>
        </is>
      </c>
      <c r="C1793" s="45" t="n">
        <v>0.1265562520616417</v>
      </c>
      <c r="D1793" s="30" t="inlineStr">
        <is>
          <t>0,13</t>
        </is>
      </c>
      <c r="E1793" s="46" t="inlineStr">
        <is>
          <t>Oui</t>
        </is>
      </c>
    </row>
    <row r="1794">
      <c r="A1794" s="42" t="n">
        <v>163</v>
      </c>
      <c r="B1794" s="28" t="inlineStr">
        <is>
          <t>LIQ 2025 retraité</t>
        </is>
      </c>
      <c r="C1794" s="43" t="n">
        <v>1.151277985464196</v>
      </c>
      <c r="D1794" s="28" t="inlineStr">
        <is>
          <t>1,15</t>
        </is>
      </c>
      <c r="E1794" s="44" t="inlineStr">
        <is>
          <t>Oui</t>
        </is>
      </c>
    </row>
    <row r="1795">
      <c r="A1795" s="42" t="n">
        <v>163</v>
      </c>
      <c r="B1795" s="30" t="inlineStr">
        <is>
          <t>EQS 2025</t>
        </is>
      </c>
      <c r="C1795" s="45" t="n">
        <v>1.536687732810269</v>
      </c>
      <c r="D1795" s="30" t="inlineStr">
        <is>
          <t>1,54</t>
        </is>
      </c>
      <c r="E1795" s="46" t="inlineStr">
        <is>
          <t>Oui</t>
        </is>
      </c>
    </row>
    <row r="1796">
      <c r="A1796" s="42" t="n">
        <v>163</v>
      </c>
      <c r="B1796" s="28" t="inlineStr">
        <is>
          <t>EQS 2025 retraité</t>
        </is>
      </c>
      <c r="C1796" s="43" t="n">
        <v>0.9447125240184668</v>
      </c>
      <c r="D1796" s="28" t="inlineStr">
        <is>
          <t>0,94</t>
        </is>
      </c>
      <c r="E1796" s="44" t="inlineStr">
        <is>
          <t>Oui</t>
        </is>
      </c>
    </row>
    <row r="1797">
      <c r="A1797" s="42" t="n">
        <v>163</v>
      </c>
      <c r="B1797" s="30" t="inlineStr">
        <is>
          <t>LIQ 2021</t>
        </is>
      </c>
      <c r="C1797" s="45" t="n">
        <v>0.1928137276458587</v>
      </c>
      <c r="D1797" s="30" t="inlineStr">
        <is>
          <t>0,19</t>
        </is>
      </c>
      <c r="E1797" s="46" t="inlineStr">
        <is>
          <t>Oui</t>
        </is>
      </c>
    </row>
    <row r="1798">
      <c r="A1798" s="42" t="n">
        <v>163</v>
      </c>
      <c r="B1798" s="28" t="inlineStr">
        <is>
          <t>EQS 2025 retraité</t>
        </is>
      </c>
      <c r="C1798" s="43" t="n">
        <v>0.9447125240184668</v>
      </c>
      <c r="D1798" s="28" t="inlineStr">
        <is>
          <t>0,94</t>
        </is>
      </c>
      <c r="E1798" s="44" t="inlineStr">
        <is>
          <t>Oui</t>
        </is>
      </c>
    </row>
    <row r="1799">
      <c r="A1799" s="42" t="n">
        <v>164</v>
      </c>
      <c r="B1799" s="30" t="inlineStr">
        <is>
          <t>SIN num 2025</t>
        </is>
      </c>
      <c r="C1799" s="45" t="n">
        <v>1964772027</v>
      </c>
      <c r="D1799" s="30" t="inlineStr">
        <is>
          <t>1 964 772 027 FCFA</t>
        </is>
      </c>
      <c r="E1799" s="46" t="inlineStr">
        <is>
          <t>Oui</t>
        </is>
      </c>
    </row>
    <row r="1800">
      <c r="A1800" s="42" t="n">
        <v>164</v>
      </c>
      <c r="B1800" s="28" t="inlineStr">
        <is>
          <t>SIN den 2025</t>
        </is>
      </c>
      <c r="C1800" s="43" t="n">
        <v>3418141722</v>
      </c>
      <c r="D1800" s="28" t="inlineStr">
        <is>
          <t>3 418 141 722 FCFA</t>
        </is>
      </c>
      <c r="E1800" s="44" t="inlineStr">
        <is>
          <t>Oui</t>
        </is>
      </c>
    </row>
    <row r="1801">
      <c r="A1801" s="42" t="n">
        <v>164</v>
      </c>
      <c r="B1801" s="30" t="inlineStr">
        <is>
          <t>SIN 2025 (pas)</t>
        </is>
      </c>
      <c r="C1801" s="45" t="n">
        <v>0.574807069687674</v>
      </c>
      <c r="D1801" s="30" t="inlineStr">
        <is>
          <t>57,48 %</t>
        </is>
      </c>
      <c r="E1801" s="46" t="inlineStr">
        <is>
          <t>Oui</t>
        </is>
      </c>
    </row>
    <row r="1802">
      <c r="A1802" s="42" t="n">
        <v>164</v>
      </c>
      <c r="B1802" s="28" t="inlineStr">
        <is>
          <t>SIN cot mal</t>
        </is>
      </c>
      <c r="C1802" s="43" t="n">
        <v>2409281030</v>
      </c>
      <c r="D1802" s="28" t="inlineStr">
        <is>
          <t>2 409 281 030 FCFA</t>
        </is>
      </c>
      <c r="E1802" s="44" t="inlineStr">
        <is>
          <t>Oui</t>
        </is>
      </c>
    </row>
    <row r="1803">
      <c r="A1803" s="42" t="n">
        <v>164</v>
      </c>
      <c r="B1803" s="30" t="inlineStr">
        <is>
          <t>SIN cot dec</t>
        </is>
      </c>
      <c r="C1803" s="45" t="n">
        <v>1008860692</v>
      </c>
      <c r="D1803" s="30" t="inlineStr">
        <is>
          <t>1 008 860 692 FCFA</t>
        </is>
      </c>
      <c r="E1803" s="46" t="inlineStr">
        <is>
          <t>Oui</t>
        </is>
      </c>
    </row>
    <row r="1804">
      <c r="A1804" s="42" t="n">
        <v>164</v>
      </c>
      <c r="B1804" s="28" t="inlineStr">
        <is>
          <t>SIN cot autres</t>
        </is>
      </c>
      <c r="C1804" s="43" t="n">
        <v>0</v>
      </c>
      <c r="D1804" s="28" t="inlineStr">
        <is>
          <t>0 FCFA</t>
        </is>
      </c>
      <c r="E1804" s="44" t="inlineStr">
        <is>
          <t>Oui</t>
        </is>
      </c>
    </row>
    <row r="1805">
      <c r="A1805" s="42" t="n">
        <v>164</v>
      </c>
      <c r="B1805" s="30" t="inlineStr">
        <is>
          <t>SIN cot acq</t>
        </is>
      </c>
      <c r="C1805" s="45" t="n">
        <v>3418141722</v>
      </c>
      <c r="D1805" s="30" t="inlineStr">
        <is>
          <t>3 418 141 722 FCFA</t>
        </is>
      </c>
      <c r="E1805" s="46" t="inlineStr">
        <is>
          <t>Oui</t>
        </is>
      </c>
    </row>
    <row r="1806">
      <c r="A1806" s="42" t="n">
        <v>164</v>
      </c>
      <c r="B1806" s="28" t="inlineStr">
        <is>
          <t>SIN prest mal</t>
        </is>
      </c>
      <c r="C1806" s="43" t="n">
        <v>1771635361</v>
      </c>
      <c r="D1806" s="28" t="inlineStr">
        <is>
          <t>1 771 635 361 FCFA</t>
        </is>
      </c>
      <c r="E1806" s="44" t="inlineStr">
        <is>
          <t>Oui</t>
        </is>
      </c>
    </row>
    <row r="1807">
      <c r="A1807" s="42" t="n">
        <v>164</v>
      </c>
      <c r="B1807" s="30" t="inlineStr">
        <is>
          <t>SIN prest dec</t>
        </is>
      </c>
      <c r="C1807" s="45" t="n">
        <v>193136666</v>
      </c>
      <c r="D1807" s="30" t="inlineStr">
        <is>
          <t>193 136 666 FCFA</t>
        </is>
      </c>
      <c r="E1807" s="46" t="inlineStr">
        <is>
          <t>Oui</t>
        </is>
      </c>
    </row>
    <row r="1808">
      <c r="A1808" s="42" t="n">
        <v>164</v>
      </c>
      <c r="B1808" s="28" t="inlineStr">
        <is>
          <t>SIN prest autres</t>
        </is>
      </c>
      <c r="C1808" s="43" t="n">
        <v>0</v>
      </c>
      <c r="D1808" s="28" t="inlineStr">
        <is>
          <t>0 FCFA</t>
        </is>
      </c>
      <c r="E1808" s="44" t="inlineStr">
        <is>
          <t>Oui</t>
        </is>
      </c>
    </row>
    <row r="1809">
      <c r="A1809" s="42" t="n">
        <v>164</v>
      </c>
      <c r="B1809" s="30" t="inlineStr">
        <is>
          <t>SIN charges</t>
        </is>
      </c>
      <c r="C1809" s="45" t="n">
        <v>1964772027</v>
      </c>
      <c r="D1809" s="30" t="inlineStr">
        <is>
          <t>1 964 772 027 FCFA</t>
        </is>
      </c>
      <c r="E1809" s="46" t="inlineStr">
        <is>
          <t>Oui</t>
        </is>
      </c>
    </row>
    <row r="1810">
      <c r="A1810" s="42" t="n">
        <v>164</v>
      </c>
      <c r="B1810" s="28" t="inlineStr">
        <is>
          <t>SIN taux (t)</t>
        </is>
      </c>
      <c r="C1810" s="43" t="n">
        <v>0.574807069687674</v>
      </c>
      <c r="D1810" s="28" t="inlineStr">
        <is>
          <t>57,48 %</t>
        </is>
      </c>
      <c r="E1810" s="44" t="inlineStr">
        <is>
          <t>Oui</t>
        </is>
      </c>
    </row>
    <row r="1811">
      <c r="A1811" s="42" t="n">
        <v>164</v>
      </c>
      <c r="B1811" s="30" t="inlineStr">
        <is>
          <t>S/C maladie 2025 (SIN)</t>
        </is>
      </c>
      <c r="C1811" s="45" t="n">
        <v>0.7353377787563454</v>
      </c>
      <c r="D1811" s="30" t="inlineStr">
        <is>
          <t>73,53 %</t>
        </is>
      </c>
      <c r="E1811" s="46" t="inlineStr">
        <is>
          <t>Oui</t>
        </is>
      </c>
    </row>
    <row r="1812">
      <c r="A1812" s="42" t="n">
        <v>165</v>
      </c>
      <c r="B1812" s="28" t="inlineStr">
        <is>
          <t>MSE exigée 2025</t>
        </is>
      </c>
      <c r="C1812" s="43" t="n">
        <v>566209844.8199999</v>
      </c>
      <c r="D1812" s="28" t="inlineStr">
        <is>
          <t>566 209 845 FCFA</t>
        </is>
      </c>
      <c r="E1812" s="44" t="inlineStr">
        <is>
          <t>Oui</t>
        </is>
      </c>
    </row>
    <row r="1813">
      <c r="A1813" s="42" t="n">
        <v>165</v>
      </c>
      <c r="B1813" s="30" t="inlineStr">
        <is>
          <t>MSE dispo FPPN 2025</t>
        </is>
      </c>
      <c r="C1813" s="45" t="n">
        <v>4396841817</v>
      </c>
      <c r="D1813" s="30" t="inlineStr">
        <is>
          <t>4 396 841 817 FCFA</t>
        </is>
      </c>
      <c r="E1813" s="46" t="inlineStr">
        <is>
          <t>Oui</t>
        </is>
      </c>
    </row>
    <row r="1814">
      <c r="A1814" s="42" t="n">
        <v>165</v>
      </c>
      <c r="B1814" s="28" t="inlineStr">
        <is>
          <t>MSE dispo nette 2025</t>
        </is>
      </c>
      <c r="C1814" s="43" t="n">
        <v>-438242200</v>
      </c>
      <c r="D1814" s="28" t="inlineStr">
        <is>
          <t>-438 242 200 FCFA</t>
        </is>
      </c>
      <c r="E1814" s="44" t="inlineStr">
        <is>
          <t>Oui</t>
        </is>
      </c>
    </row>
    <row r="1815">
      <c r="A1815" s="42" t="n">
        <v>165</v>
      </c>
      <c r="B1815" s="30" t="inlineStr">
        <is>
          <t>MSE cot 2024</t>
        </is>
      </c>
      <c r="C1815" s="45" t="n">
        <v>3145610249</v>
      </c>
      <c r="D1815" s="30" t="inlineStr">
        <is>
          <t>3 145 610 249 FCFA</t>
        </is>
      </c>
      <c r="E1815" s="46" t="inlineStr">
        <is>
          <t>Oui</t>
        </is>
      </c>
    </row>
    <row r="1816">
      <c r="A1816" s="42" t="n">
        <v>165</v>
      </c>
      <c r="B1816" s="28" t="inlineStr">
        <is>
          <t>MSE 18pc</t>
        </is>
      </c>
      <c r="C1816" s="43" t="n">
        <v>566209844.8199999</v>
      </c>
      <c r="D1816" s="28" t="inlineStr">
        <is>
          <t>566 209 845 FCFA</t>
        </is>
      </c>
      <c r="E1816" s="44" t="inlineStr">
        <is>
          <t>Oui</t>
        </is>
      </c>
    </row>
    <row r="1817">
      <c r="A1817" s="42" t="n">
        <v>165</v>
      </c>
      <c r="B1817" s="30" t="inlineStr">
        <is>
          <t>MSE 26pc</t>
        </is>
      </c>
      <c r="C1817" s="45" t="n">
        <v>290598477</v>
      </c>
      <c r="D1817" s="30" t="inlineStr">
        <is>
          <t>290 598 477 FCFA</t>
        </is>
      </c>
      <c r="E1817" s="46" t="inlineStr">
        <is>
          <t>Oui</t>
        </is>
      </c>
    </row>
    <row r="1818">
      <c r="A1818" s="42" t="n">
        <v>165</v>
      </c>
      <c r="B1818" s="28" t="inlineStr">
        <is>
          <t>MSE exigée (t)</t>
        </is>
      </c>
      <c r="C1818" s="43" t="n">
        <v>566209844.8199999</v>
      </c>
      <c r="D1818" s="28" t="inlineStr">
        <is>
          <t>566 209 845 FCFA</t>
        </is>
      </c>
      <c r="E1818" s="44" t="inlineStr">
        <is>
          <t>Oui</t>
        </is>
      </c>
    </row>
    <row r="1819">
      <c r="A1819" s="42" t="n">
        <v>165</v>
      </c>
      <c r="B1819" s="30" t="inlineStr">
        <is>
          <t>MSE 111</t>
        </is>
      </c>
      <c r="C1819" s="45" t="n">
        <v>820232819</v>
      </c>
      <c r="D1819" s="30" t="inlineStr">
        <is>
          <t>820 232 819 FCFA</t>
        </is>
      </c>
      <c r="E1819" s="46" t="inlineStr">
        <is>
          <t>Oui</t>
        </is>
      </c>
    </row>
    <row r="1820">
      <c r="A1820" s="42" t="n">
        <v>165</v>
      </c>
      <c r="B1820" s="28" t="inlineStr">
        <is>
          <t>MSE 1188</t>
        </is>
      </c>
      <c r="C1820" s="43" t="n">
        <v>677208998</v>
      </c>
      <c r="D1820" s="28" t="inlineStr">
        <is>
          <t>677 208 998 FCFA</t>
        </is>
      </c>
      <c r="E1820" s="44" t="inlineStr">
        <is>
          <t>Oui</t>
        </is>
      </c>
    </row>
    <row r="1821">
      <c r="A1821" s="42" t="n">
        <v>165</v>
      </c>
      <c r="B1821" s="30" t="inlineStr">
        <is>
          <t>MSE 106</t>
        </is>
      </c>
      <c r="C1821" s="45" t="n">
        <v>2899400000</v>
      </c>
      <c r="D1821" s="30" t="inlineStr">
        <is>
          <t>2 899 400 000 FCFA</t>
        </is>
      </c>
      <c r="E1821" s="46" t="inlineStr">
        <is>
          <t>Oui</t>
        </is>
      </c>
    </row>
    <row r="1822">
      <c r="A1822" s="42" t="n">
        <v>165</v>
      </c>
      <c r="B1822" s="28" t="inlineStr">
        <is>
          <t>MSE dispo (t)</t>
        </is>
      </c>
      <c r="C1822" s="43" t="n">
        <v>4396841817</v>
      </c>
      <c r="D1822" s="28" t="inlineStr">
        <is>
          <t>4 396 841 817 FCFA</t>
        </is>
      </c>
      <c r="E1822" s="44" t="inlineStr">
        <is>
          <t>Oui</t>
        </is>
      </c>
    </row>
    <row r="1823">
      <c r="A1823" s="42" t="n">
        <v>165</v>
      </c>
      <c r="B1823" s="30" t="inlineStr">
        <is>
          <t>MSE pertes</t>
        </is>
      </c>
      <c r="C1823" s="45" t="n">
        <v>-4835084017</v>
      </c>
      <c r="D1823" s="30" t="inlineStr">
        <is>
          <t>-4 835 084 017 FCFA</t>
        </is>
      </c>
      <c r="E1823" s="46" t="inlineStr">
        <is>
          <t>Oui</t>
        </is>
      </c>
    </row>
    <row r="1824">
      <c r="A1824" s="42" t="n">
        <v>165</v>
      </c>
      <c r="B1824" s="28" t="inlineStr">
        <is>
          <t>MSE nette (t)</t>
        </is>
      </c>
      <c r="C1824" s="43" t="n">
        <v>-438242200</v>
      </c>
      <c r="D1824" s="28" t="inlineStr">
        <is>
          <t>-438 242 200 FCFA</t>
        </is>
      </c>
      <c r="E1824" s="44" t="inlineStr">
        <is>
          <t>Oui</t>
        </is>
      </c>
    </row>
    <row r="1825">
      <c r="A1825" s="42" t="n">
        <v>165</v>
      </c>
      <c r="B1825" s="30" t="inlineStr">
        <is>
          <t>MSE 2025</t>
        </is>
      </c>
      <c r="C1825" s="45" t="n">
        <v>7.765392737736256</v>
      </c>
      <c r="D1825" s="30" t="inlineStr">
        <is>
          <t>7,77</t>
        </is>
      </c>
      <c r="E1825" s="46" t="inlineStr">
        <is>
          <t>Oui</t>
        </is>
      </c>
    </row>
    <row r="1826">
      <c r="A1826" s="42" t="n">
        <v>165</v>
      </c>
      <c r="B1826" s="28" t="inlineStr">
        <is>
          <t>MSE 2025 retraité</t>
        </is>
      </c>
      <c r="C1826" s="43" t="n">
        <v>-0.7739925471259136</v>
      </c>
      <c r="D1826" s="28" t="inlineStr">
        <is>
          <t>-0,77</t>
        </is>
      </c>
      <c r="E1826" s="44" t="inlineStr">
        <is>
          <t>Oui</t>
        </is>
      </c>
    </row>
    <row r="1827">
      <c r="A1827" s="42" t="n">
        <v>165</v>
      </c>
      <c r="B1827" s="30" t="inlineStr">
        <is>
          <t>Fonds établissement min 2025</t>
        </is>
      </c>
      <c r="C1827" s="45" t="n">
        <v>188736614.94</v>
      </c>
      <c r="D1827" s="30" t="inlineStr">
        <is>
          <t>188 736 615 FCFA</t>
        </is>
      </c>
      <c r="E1827" s="46" t="inlineStr">
        <is>
          <t>Oui</t>
        </is>
      </c>
    </row>
    <row r="1828">
      <c r="A1828" s="42" t="n">
        <v>166</v>
      </c>
      <c r="B1828" s="28" t="inlineStr">
        <is>
          <t>ROB 111 2025</t>
        </is>
      </c>
      <c r="C1828" s="43" t="n">
        <v>820232819</v>
      </c>
      <c r="D1828" s="28" t="inlineStr">
        <is>
          <t>820 232 819 FCFA</t>
        </is>
      </c>
      <c r="E1828" s="44" t="inlineStr">
        <is>
          <t>Oui</t>
        </is>
      </c>
    </row>
    <row r="1829">
      <c r="A1829" s="42" t="n">
        <v>166</v>
      </c>
      <c r="B1829" s="30" t="inlineStr">
        <is>
          <t>ROB prest 2025</t>
        </is>
      </c>
      <c r="C1829" s="45" t="n">
        <v>1964772027</v>
      </c>
      <c r="D1829" s="30" t="inlineStr">
        <is>
          <t>1 964 772 027 FCFA</t>
        </is>
      </c>
      <c r="E1829" s="46" t="inlineStr">
        <is>
          <t>Oui</t>
        </is>
      </c>
    </row>
    <row r="1830">
      <c r="A1830" s="42" t="n">
        <v>166</v>
      </c>
      <c r="B1830" s="28" t="inlineStr">
        <is>
          <t>ROB 2025 (pas)</t>
        </is>
      </c>
      <c r="C1830" s="43" t="n">
        <v>5.00963658518129</v>
      </c>
      <c r="D1830" s="28" t="inlineStr">
        <is>
          <t>5,01</t>
        </is>
      </c>
      <c r="E1830" s="44" t="inlineStr">
        <is>
          <t>Oui</t>
        </is>
      </c>
    </row>
    <row r="1831">
      <c r="A1831" s="42" t="n">
        <v>166</v>
      </c>
      <c r="B1831" s="30" t="inlineStr">
        <is>
          <t>ROB 111 (t)</t>
        </is>
      </c>
      <c r="C1831" s="45" t="n">
        <v>820232819</v>
      </c>
      <c r="D1831" s="30" t="inlineStr">
        <is>
          <t>820 232 819 FCFA</t>
        </is>
      </c>
      <c r="E1831" s="46" t="inlineStr">
        <is>
          <t>Oui</t>
        </is>
      </c>
    </row>
    <row r="1832">
      <c r="A1832" s="42" t="n">
        <v>166</v>
      </c>
      <c r="B1832" s="28" t="inlineStr">
        <is>
          <t>ROB prest (t)</t>
        </is>
      </c>
      <c r="C1832" s="43" t="n">
        <v>1964772027</v>
      </c>
      <c r="D1832" s="28" t="inlineStr">
        <is>
          <t>1 964 772 027 FCFA</t>
        </is>
      </c>
      <c r="E1832" s="44" t="inlineStr">
        <is>
          <t>Oui</t>
        </is>
      </c>
    </row>
    <row r="1833">
      <c r="A1833" s="42" t="n">
        <v>166</v>
      </c>
      <c r="B1833" s="30" t="inlineStr">
        <is>
          <t>ROB ratio (t)</t>
        </is>
      </c>
      <c r="C1833" s="45" t="n">
        <v>5.00963658518129</v>
      </c>
      <c r="D1833" s="30" t="inlineStr">
        <is>
          <t>5,01</t>
        </is>
      </c>
      <c r="E1833" s="46" t="inlineStr">
        <is>
          <t>Oui</t>
        </is>
      </c>
    </row>
    <row r="1834">
      <c r="A1834" s="42" t="n">
        <v>166</v>
      </c>
      <c r="B1834" s="28" t="inlineStr">
        <is>
          <t>ROB besoin 6 mois</t>
        </is>
      </c>
      <c r="C1834" s="43" t="n">
        <v>982386013.5</v>
      </c>
      <c r="D1834" s="28" t="inlineStr">
        <is>
          <t>982 386 014 FCFA</t>
        </is>
      </c>
      <c r="E1834" s="44" t="inlineStr">
        <is>
          <t>Oui</t>
        </is>
      </c>
    </row>
    <row r="1835">
      <c r="A1835" s="42" t="n">
        <v>166</v>
      </c>
      <c r="B1835" s="30" t="inlineStr">
        <is>
          <t>ROB écart</t>
        </is>
      </c>
      <c r="C1835" s="45" t="n">
        <v>162153194.5</v>
      </c>
      <c r="D1835" s="30" t="inlineStr">
        <is>
          <t>162 153 194 FCFA</t>
        </is>
      </c>
      <c r="E1835" s="46" t="inlineStr">
        <is>
          <t>Oui</t>
        </is>
      </c>
    </row>
    <row r="1836">
      <c r="A1836" s="42" t="n">
        <v>166</v>
      </c>
      <c r="B1836" s="28" t="inlineStr">
        <is>
          <t>ROB 2023 (a)</t>
        </is>
      </c>
      <c r="C1836" s="43" t="n">
        <v>3.245000870920969</v>
      </c>
      <c r="D1836" s="28" t="inlineStr">
        <is>
          <t>3,25</t>
        </is>
      </c>
      <c r="E1836" s="44" t="inlineStr">
        <is>
          <t>Oui</t>
        </is>
      </c>
    </row>
    <row r="1837">
      <c r="A1837" s="42" t="n">
        <v>166</v>
      </c>
      <c r="B1837" s="30" t="inlineStr">
        <is>
          <t>ROB 2025 (a)</t>
        </is>
      </c>
      <c r="C1837" s="45" t="n">
        <v>5.00963658518129</v>
      </c>
      <c r="D1837" s="30" t="inlineStr">
        <is>
          <t>5,01</t>
        </is>
      </c>
      <c r="E1837" s="46" t="inlineStr">
        <is>
          <t>Oui</t>
        </is>
      </c>
    </row>
    <row r="1838">
      <c r="A1838" s="42" t="n">
        <v>167</v>
      </c>
      <c r="B1838" s="28" t="inlineStr">
        <is>
          <t>FEP num 2025</t>
        </is>
      </c>
      <c r="C1838" s="43" t="n">
        <v>4391056090</v>
      </c>
      <c r="D1838" s="28" t="inlineStr">
        <is>
          <t>4 391 056 090 FCFA</t>
        </is>
      </c>
      <c r="E1838" s="44" t="inlineStr">
        <is>
          <t>Oui</t>
        </is>
      </c>
    </row>
    <row r="1839">
      <c r="A1839" s="42" t="n">
        <v>167</v>
      </c>
      <c r="B1839" s="30" t="inlineStr">
        <is>
          <t>FEP den 2025</t>
        </is>
      </c>
      <c r="C1839" s="45" t="n">
        <v>20393111235</v>
      </c>
      <c r="D1839" s="30" t="inlineStr">
        <is>
          <t>20 393 111 235 FCFA</t>
        </is>
      </c>
      <c r="E1839" s="46" t="inlineStr">
        <is>
          <t>Oui</t>
        </is>
      </c>
    </row>
    <row r="1840">
      <c r="A1840" s="42" t="n">
        <v>167</v>
      </c>
      <c r="B1840" s="28" t="inlineStr">
        <is>
          <t>FEP 2025 (pas)</t>
        </is>
      </c>
      <c r="C1840" s="43" t="n">
        <v>0.2153205579766456</v>
      </c>
      <c r="D1840" s="28" t="inlineStr">
        <is>
          <t>0,22</t>
        </is>
      </c>
      <c r="E1840" s="44" t="inlineStr">
        <is>
          <t>Oui</t>
        </is>
      </c>
    </row>
    <row r="1841">
      <c r="A1841" s="42" t="n">
        <v>167</v>
      </c>
      <c r="B1841" s="30" t="inlineStr">
        <is>
          <t>FEP FP</t>
        </is>
      </c>
      <c r="C1841" s="45" t="n">
        <v>-438242200</v>
      </c>
      <c r="D1841" s="30" t="inlineStr">
        <is>
          <t>-438 242 200 FCFA</t>
        </is>
      </c>
      <c r="E1841" s="46" t="inlineStr">
        <is>
          <t>Oui</t>
        </is>
      </c>
    </row>
    <row r="1842">
      <c r="A1842" s="42" t="n">
        <v>167</v>
      </c>
      <c r="B1842" s="28" t="inlineStr">
        <is>
          <t>FEP prov</t>
        </is>
      </c>
      <c r="C1842" s="43" t="n">
        <v>4829298290</v>
      </c>
      <c r="D1842" s="28" t="inlineStr">
        <is>
          <t>4 829 298 290 FCFA</t>
        </is>
      </c>
      <c r="E1842" s="44" t="inlineStr">
        <is>
          <t>Oui</t>
        </is>
      </c>
    </row>
    <row r="1843">
      <c r="A1843" s="42" t="n">
        <v>167</v>
      </c>
      <c r="B1843" s="30" t="inlineStr">
        <is>
          <t>FEP num (t)</t>
        </is>
      </c>
      <c r="C1843" s="45" t="n">
        <v>4391056090</v>
      </c>
      <c r="D1843" s="30" t="inlineStr">
        <is>
          <t>4 391 056 090 FCFA</t>
        </is>
      </c>
      <c r="E1843" s="46" t="inlineStr">
        <is>
          <t>Oui</t>
        </is>
      </c>
    </row>
    <row r="1844">
      <c r="A1844" s="42" t="n">
        <v>167</v>
      </c>
      <c r="B1844" s="28" t="inlineStr">
        <is>
          <t>FEP dettes CT</t>
        </is>
      </c>
      <c r="C1844" s="43" t="n">
        <v>15520146267</v>
      </c>
      <c r="D1844" s="28" t="inlineStr">
        <is>
          <t>15 520 146 267 FCFA</t>
        </is>
      </c>
      <c r="E1844" s="44" t="inlineStr">
        <is>
          <t>Oui</t>
        </is>
      </c>
    </row>
    <row r="1845">
      <c r="A1845" s="42" t="n">
        <v>167</v>
      </c>
      <c r="B1845" s="30" t="inlineStr">
        <is>
          <t>FEP épargne</t>
        </is>
      </c>
      <c r="C1845" s="45" t="n">
        <v>13814066964</v>
      </c>
      <c r="D1845" s="30" t="inlineStr">
        <is>
          <t>13 814 066 964 FCFA</t>
        </is>
      </c>
      <c r="E1845" s="46" t="inlineStr">
        <is>
          <t>Oui</t>
        </is>
      </c>
    </row>
    <row r="1846">
      <c r="A1846" s="42" t="n">
        <v>167</v>
      </c>
      <c r="B1846" s="28" t="inlineStr">
        <is>
          <t>FEP autres</t>
        </is>
      </c>
      <c r="C1846" s="43" t="n">
        <v>4872964968</v>
      </c>
      <c r="D1846" s="28" t="inlineStr">
        <is>
          <t>4 872 964 968 FCFA</t>
        </is>
      </c>
      <c r="E1846" s="44" t="inlineStr">
        <is>
          <t>Oui</t>
        </is>
      </c>
    </row>
    <row r="1847">
      <c r="A1847" s="42" t="n">
        <v>167</v>
      </c>
      <c r="B1847" s="30" t="inlineStr">
        <is>
          <t>FEP den (t)</t>
        </is>
      </c>
      <c r="C1847" s="45" t="n">
        <v>20393111235</v>
      </c>
      <c r="D1847" s="30" t="inlineStr">
        <is>
          <t>20 393 111 235 FCFA</t>
        </is>
      </c>
      <c r="E1847" s="46" t="inlineStr">
        <is>
          <t>Oui</t>
        </is>
      </c>
    </row>
    <row r="1848">
      <c r="A1848" s="42" t="n">
        <v>167</v>
      </c>
      <c r="B1848" s="28" t="inlineStr">
        <is>
          <t>FEP ratio (t)</t>
        </is>
      </c>
      <c r="C1848" s="43" t="n">
        <v>0.2153205579766456</v>
      </c>
      <c r="D1848" s="28" t="inlineStr">
        <is>
          <t>0,22</t>
        </is>
      </c>
      <c r="E1848" s="44" t="inlineStr">
        <is>
          <t>Oui</t>
        </is>
      </c>
    </row>
    <row r="1849">
      <c r="A1849" s="42" t="n">
        <v>167</v>
      </c>
      <c r="B1849" s="30" t="inlineStr">
        <is>
          <t>FEP 2022 (a)</t>
        </is>
      </c>
      <c r="C1849" s="45" t="n">
        <v>0.1335617058972045</v>
      </c>
      <c r="D1849" s="30" t="inlineStr">
        <is>
          <t>0,13</t>
        </is>
      </c>
      <c r="E1849" s="46" t="inlineStr">
        <is>
          <t>Oui</t>
        </is>
      </c>
    </row>
    <row r="1850">
      <c r="A1850" s="42" t="n">
        <v>167</v>
      </c>
      <c r="B1850" s="28" t="inlineStr">
        <is>
          <t>FEP 2025 (a)</t>
        </is>
      </c>
      <c r="C1850" s="43" t="n">
        <v>0.2153205579766456</v>
      </c>
      <c r="D1850" s="28" t="inlineStr">
        <is>
          <t>0,22</t>
        </is>
      </c>
      <c r="E1850" s="44" t="inlineStr">
        <is>
          <t>Oui</t>
        </is>
      </c>
    </row>
    <row r="1851">
      <c r="A1851" s="42" t="n">
        <v>168</v>
      </c>
      <c r="B1851" s="30" t="inlineStr">
        <is>
          <t>LIQ 2025</t>
        </is>
      </c>
      <c r="C1851" s="45" t="n">
        <v>0.1265562520616417</v>
      </c>
      <c r="D1851" s="30" t="inlineStr">
        <is>
          <t>0,13</t>
        </is>
      </c>
      <c r="E1851" s="46" t="inlineStr">
        <is>
          <t>Oui</t>
        </is>
      </c>
    </row>
    <row r="1852">
      <c r="A1852" s="42" t="n">
        <v>168</v>
      </c>
      <c r="B1852" s="28" t="inlineStr">
        <is>
          <t>LIQ 2025 retraité</t>
        </is>
      </c>
      <c r="C1852" s="43" t="n">
        <v>1.151277985464196</v>
      </c>
      <c r="D1852" s="28" t="inlineStr">
        <is>
          <t>1,15</t>
        </is>
      </c>
      <c r="E1852" s="44" t="inlineStr">
        <is>
          <t>Oui</t>
        </is>
      </c>
    </row>
    <row r="1853">
      <c r="A1853" s="42" t="n">
        <v>168</v>
      </c>
      <c r="B1853" s="30" t="inlineStr">
        <is>
          <t>RL2 2025</t>
        </is>
      </c>
      <c r="C1853" s="45" t="n">
        <v>0.1749344871042123</v>
      </c>
      <c r="D1853" s="30" t="inlineStr">
        <is>
          <t>0,17</t>
        </is>
      </c>
      <c r="E1853" s="46" t="inlineStr">
        <is>
          <t>Oui</t>
        </is>
      </c>
    </row>
    <row r="1854">
      <c r="A1854" s="42" t="n">
        <v>168</v>
      </c>
      <c r="B1854" s="28" t="inlineStr">
        <is>
          <t>RL2 2025 retraité</t>
        </is>
      </c>
      <c r="C1854" s="43" t="n">
        <v>1.591373169011476</v>
      </c>
      <c r="D1854" s="28" t="inlineStr">
        <is>
          <t>1,59</t>
        </is>
      </c>
      <c r="E1854" s="44" t="inlineStr">
        <is>
          <t>Oui</t>
        </is>
      </c>
    </row>
    <row r="1855">
      <c r="A1855" s="42" t="n">
        <v>168</v>
      </c>
      <c r="B1855" s="30" t="inlineStr">
        <is>
          <t>LIQ tréso</t>
        </is>
      </c>
      <c r="C1855" s="45" t="n">
        <v>1964171543</v>
      </c>
      <c r="D1855" s="30" t="inlineStr">
        <is>
          <t>1 964 171 543 FCFA</t>
        </is>
      </c>
      <c r="E1855" s="46" t="inlineStr">
        <is>
          <t>Oui</t>
        </is>
      </c>
    </row>
    <row r="1856">
      <c r="A1856" s="42" t="n">
        <v>168</v>
      </c>
      <c r="B1856" s="28" t="inlineStr">
        <is>
          <t>LIQ créances</t>
        </is>
      </c>
      <c r="C1856" s="43" t="n">
        <v>750837284</v>
      </c>
      <c r="D1856" s="28" t="inlineStr">
        <is>
          <t>750 837 284 FCFA</t>
        </is>
      </c>
      <c r="E1856" s="44" t="inlineStr">
        <is>
          <t>Oui</t>
        </is>
      </c>
    </row>
    <row r="1857">
      <c r="A1857" s="42" t="n">
        <v>168</v>
      </c>
      <c r="B1857" s="30" t="inlineStr">
        <is>
          <t>LIQ dettes</t>
        </is>
      </c>
      <c r="C1857" s="45" t="n">
        <v>15520146267</v>
      </c>
      <c r="D1857" s="30" t="inlineStr">
        <is>
          <t>15 520 146 267 FCFA</t>
        </is>
      </c>
      <c r="E1857" s="46" t="inlineStr">
        <is>
          <t>Oui</t>
        </is>
      </c>
    </row>
    <row r="1858">
      <c r="A1858" s="42" t="n">
        <v>168</v>
      </c>
      <c r="B1858" s="28" t="inlineStr">
        <is>
          <t>LIQ épargne</t>
        </is>
      </c>
      <c r="C1858" s="43" t="n">
        <v>13814066964</v>
      </c>
      <c r="D1858" s="28" t="inlineStr">
        <is>
          <t>13 814 066 964 FCFA</t>
        </is>
      </c>
      <c r="E1858" s="44" t="inlineStr">
        <is>
          <t>Oui</t>
        </is>
      </c>
    </row>
    <row r="1859">
      <c r="A1859" s="42" t="n">
        <v>168</v>
      </c>
      <c r="B1859" s="30" t="inlineStr">
        <is>
          <t>LIQ dettes hors ép</t>
        </is>
      </c>
      <c r="C1859" s="45" t="n">
        <v>1706079303</v>
      </c>
      <c r="D1859" s="30" t="inlineStr">
        <is>
          <t>1 706 079 303 FCFA</t>
        </is>
      </c>
      <c r="E1859" s="46" t="inlineStr">
        <is>
          <t>Oui</t>
        </is>
      </c>
    </row>
    <row r="1860">
      <c r="A1860" s="42" t="n">
        <v>168</v>
      </c>
      <c r="B1860" s="28" t="inlineStr">
        <is>
          <t>LIQ 2025</t>
        </is>
      </c>
      <c r="C1860" s="43" t="n">
        <v>0.1265562520616417</v>
      </c>
      <c r="D1860" s="28" t="inlineStr">
        <is>
          <t>0,13</t>
        </is>
      </c>
      <c r="E1860" s="44" t="inlineStr">
        <is>
          <t>Oui</t>
        </is>
      </c>
    </row>
    <row r="1861">
      <c r="A1861" s="42" t="n">
        <v>168</v>
      </c>
      <c r="B1861" s="30" t="inlineStr">
        <is>
          <t>LIQ 2025 retraité</t>
        </is>
      </c>
      <c r="C1861" s="45" t="n">
        <v>1.151277985464196</v>
      </c>
      <c r="D1861" s="30" t="inlineStr">
        <is>
          <t>1,15</t>
        </is>
      </c>
      <c r="E1861" s="46" t="inlineStr">
        <is>
          <t>Oui</t>
        </is>
      </c>
    </row>
    <row r="1862">
      <c r="A1862" s="42" t="n">
        <v>169</v>
      </c>
      <c r="B1862" s="28" t="inlineStr">
        <is>
          <t>EQS 2025</t>
        </is>
      </c>
      <c r="C1862" s="43" t="n">
        <v>1.536687732810269</v>
      </c>
      <c r="D1862" s="28" t="inlineStr">
        <is>
          <t>1,54</t>
        </is>
      </c>
      <c r="E1862" s="44" t="inlineStr">
        <is>
          <t>Oui</t>
        </is>
      </c>
    </row>
    <row r="1863">
      <c r="A1863" s="42" t="n">
        <v>169</v>
      </c>
      <c r="B1863" s="30" t="inlineStr">
        <is>
          <t>EQS 2025 retraité</t>
        </is>
      </c>
      <c r="C1863" s="45" t="n">
        <v>0.9447125240184668</v>
      </c>
      <c r="D1863" s="30" t="inlineStr">
        <is>
          <t>0,94</t>
        </is>
      </c>
      <c r="E1863" s="46" t="inlineStr">
        <is>
          <t>Oui</t>
        </is>
      </c>
    </row>
    <row r="1864">
      <c r="A1864" s="42" t="n">
        <v>169</v>
      </c>
      <c r="B1864" s="28" t="inlineStr">
        <is>
          <t>EQS immo</t>
        </is>
      </c>
      <c r="C1864" s="43" t="n">
        <v>6814784076</v>
      </c>
      <c r="D1864" s="28" t="inlineStr">
        <is>
          <t>6 814 784 076 FCFA</t>
        </is>
      </c>
      <c r="E1864" s="44" t="inlineStr">
        <is>
          <t>Oui</t>
        </is>
      </c>
    </row>
    <row r="1865">
      <c r="A1865" s="42" t="n">
        <v>169</v>
      </c>
      <c r="B1865" s="30" t="inlineStr">
        <is>
          <t>EQS avances</t>
        </is>
      </c>
      <c r="C1865" s="45" t="n">
        <v>10425076132</v>
      </c>
      <c r="D1865" s="30" t="inlineStr">
        <is>
          <t>10 425 076 132 FCFA</t>
        </is>
      </c>
      <c r="E1865" s="46" t="inlineStr">
        <is>
          <t>Oui</t>
        </is>
      </c>
    </row>
    <row r="1866">
      <c r="A1866" s="42" t="n">
        <v>169</v>
      </c>
      <c r="B1866" s="28" t="inlineStr">
        <is>
          <t>EQS ress</t>
        </is>
      </c>
      <c r="C1866" s="43" t="n">
        <v>4434722768</v>
      </c>
      <c r="D1866" s="28" t="inlineStr">
        <is>
          <t>4 434 722 768 FCFA</t>
        </is>
      </c>
      <c r="E1866" s="44" t="inlineStr">
        <is>
          <t>Oui</t>
        </is>
      </c>
    </row>
    <row r="1867">
      <c r="A1867" s="42" t="n">
        <v>169</v>
      </c>
      <c r="B1867" s="30" t="inlineStr">
        <is>
          <t>EQS épargne</t>
        </is>
      </c>
      <c r="C1867" s="45" t="n">
        <v>13814066964</v>
      </c>
      <c r="D1867" s="30" t="inlineStr">
        <is>
          <t>13 814 066 964 FCFA</t>
        </is>
      </c>
      <c r="E1867" s="46" t="inlineStr">
        <is>
          <t>Oui</t>
        </is>
      </c>
    </row>
    <row r="1868">
      <c r="A1868" s="42" t="n">
        <v>169</v>
      </c>
      <c r="B1868" s="28" t="inlineStr">
        <is>
          <t>EQS 2025</t>
        </is>
      </c>
      <c r="C1868" s="43" t="n">
        <v>1.536687732810269</v>
      </c>
      <c r="D1868" s="28" t="inlineStr">
        <is>
          <t>1,54</t>
        </is>
      </c>
      <c r="E1868" s="44" t="inlineStr">
        <is>
          <t>Oui</t>
        </is>
      </c>
    </row>
    <row r="1869">
      <c r="A1869" s="42" t="n">
        <v>169</v>
      </c>
      <c r="B1869" s="30" t="inlineStr">
        <is>
          <t>EQS 2025 retraité</t>
        </is>
      </c>
      <c r="C1869" s="45" t="n">
        <v>0.9447125240184668</v>
      </c>
      <c r="D1869" s="30" t="inlineStr">
        <is>
          <t>0,94</t>
        </is>
      </c>
      <c r="E1869" s="46" t="inlineStr">
        <is>
          <t>Oui</t>
        </is>
      </c>
    </row>
    <row r="1870">
      <c r="A1870" s="42" t="n">
        <v>170</v>
      </c>
      <c r="B1870" s="28" t="inlineStr">
        <is>
          <t>EXN num 2025</t>
        </is>
      </c>
      <c r="C1870" s="43" t="n">
        <v>437899911</v>
      </c>
      <c r="D1870" s="28" t="inlineStr">
        <is>
          <t>437 899 911 FCFA</t>
        </is>
      </c>
      <c r="E1870" s="44" t="inlineStr">
        <is>
          <t>Oui</t>
        </is>
      </c>
    </row>
    <row r="1871">
      <c r="A1871" s="42" t="n">
        <v>170</v>
      </c>
      <c r="B1871" s="30" t="inlineStr">
        <is>
          <t>EXN den 2025</t>
        </is>
      </c>
      <c r="C1871" s="45" t="n">
        <v>3418141722</v>
      </c>
      <c r="D1871" s="30" t="inlineStr">
        <is>
          <t>3 418 141 722 FCFA</t>
        </is>
      </c>
      <c r="E1871" s="46" t="inlineStr">
        <is>
          <t>Oui</t>
        </is>
      </c>
    </row>
    <row r="1872">
      <c r="A1872" s="42" t="n">
        <v>170</v>
      </c>
      <c r="B1872" s="28" t="inlineStr">
        <is>
          <t>EXN 2025 (pas)</t>
        </is>
      </c>
      <c r="C1872" s="43" t="n">
        <v>0.1281105192864206</v>
      </c>
      <c r="D1872" s="28" t="inlineStr">
        <is>
          <t>12,81 %</t>
        </is>
      </c>
      <c r="E1872" s="44" t="inlineStr">
        <is>
          <t>Oui</t>
        </is>
      </c>
    </row>
    <row r="1873">
      <c r="A1873" s="42" t="n">
        <v>170</v>
      </c>
      <c r="B1873" s="30" t="inlineStr">
        <is>
          <t>EXN produits</t>
        </is>
      </c>
      <c r="C1873" s="45" t="n">
        <v>3671499865</v>
      </c>
      <c r="D1873" s="30" t="inlineStr">
        <is>
          <t>3 671 499 865 FCFA</t>
        </is>
      </c>
      <c r="E1873" s="46" t="inlineStr">
        <is>
          <t>Oui</t>
        </is>
      </c>
    </row>
    <row r="1874">
      <c r="A1874" s="42" t="n">
        <v>170</v>
      </c>
      <c r="B1874" s="28" t="inlineStr">
        <is>
          <t>EXN charges</t>
        </is>
      </c>
      <c r="C1874" s="43" t="n">
        <v>3250431812</v>
      </c>
      <c r="D1874" s="28" t="inlineStr">
        <is>
          <t>3 250 431 812 FCFA</t>
        </is>
      </c>
      <c r="E1874" s="44" t="inlineStr">
        <is>
          <t>Oui</t>
        </is>
      </c>
    </row>
    <row r="1875">
      <c r="A1875" s="42" t="n">
        <v>170</v>
      </c>
      <c r="B1875" s="30" t="inlineStr">
        <is>
          <t>EXN hao</t>
        </is>
      </c>
      <c r="C1875" s="45" t="n">
        <v>16831858</v>
      </c>
      <c r="D1875" s="30" t="inlineStr">
        <is>
          <t>16 831 858 FCFA</t>
        </is>
      </c>
      <c r="E1875" s="46" t="inlineStr">
        <is>
          <t>Oui</t>
        </is>
      </c>
    </row>
    <row r="1876">
      <c r="A1876" s="42" t="n">
        <v>170</v>
      </c>
      <c r="B1876" s="28" t="inlineStr">
        <is>
          <t>EXN excédent</t>
        </is>
      </c>
      <c r="C1876" s="43" t="n">
        <v>437899911</v>
      </c>
      <c r="D1876" s="28" t="inlineStr">
        <is>
          <t>437 899 911 FCFA</t>
        </is>
      </c>
      <c r="E1876" s="44" t="inlineStr">
        <is>
          <t>Oui</t>
        </is>
      </c>
    </row>
    <row r="1877">
      <c r="A1877" s="42" t="n">
        <v>170</v>
      </c>
      <c r="B1877" s="30" t="inlineStr">
        <is>
          <t>EXN cot</t>
        </is>
      </c>
      <c r="C1877" s="45" t="n">
        <v>3418141722</v>
      </c>
      <c r="D1877" s="30" t="inlineStr">
        <is>
          <t>3 418 141 722 FCFA</t>
        </is>
      </c>
      <c r="E1877" s="46" t="inlineStr">
        <is>
          <t>Oui</t>
        </is>
      </c>
    </row>
    <row r="1878">
      <c r="A1878" s="42" t="n">
        <v>170</v>
      </c>
      <c r="B1878" s="28" t="inlineStr">
        <is>
          <t>EXN taux (t)</t>
        </is>
      </c>
      <c r="C1878" s="43" t="n">
        <v>0.1281105192864206</v>
      </c>
      <c r="D1878" s="28" t="inlineStr">
        <is>
          <t>12,81 %</t>
        </is>
      </c>
      <c r="E1878" s="44" t="inlineStr">
        <is>
          <t>Oui</t>
        </is>
      </c>
    </row>
    <row r="1879">
      <c r="A1879" s="42" t="n">
        <v>171</v>
      </c>
      <c r="B1879" s="30" t="inlineStr">
        <is>
          <t>CHF 2025 (synth)</t>
        </is>
      </c>
      <c r="C1879" s="45" t="n">
        <v>0.3633533094915952</v>
      </c>
      <c r="D1879" s="30" t="inlineStr">
        <is>
          <t>36,34 %</t>
        </is>
      </c>
      <c r="E1879" s="46" t="inlineStr">
        <is>
          <t>Oui</t>
        </is>
      </c>
    </row>
    <row r="1880">
      <c r="A1880" s="42" t="n">
        <v>171</v>
      </c>
      <c r="B1880" s="28" t="inlineStr">
        <is>
          <t>CHB 2025 (synth)</t>
        </is>
      </c>
      <c r="C1880" s="43" t="n">
        <v>0.3485748792557832</v>
      </c>
      <c r="D1880" s="28" t="inlineStr">
        <is>
          <t>34,86 %</t>
        </is>
      </c>
      <c r="E1880" s="44" t="inlineStr">
        <is>
          <t>Oui</t>
        </is>
      </c>
    </row>
    <row r="1881">
      <c r="A1881" s="42" t="n">
        <v>171</v>
      </c>
      <c r="B1881" s="30" t="inlineStr">
        <is>
          <t>CUP 2025 (synth)</t>
        </is>
      </c>
      <c r="C1881" s="45" t="n">
        <v>0.6321308986144274</v>
      </c>
      <c r="D1881" s="30" t="inlineStr">
        <is>
          <t>63,21 %</t>
        </is>
      </c>
      <c r="E1881" s="46" t="inlineStr">
        <is>
          <t>Oui</t>
        </is>
      </c>
    </row>
    <row r="1882">
      <c r="A1882" s="42" t="n">
        <v>171</v>
      </c>
      <c r="B1882" s="28" t="inlineStr">
        <is>
          <t>CHF num</t>
        </is>
      </c>
      <c r="C1882" s="43" t="n">
        <v>1241993107</v>
      </c>
      <c r="D1882" s="28" t="inlineStr">
        <is>
          <t>1 241 993 107 FCFA</t>
        </is>
      </c>
      <c r="E1882" s="44" t="inlineStr">
        <is>
          <t>Oui</t>
        </is>
      </c>
    </row>
    <row r="1883">
      <c r="A1883" s="42" t="n">
        <v>171</v>
      </c>
      <c r="B1883" s="30" t="inlineStr">
        <is>
          <t>CHF den</t>
        </is>
      </c>
      <c r="C1883" s="45" t="n">
        <v>3418141722</v>
      </c>
      <c r="D1883" s="30" t="inlineStr">
        <is>
          <t>3 418 141 722 FCFA</t>
        </is>
      </c>
      <c r="E1883" s="46" t="inlineStr">
        <is>
          <t>Oui</t>
        </is>
      </c>
    </row>
    <row r="1884">
      <c r="A1884" s="42" t="n">
        <v>171</v>
      </c>
      <c r="B1884" s="28" t="inlineStr">
        <is>
          <t>CHF taux (t)</t>
        </is>
      </c>
      <c r="C1884" s="43" t="n">
        <v>0.3633533094915952</v>
      </c>
      <c r="D1884" s="28" t="inlineStr">
        <is>
          <t>36,34 %</t>
        </is>
      </c>
      <c r="E1884" s="44" t="inlineStr">
        <is>
          <t>Oui</t>
        </is>
      </c>
    </row>
    <row r="1885">
      <c r="A1885" s="42" t="n">
        <v>171</v>
      </c>
      <c r="B1885" s="30" t="inlineStr">
        <is>
          <t>CHB num</t>
        </is>
      </c>
      <c r="C1885" s="45" t="n">
        <v>1285659785</v>
      </c>
      <c r="D1885" s="30" t="inlineStr">
        <is>
          <t>1 285 659 785 FCFA</t>
        </is>
      </c>
      <c r="E1885" s="46" t="inlineStr">
        <is>
          <t>Oui</t>
        </is>
      </c>
    </row>
    <row r="1886">
      <c r="A1886" s="42" t="n">
        <v>171</v>
      </c>
      <c r="B1886" s="28" t="inlineStr">
        <is>
          <t>CHB den</t>
        </is>
      </c>
      <c r="C1886" s="43" t="n">
        <v>3688331723</v>
      </c>
      <c r="D1886" s="28" t="inlineStr">
        <is>
          <t>3 688 331 723 FCFA</t>
        </is>
      </c>
      <c r="E1886" s="44" t="inlineStr">
        <is>
          <t>Oui</t>
        </is>
      </c>
    </row>
    <row r="1887">
      <c r="A1887" s="42" t="n">
        <v>171</v>
      </c>
      <c r="B1887" s="30" t="inlineStr">
        <is>
          <t>CHB taux (t)</t>
        </is>
      </c>
      <c r="C1887" s="45" t="n">
        <v>0.3485748792557832</v>
      </c>
      <c r="D1887" s="30" t="inlineStr">
        <is>
          <t>34,86 %</t>
        </is>
      </c>
      <c r="E1887" s="46" t="inlineStr">
        <is>
          <t>Oui</t>
        </is>
      </c>
    </row>
    <row r="1888">
      <c r="A1888" s="42" t="n">
        <v>171</v>
      </c>
      <c r="B1888" s="28" t="inlineStr">
        <is>
          <t>CUP den</t>
        </is>
      </c>
      <c r="C1888" s="43" t="n">
        <v>1964772027</v>
      </c>
      <c r="D1888" s="28" t="inlineStr">
        <is>
          <t>1 964 772 027 FCFA</t>
        </is>
      </c>
      <c r="E1888" s="44" t="inlineStr">
        <is>
          <t>Oui</t>
        </is>
      </c>
    </row>
    <row r="1889">
      <c r="A1889" s="42" t="n">
        <v>171</v>
      </c>
      <c r="B1889" s="30" t="inlineStr">
        <is>
          <t>CUP taux (t)</t>
        </is>
      </c>
      <c r="C1889" s="45" t="n">
        <v>0.6321308986144274</v>
      </c>
      <c r="D1889" s="30" t="inlineStr">
        <is>
          <t>63,21 %</t>
        </is>
      </c>
      <c r="E1889" s="46" t="inlineStr">
        <is>
          <t>Oui</t>
        </is>
      </c>
    </row>
    <row r="1890">
      <c r="A1890" s="42" t="n">
        <v>171</v>
      </c>
      <c r="B1890" s="28" t="inlineStr">
        <is>
          <t>CHP taux (t)</t>
        </is>
      </c>
      <c r="C1890" s="43" t="n">
        <v>0.2657335960772857</v>
      </c>
      <c r="D1890" s="28" t="inlineStr">
        <is>
          <t>26,57 %</t>
        </is>
      </c>
      <c r="E1890" s="44" t="inlineStr">
        <is>
          <t>Oui</t>
        </is>
      </c>
    </row>
    <row r="1891">
      <c r="A1891" s="42" t="n">
        <v>171</v>
      </c>
      <c r="B1891" s="30" t="inlineStr">
        <is>
          <t>CHF baisse nécessaire</t>
        </is>
      </c>
      <c r="C1891" s="45" t="n">
        <v>558364762.5999999</v>
      </c>
      <c r="D1891" s="30" t="inlineStr">
        <is>
          <t>558 364 763 FCFA</t>
        </is>
      </c>
      <c r="E1891" s="46" t="inlineStr">
        <is>
          <t>Oui</t>
        </is>
      </c>
    </row>
    <row r="1892">
      <c r="A1892" s="42" t="n">
        <v>172</v>
      </c>
      <c r="B1892" s="28" t="inlineStr">
        <is>
          <t>RL4 besoin 2025</t>
        </is>
      </c>
      <c r="C1892" s="43" t="n">
        <v>588613820.5215025</v>
      </c>
      <c r="D1892" s="28" t="inlineStr">
        <is>
          <t>588 613 821 FCFA</t>
        </is>
      </c>
      <c r="E1892" s="44" t="inlineStr">
        <is>
          <t>Oui</t>
        </is>
      </c>
    </row>
    <row r="1893">
      <c r="A1893" s="42" t="n">
        <v>172</v>
      </c>
      <c r="B1893" s="30" t="inlineStr">
        <is>
          <t>RL4 sorties</t>
        </is>
      </c>
      <c r="C1893" s="45" t="n">
        <v>1358821103</v>
      </c>
      <c r="D1893" s="30" t="inlineStr">
        <is>
          <t>1 358 821 103 FCFA</t>
        </is>
      </c>
      <c r="E1893" s="46" t="inlineStr">
        <is>
          <t>Oui</t>
        </is>
      </c>
    </row>
    <row r="1894">
      <c r="A1894" s="42" t="n">
        <v>172</v>
      </c>
      <c r="B1894" s="28" t="inlineStr">
        <is>
          <t>RL4 frais</t>
        </is>
      </c>
      <c r="C1894" s="43" t="n">
        <v>995634179.08601</v>
      </c>
      <c r="D1894" s="28" t="inlineStr">
        <is>
          <t>995 634 179 FCFA</t>
        </is>
      </c>
      <c r="E1894" s="44" t="inlineStr">
        <is>
          <t>Oui</t>
        </is>
      </c>
    </row>
    <row r="1895">
      <c r="A1895" s="42" t="n">
        <v>172</v>
      </c>
      <c r="B1895" s="30" t="inlineStr">
        <is>
          <t>RL4 besoin (t)</t>
        </is>
      </c>
      <c r="C1895" s="45" t="n">
        <v>588613820.5215025</v>
      </c>
      <c r="D1895" s="30" t="inlineStr">
        <is>
          <t>588 613 821 FCFA</t>
        </is>
      </c>
      <c r="E1895" s="46" t="inlineStr">
        <is>
          <t>Oui</t>
        </is>
      </c>
    </row>
    <row r="1896">
      <c r="A1896" s="42" t="n">
        <v>172</v>
      </c>
      <c r="B1896" s="28" t="inlineStr">
        <is>
          <t>RL4 actifs réservés</t>
        </is>
      </c>
      <c r="C1896" s="43" t="n">
        <v>1608155525</v>
      </c>
      <c r="D1896" s="28" t="inlineStr">
        <is>
          <t>1 608 155 525 FCFA</t>
        </is>
      </c>
      <c r="E1896" s="44" t="inlineStr">
        <is>
          <t>Oui</t>
        </is>
      </c>
    </row>
    <row r="1897">
      <c r="A1897" s="42" t="n">
        <v>172</v>
      </c>
      <c r="B1897" s="30" t="inlineStr">
        <is>
          <t>RL5 FP</t>
        </is>
      </c>
      <c r="C1897" s="45" t="n">
        <v>-438242200</v>
      </c>
      <c r="D1897" s="30" t="inlineStr">
        <is>
          <t>-438 242 200 FCFA</t>
        </is>
      </c>
      <c r="E1897" s="46" t="inlineStr">
        <is>
          <t>Oui</t>
        </is>
      </c>
    </row>
    <row r="1898">
      <c r="A1898" s="42" t="n">
        <v>172</v>
      </c>
      <c r="B1898" s="28" t="inlineStr">
        <is>
          <t>RL5 sorties 2 ans</t>
        </is>
      </c>
      <c r="C1898" s="43" t="n">
        <v>2993682337</v>
      </c>
      <c r="D1898" s="28" t="inlineStr">
        <is>
          <t>2 993 682 337 FCFA</t>
        </is>
      </c>
      <c r="E1898" s="44" t="inlineStr">
        <is>
          <t>Oui</t>
        </is>
      </c>
    </row>
    <row r="1899">
      <c r="A1899" s="42" t="n">
        <v>172</v>
      </c>
      <c r="B1899" s="30" t="inlineStr">
        <is>
          <t>RL5 ratio (t)</t>
        </is>
      </c>
      <c r="C1899" s="45" t="n">
        <v>-0.1463890121485525</v>
      </c>
      <c r="D1899" s="30" t="inlineStr">
        <is>
          <t>-0,15</t>
        </is>
      </c>
      <c r="E1899" s="46" t="inlineStr">
        <is>
          <t>Oui</t>
        </is>
      </c>
    </row>
    <row r="1900">
      <c r="A1900" s="42" t="n">
        <v>174</v>
      </c>
      <c r="B1900" s="28" t="inlineStr">
        <is>
          <t>Exc mal 2025</t>
        </is>
      </c>
      <c r="C1900" s="43" t="n">
        <v>-237774566.7458192</v>
      </c>
      <c r="D1900" s="28" t="inlineStr">
        <is>
          <t>-237 774 567 FCFA</t>
        </is>
      </c>
      <c r="E1900" s="44" t="inlineStr">
        <is>
          <t>Oui</t>
        </is>
      </c>
    </row>
    <row r="1901">
      <c r="A1901" s="42" t="n">
        <v>174</v>
      </c>
      <c r="B1901" s="30" t="inlineStr">
        <is>
          <t>Exc dec 2025</t>
        </is>
      </c>
      <c r="C1901" s="45" t="n">
        <v>449151154.7458192</v>
      </c>
      <c r="D1901" s="30" t="inlineStr">
        <is>
          <t>449 151 155 FCFA</t>
        </is>
      </c>
      <c r="E1901" s="46" t="inlineStr">
        <is>
          <t>Oui</t>
        </is>
      </c>
    </row>
    <row r="1902">
      <c r="A1902" s="42" t="n">
        <v>174</v>
      </c>
      <c r="B1902" s="28" t="inlineStr">
        <is>
          <t>Exc mal 2022</t>
        </is>
      </c>
      <c r="C1902" s="43" t="n">
        <v>818990532.2500646</v>
      </c>
      <c r="D1902" s="28" t="inlineStr">
        <is>
          <t>818 990 532 FCFA</t>
        </is>
      </c>
      <c r="E1902" s="44" t="inlineStr">
        <is>
          <t>Oui</t>
        </is>
      </c>
    </row>
    <row r="1903">
      <c r="A1903" s="42" t="n">
        <v>174</v>
      </c>
      <c r="B1903" s="30" t="inlineStr">
        <is>
          <t>Exc mal 2025 (t)</t>
        </is>
      </c>
      <c r="C1903" s="45" t="n">
        <v>-237774566.7458192</v>
      </c>
      <c r="D1903" s="30" t="inlineStr">
        <is>
          <t>-237 774 567 FCFA</t>
        </is>
      </c>
      <c r="E1903" s="46" t="inlineStr">
        <is>
          <t>Oui</t>
        </is>
      </c>
    </row>
    <row r="1904">
      <c r="A1904" s="42" t="n">
        <v>174</v>
      </c>
      <c r="B1904" s="28" t="inlineStr">
        <is>
          <t>Exc dec 2025 (t)</t>
        </is>
      </c>
      <c r="C1904" s="43" t="n">
        <v>449151154.7458192</v>
      </c>
      <c r="D1904" s="28" t="inlineStr">
        <is>
          <t>449 151 155 FCFA</t>
        </is>
      </c>
      <c r="E1904" s="44" t="inlineStr">
        <is>
          <t>Oui</t>
        </is>
      </c>
    </row>
    <row r="1905">
      <c r="A1905" s="42" t="n">
        <v>174</v>
      </c>
      <c r="B1905" s="30" t="inlineStr">
        <is>
          <t>Exc mal 2026</t>
        </is>
      </c>
      <c r="C1905" s="45" t="n">
        <v>-701679552.0182109</v>
      </c>
      <c r="D1905" s="30" t="inlineStr">
        <is>
          <t>-701 679 552 FCFA</t>
        </is>
      </c>
      <c r="E1905" s="46" t="inlineStr">
        <is>
          <t>Oui</t>
        </is>
      </c>
    </row>
    <row r="1906">
      <c r="A1906" s="42" t="n">
        <v>175</v>
      </c>
      <c r="B1906" s="28" t="inlineStr">
        <is>
          <t>AFF res 2023</t>
        </is>
      </c>
      <c r="C1906" s="43" t="n">
        <v>2060332677</v>
      </c>
      <c r="D1906" s="28" t="inlineStr">
        <is>
          <t>2 060 332 677 FCFA</t>
        </is>
      </c>
      <c r="E1906" s="44" t="inlineStr">
        <is>
          <t>Oui</t>
        </is>
      </c>
    </row>
    <row r="1907">
      <c r="A1907" s="42" t="n">
        <v>175</v>
      </c>
      <c r="B1907" s="30" t="inlineStr">
        <is>
          <t>AFF dot 2023</t>
        </is>
      </c>
      <c r="C1907" s="45" t="n">
        <v>184219879</v>
      </c>
      <c r="D1907" s="30" t="inlineStr">
        <is>
          <t>184 219 879 FCFA</t>
        </is>
      </c>
      <c r="E1907" s="46" t="inlineStr">
        <is>
          <t>Oui</t>
        </is>
      </c>
    </row>
    <row r="1908">
      <c r="A1908" s="42" t="n">
        <v>175</v>
      </c>
      <c r="B1908" s="28" t="inlineStr">
        <is>
          <t>AFF taux 2023</t>
        </is>
      </c>
      <c r="C1908" s="43" t="n">
        <v>0.08941268614359796</v>
      </c>
      <c r="D1908" s="28" t="inlineStr">
        <is>
          <t>8,94 %</t>
        </is>
      </c>
      <c r="E1908" s="44" t="inlineStr">
        <is>
          <t>Oui</t>
        </is>
      </c>
    </row>
    <row r="1909">
      <c r="A1909" s="42" t="n">
        <v>175</v>
      </c>
      <c r="B1909" s="30" t="inlineStr">
        <is>
          <t>AFF min20 2023</t>
        </is>
      </c>
      <c r="C1909" s="45" t="n">
        <v>412066535.4</v>
      </c>
      <c r="D1909" s="30" t="inlineStr">
        <is>
          <t>412 066 535 FCFA</t>
        </is>
      </c>
      <c r="E1909" s="46" t="inlineStr">
        <is>
          <t>Oui</t>
        </is>
      </c>
    </row>
    <row r="1910">
      <c r="A1910" s="42" t="n">
        <v>175</v>
      </c>
      <c r="B1910" s="28" t="inlineStr">
        <is>
          <t>AFF minrisque 2023</t>
        </is>
      </c>
      <c r="C1910" s="43" t="n">
        <v>387843935.5499871</v>
      </c>
      <c r="D1910" s="28" t="inlineStr">
        <is>
          <t>387 843 936 FCFA</t>
        </is>
      </c>
      <c r="E1910" s="44" t="inlineStr">
        <is>
          <t>Oui</t>
        </is>
      </c>
    </row>
    <row r="1911">
      <c r="A1911" s="42" t="n">
        <v>175</v>
      </c>
      <c r="B1911" s="30" t="inlineStr">
        <is>
          <t>AFF écart 2023</t>
        </is>
      </c>
      <c r="C1911" s="45" t="n">
        <v>-203624056.5499871</v>
      </c>
      <c r="D1911" s="30" t="inlineStr">
        <is>
          <t>-203 624 057 FCFA</t>
        </is>
      </c>
      <c r="E1911" s="46" t="inlineStr">
        <is>
          <t>Oui</t>
        </is>
      </c>
    </row>
    <row r="1912">
      <c r="A1912" s="42" t="n">
        <v>175</v>
      </c>
      <c r="B1912" s="28" t="inlineStr">
        <is>
          <t>AFF res 2024</t>
        </is>
      </c>
      <c r="C1912" s="43" t="n">
        <v>930629102</v>
      </c>
      <c r="D1912" s="28" t="inlineStr">
        <is>
          <t>930 629 102 FCFA</t>
        </is>
      </c>
      <c r="E1912" s="44" t="inlineStr">
        <is>
          <t>Oui</t>
        </is>
      </c>
    </row>
    <row r="1913">
      <c r="A1913" s="42" t="n">
        <v>175</v>
      </c>
      <c r="B1913" s="30" t="inlineStr">
        <is>
          <t>AFF dot 2024</t>
        </is>
      </c>
      <c r="C1913" s="45" t="n">
        <v>335026477</v>
      </c>
      <c r="D1913" s="30" t="inlineStr">
        <is>
          <t>335 026 477 FCFA</t>
        </is>
      </c>
      <c r="E1913" s="46" t="inlineStr">
        <is>
          <t>Oui</t>
        </is>
      </c>
    </row>
    <row r="1914">
      <c r="A1914" s="42" t="n">
        <v>175</v>
      </c>
      <c r="B1914" s="28" t="inlineStr">
        <is>
          <t>AFF taux 2024</t>
        </is>
      </c>
      <c r="C1914" s="43" t="n">
        <v>0.3600000003008718</v>
      </c>
      <c r="D1914" s="28" t="inlineStr">
        <is>
          <t>36,00 %</t>
        </is>
      </c>
      <c r="E1914" s="44" t="inlineStr">
        <is>
          <t>Oui</t>
        </is>
      </c>
    </row>
    <row r="1915">
      <c r="A1915" s="42" t="n">
        <v>175</v>
      </c>
      <c r="B1915" s="30" t="inlineStr">
        <is>
          <t>AFF min20 2024</t>
        </is>
      </c>
      <c r="C1915" s="45" t="n">
        <v>186125820.4</v>
      </c>
      <c r="D1915" s="30" t="inlineStr">
        <is>
          <t>186 125 820 FCFA</t>
        </is>
      </c>
      <c r="E1915" s="46" t="inlineStr">
        <is>
          <t>Oui</t>
        </is>
      </c>
    </row>
    <row r="1916">
      <c r="A1916" s="42" t="n">
        <v>175</v>
      </c>
      <c r="B1916" s="28" t="inlineStr">
        <is>
          <t>AFF minrisque 2024</t>
        </is>
      </c>
      <c r="C1916" s="43" t="n">
        <v>320983342.5251392</v>
      </c>
      <c r="D1916" s="28" t="inlineStr">
        <is>
          <t>320 983 343 FCFA</t>
        </is>
      </c>
      <c r="E1916" s="44" t="inlineStr">
        <is>
          <t>Oui</t>
        </is>
      </c>
    </row>
    <row r="1917">
      <c r="A1917" s="42" t="n">
        <v>175</v>
      </c>
      <c r="B1917" s="30" t="inlineStr">
        <is>
          <t>AFF écart 2024</t>
        </is>
      </c>
      <c r="C1917" s="45" t="n">
        <v>14043134.47486079</v>
      </c>
      <c r="D1917" s="30" t="inlineStr">
        <is>
          <t>14 043 134 FCFA</t>
        </is>
      </c>
      <c r="E1917" s="46" t="inlineStr">
        <is>
          <t>Oui</t>
        </is>
      </c>
    </row>
    <row r="1918">
      <c r="A1918" s="42" t="n">
        <v>175</v>
      </c>
      <c r="B1918" s="28" t="inlineStr">
        <is>
          <t>AFF res 2025</t>
        </is>
      </c>
      <c r="C1918" s="43" t="n">
        <v>792069641</v>
      </c>
      <c r="D1918" s="28" t="inlineStr">
        <is>
          <t>792 069 641 FCFA</t>
        </is>
      </c>
      <c r="E1918" s="44" t="inlineStr">
        <is>
          <t>Oui</t>
        </is>
      </c>
    </row>
    <row r="1919">
      <c r="A1919" s="42" t="n">
        <v>175</v>
      </c>
      <c r="B1919" s="30" t="inlineStr">
        <is>
          <t>AFF dot 2025</t>
        </is>
      </c>
      <c r="C1919" s="45" t="n">
        <v>300986463</v>
      </c>
      <c r="D1919" s="30" t="inlineStr">
        <is>
          <t>300 986 463 FCFA</t>
        </is>
      </c>
      <c r="E1919" s="46" t="inlineStr">
        <is>
          <t>Oui</t>
        </is>
      </c>
    </row>
    <row r="1920">
      <c r="A1920" s="42" t="n">
        <v>175</v>
      </c>
      <c r="B1920" s="28" t="inlineStr">
        <is>
          <t>AFF taux 2025</t>
        </is>
      </c>
      <c r="C1920" s="43" t="n">
        <v>0.3799999992677411</v>
      </c>
      <c r="D1920" s="28" t="inlineStr">
        <is>
          <t>38,00 %</t>
        </is>
      </c>
      <c r="E1920" s="44" t="inlineStr">
        <is>
          <t>Oui</t>
        </is>
      </c>
    </row>
    <row r="1921">
      <c r="A1921" s="42" t="n">
        <v>175</v>
      </c>
      <c r="B1921" s="30" t="inlineStr">
        <is>
          <t>AFF min20 2025</t>
        </is>
      </c>
      <c r="C1921" s="45" t="n">
        <v>158413928.2</v>
      </c>
      <c r="D1921" s="30" t="inlineStr">
        <is>
          <t>158 413 928 FCFA</t>
        </is>
      </c>
      <c r="E1921" s="46" t="inlineStr">
        <is>
          <t>Oui</t>
        </is>
      </c>
    </row>
    <row r="1922">
      <c r="A1922" s="42" t="n">
        <v>175</v>
      </c>
      <c r="B1922" s="28" t="inlineStr">
        <is>
          <t>AFF minrisque 2025</t>
        </is>
      </c>
      <c r="C1922" s="43" t="n">
        <v>300300307.919294</v>
      </c>
      <c r="D1922" s="28" t="inlineStr">
        <is>
          <t>300 300 308 FCFA</t>
        </is>
      </c>
      <c r="E1922" s="44" t="inlineStr">
        <is>
          <t>Oui</t>
        </is>
      </c>
    </row>
    <row r="1923">
      <c r="A1923" s="42" t="n">
        <v>175</v>
      </c>
      <c r="B1923" s="30" t="inlineStr">
        <is>
          <t>AFF écart 2025</t>
        </is>
      </c>
      <c r="C1923" s="45" t="n">
        <v>686155.0807060003</v>
      </c>
      <c r="D1923" s="30" t="inlineStr">
        <is>
          <t>686 155 FCFA</t>
        </is>
      </c>
      <c r="E1923" s="46" t="inlineStr">
        <is>
          <t>Oui</t>
        </is>
      </c>
    </row>
    <row r="1924">
      <c r="A1924" s="42" t="n">
        <v>175</v>
      </c>
      <c r="B1924" s="28" t="inlineStr">
        <is>
          <t>AFF taux 2023 (a)</t>
        </is>
      </c>
      <c r="C1924" s="43" t="n">
        <v>0.08941268614359796</v>
      </c>
      <c r="D1924" s="28" t="inlineStr">
        <is>
          <t>8,94 %</t>
        </is>
      </c>
      <c r="E1924" s="44" t="inlineStr">
        <is>
          <t>Oui</t>
        </is>
      </c>
    </row>
    <row r="1925">
      <c r="A1925" s="42" t="n">
        <v>175</v>
      </c>
      <c r="B1925" s="30" t="inlineStr">
        <is>
          <t>AFF taux 2025 (a)</t>
        </is>
      </c>
      <c r="C1925" s="45" t="n">
        <v>0.3799999992677411</v>
      </c>
      <c r="D1925" s="30" t="inlineStr">
        <is>
          <t>38,00 %</t>
        </is>
      </c>
      <c r="E1925" s="46" t="inlineStr">
        <is>
          <t>Oui</t>
        </is>
      </c>
    </row>
    <row r="1926">
      <c r="A1926" s="42" t="n">
        <v>176</v>
      </c>
      <c r="B1926" s="28" t="inlineStr">
        <is>
          <t>MS exigée 2025 (g)</t>
        </is>
      </c>
      <c r="C1926" s="43" t="n">
        <v>566209844.8199999</v>
      </c>
      <c r="D1926" s="28" t="inlineStr">
        <is>
          <t>566 209 845 FCFA</t>
        </is>
      </c>
      <c r="E1926" s="44" t="inlineStr">
        <is>
          <t>Oui</t>
        </is>
      </c>
    </row>
    <row r="1927">
      <c r="A1927" s="42" t="n">
        <v>176</v>
      </c>
      <c r="B1927" s="30" t="inlineStr">
        <is>
          <t>MS dispo 2025 (g)</t>
        </is>
      </c>
      <c r="C1927" s="45" t="n">
        <v>4396841817</v>
      </c>
      <c r="D1927" s="30" t="inlineStr">
        <is>
          <t>4 396 841 817 FCFA</t>
        </is>
      </c>
      <c r="E1927" s="46" t="inlineStr">
        <is>
          <t>Oui</t>
        </is>
      </c>
    </row>
    <row r="1928">
      <c r="A1928" s="42" t="n">
        <v>176</v>
      </c>
      <c r="B1928" s="28" t="inlineStr">
        <is>
          <t>MS nette 2025 (g)</t>
        </is>
      </c>
      <c r="C1928" s="43" t="n">
        <v>-438242200</v>
      </c>
      <c r="D1928" s="28" t="inlineStr">
        <is>
          <t>-438 242 200 FCFA</t>
        </is>
      </c>
      <c r="E1928" s="44" t="inlineStr">
        <is>
          <t>Oui</t>
        </is>
      </c>
    </row>
    <row r="1929">
      <c r="A1929" s="42" t="n">
        <v>176</v>
      </c>
      <c r="B1929" s="30" t="inlineStr">
        <is>
          <t>MS 106 (g)</t>
        </is>
      </c>
      <c r="C1929" s="45" t="n">
        <v>2899400000</v>
      </c>
      <c r="D1929" s="30" t="inlineStr">
        <is>
          <t>2 899 400 000 FCFA</t>
        </is>
      </c>
      <c r="E1929" s="46" t="inlineStr">
        <is>
          <t>Oui</t>
        </is>
      </c>
    </row>
    <row r="1930">
      <c r="A1930" s="42" t="n">
        <v>176</v>
      </c>
      <c r="B1930" s="28" t="inlineStr">
        <is>
          <t>MS exigée 2021 (g)</t>
        </is>
      </c>
      <c r="C1930" s="43" t="n">
        <v>423039138.48</v>
      </c>
      <c r="D1930" s="28" t="inlineStr">
        <is>
          <t>423 039 138 FCFA</t>
        </is>
      </c>
      <c r="E1930" s="44" t="inlineStr">
        <is>
          <t>Oui</t>
        </is>
      </c>
    </row>
    <row r="1931">
      <c r="A1931" s="42" t="n">
        <v>176</v>
      </c>
      <c r="B1931" s="30" t="inlineStr">
        <is>
          <t>MS exigée 2026 (g)</t>
        </is>
      </c>
      <c r="C1931" s="45" t="n">
        <v>615265509.9599999</v>
      </c>
      <c r="D1931" s="30" t="inlineStr">
        <is>
          <t>615 265 510 FCFA</t>
        </is>
      </c>
      <c r="E1931" s="46" t="inlineStr">
        <is>
          <t>Oui</t>
        </is>
      </c>
    </row>
    <row r="1932">
      <c r="A1932" s="42" t="n">
        <v>180</v>
      </c>
      <c r="B1932" s="28" t="inlineStr">
        <is>
          <t>ROB 2025 (ret)</t>
        </is>
      </c>
      <c r="C1932" s="43" t="n">
        <v>5.00963658518129</v>
      </c>
      <c r="D1932" s="28" t="inlineStr">
        <is>
          <t>5,01</t>
        </is>
      </c>
      <c r="E1932" s="44" t="inlineStr">
        <is>
          <t>Oui</t>
        </is>
      </c>
    </row>
    <row r="1933">
      <c r="A1933" s="42" t="n">
        <v>180</v>
      </c>
      <c r="B1933" s="30" t="inlineStr">
        <is>
          <t>FEP 2025 (ret)</t>
        </is>
      </c>
      <c r="C1933" s="45" t="n">
        <v>0.2153205579766456</v>
      </c>
      <c r="D1933" s="30" t="inlineStr">
        <is>
          <t>0,22</t>
        </is>
      </c>
      <c r="E1933" s="46" t="inlineStr">
        <is>
          <t>Oui</t>
        </is>
      </c>
    </row>
    <row r="1934">
      <c r="A1934" s="42" t="n">
        <v>180</v>
      </c>
      <c r="B1934" s="28" t="inlineStr">
        <is>
          <t>CHF 2025 (ret)</t>
        </is>
      </c>
      <c r="C1934" s="43" t="n">
        <v>0.3633533094915952</v>
      </c>
      <c r="D1934" s="28" t="inlineStr">
        <is>
          <t>36,34 %</t>
        </is>
      </c>
      <c r="E1934" s="44" t="inlineStr">
        <is>
          <t>Oui</t>
        </is>
      </c>
    </row>
    <row r="1935">
      <c r="A1935" s="42" t="n">
        <v>183</v>
      </c>
      <c r="B1935" s="30" t="inlineStr">
        <is>
          <t>S8 couv ép 2020</t>
        </is>
      </c>
      <c r="C1935" s="45" t="n">
        <v>0.0659428540368947</v>
      </c>
      <c r="D1935" s="30" t="inlineStr">
        <is>
          <t>6,59 %</t>
        </is>
      </c>
      <c r="E1935" s="46" t="inlineStr">
        <is>
          <t>Oui</t>
        </is>
      </c>
    </row>
    <row r="1936">
      <c r="A1936" s="42" t="n">
        <v>183</v>
      </c>
      <c r="B1936" s="28" t="inlineStr">
        <is>
          <t>S8 couv ép 2025</t>
        </is>
      </c>
      <c r="C1936" s="43" t="n">
        <v>0.11641434265455</v>
      </c>
      <c r="D1936" s="28" t="inlineStr">
        <is>
          <t>11,64 %</t>
        </is>
      </c>
      <c r="E1936" s="44" t="inlineStr">
        <is>
          <t>Oui</t>
        </is>
      </c>
    </row>
    <row r="1937">
      <c r="A1937" s="42" t="n">
        <v>183</v>
      </c>
      <c r="B1937" s="30" t="inlineStr">
        <is>
          <t>S8 129 2020</t>
        </is>
      </c>
      <c r="C1937" s="45" t="n">
        <v>11391759309</v>
      </c>
      <c r="D1937" s="30" t="inlineStr">
        <is>
          <t>11 391 759 309 FCFA</t>
        </is>
      </c>
      <c r="E1937" s="46" t="inlineStr">
        <is>
          <t>Oui</t>
        </is>
      </c>
    </row>
    <row r="1938">
      <c r="A1938" s="42" t="n">
        <v>183</v>
      </c>
      <c r="B1938" s="28" t="inlineStr">
        <is>
          <t>S8 129 2025</t>
        </is>
      </c>
      <c r="C1938" s="43" t="n">
        <v>5272983928</v>
      </c>
      <c r="D1938" s="28" t="inlineStr">
        <is>
          <t>5 272 983 928 FCFA</t>
        </is>
      </c>
      <c r="E1938" s="44" t="inlineStr">
        <is>
          <t>Oui</t>
        </is>
      </c>
    </row>
    <row r="1939">
      <c r="A1939" s="42" t="n">
        <v>183</v>
      </c>
      <c r="B1939" s="30" t="inlineStr">
        <is>
          <t>S8 res 2025</t>
        </is>
      </c>
      <c r="C1939" s="45" t="n">
        <v>820232819</v>
      </c>
      <c r="D1939" s="30" t="inlineStr">
        <is>
          <t>820 232 819 FCFA</t>
        </is>
      </c>
      <c r="E1939" s="46" t="inlineStr">
        <is>
          <t>Oui</t>
        </is>
      </c>
    </row>
    <row r="1940">
      <c r="A1940" s="42" t="n">
        <v>183</v>
      </c>
      <c r="B1940" s="28" t="inlineStr">
        <is>
          <t>S8 6m 2025</t>
        </is>
      </c>
      <c r="C1940" s="43" t="n">
        <v>982386013.5</v>
      </c>
      <c r="D1940" s="28" t="inlineStr">
        <is>
          <t>982 386 014 FCFA</t>
        </is>
      </c>
      <c r="E1940" s="44" t="inlineStr">
        <is>
          <t>Oui</t>
        </is>
      </c>
    </row>
    <row r="1941">
      <c r="A1941" s="42" t="n">
        <v>183</v>
      </c>
      <c r="B1941" s="30" t="inlineStr">
        <is>
          <t>S8 CHF 2020</t>
        </is>
      </c>
      <c r="C1941" s="45" t="n">
        <v>0.843068080276127</v>
      </c>
      <c r="D1941" s="30" t="inlineStr">
        <is>
          <t>84,31 %</t>
        </is>
      </c>
      <c r="E1941" s="46" t="inlineStr">
        <is>
          <t>Oui</t>
        </is>
      </c>
    </row>
    <row r="1942">
      <c r="A1942" s="42" t="n">
        <v>183</v>
      </c>
      <c r="B1942" s="28" t="inlineStr">
        <is>
          <t>S8 CHF 2025</t>
        </is>
      </c>
      <c r="C1942" s="43" t="n">
        <v>0.363353309491595</v>
      </c>
      <c r="D1942" s="28" t="inlineStr">
        <is>
          <t>36,34 %</t>
        </is>
      </c>
      <c r="E1942" s="44" t="inlineStr">
        <is>
          <t>Oui</t>
        </is>
      </c>
    </row>
    <row r="1943">
      <c r="A1943" s="42" t="n">
        <v>183</v>
      </c>
      <c r="B1943" s="30" t="inlineStr">
        <is>
          <t>S8 PC 2020</t>
        </is>
      </c>
      <c r="C1943" s="45" t="n">
        <v>0.08924510038397999</v>
      </c>
      <c r="D1943" s="30" t="inlineStr">
        <is>
          <t>8,92 %</t>
        </is>
      </c>
      <c r="E1943" s="46" t="inlineStr">
        <is>
          <t>Oui</t>
        </is>
      </c>
    </row>
    <row r="1944">
      <c r="A1944" s="42" t="n">
        <v>183</v>
      </c>
      <c r="B1944" s="28" t="inlineStr">
        <is>
          <t>S8 PC 2025</t>
        </is>
      </c>
      <c r="C1944" s="43" t="n">
        <v>0.574807069687674</v>
      </c>
      <c r="D1944" s="28" t="inlineStr">
        <is>
          <t>57,48 %</t>
        </is>
      </c>
      <c r="E1944" s="44" t="inlineStr">
        <is>
          <t>Oui</t>
        </is>
      </c>
    </row>
    <row r="1945">
      <c r="A1945" s="42" t="n">
        <v>184</v>
      </c>
      <c r="B1945" s="30" t="inlineStr">
        <is>
          <t>S8 gap LIQ 2025</t>
        </is>
      </c>
      <c r="C1945" s="45" t="n">
        <v>13555974724</v>
      </c>
      <c r="D1945" s="30" t="inlineStr">
        <is>
          <t>13 555 974 724 FCFA</t>
        </is>
      </c>
      <c r="E1945" s="46" t="inlineStr">
        <is>
          <t>Oui</t>
        </is>
      </c>
    </row>
    <row r="1946">
      <c r="A1946" s="42" t="n">
        <v>184</v>
      </c>
      <c r="B1946" s="28" t="inlineStr">
        <is>
          <t>S8 gap FEP 2025</t>
        </is>
      </c>
      <c r="C1946" s="43" t="n">
        <v>16002055145</v>
      </c>
      <c r="D1946" s="28" t="inlineStr">
        <is>
          <t>16 002 055 145 FCFA</t>
        </is>
      </c>
      <c r="E1946" s="44" t="inlineStr">
        <is>
          <t>Oui</t>
        </is>
      </c>
    </row>
    <row r="1947">
      <c r="A1947" s="42" t="n">
        <v>184</v>
      </c>
      <c r="B1947" s="30" t="inlineStr">
        <is>
          <t>S8 gap SIN 2020</t>
        </is>
      </c>
      <c r="C1947" s="45" t="n">
        <v>1435406814.2</v>
      </c>
      <c r="D1947" s="30" t="inlineStr">
        <is>
          <t>1 435 406 814 FCFA</t>
        </is>
      </c>
      <c r="E1947" s="46" t="inlineStr">
        <is>
          <t>Oui</t>
        </is>
      </c>
    </row>
    <row r="1948">
      <c r="A1948" s="42" t="n">
        <v>184</v>
      </c>
      <c r="B1948" s="28" t="inlineStr">
        <is>
          <t>S8 gap SIN 2025 (t)</t>
        </is>
      </c>
      <c r="C1948" s="43" t="n">
        <v>427927178.4</v>
      </c>
      <c r="D1948" s="28" t="inlineStr">
        <is>
          <t>427 927 178 FCFA</t>
        </is>
      </c>
      <c r="E1948" s="44" t="inlineStr">
        <is>
          <t>Oui</t>
        </is>
      </c>
    </row>
    <row r="1949">
      <c r="A1949" s="42" t="n">
        <v>184</v>
      </c>
      <c r="B1949" s="30" t="inlineStr">
        <is>
          <t>S8 gap SIN 2026</t>
        </is>
      </c>
      <c r="C1949" s="45" t="n">
        <v>0</v>
      </c>
      <c r="D1949" s="30" t="inlineStr">
        <is>
          <t>0 FCFA</t>
        </is>
      </c>
      <c r="E1949" s="46" t="inlineStr">
        <is>
          <t>Oui</t>
        </is>
      </c>
    </row>
    <row r="1950">
      <c r="A1950" s="42" t="n">
        <v>184</v>
      </c>
      <c r="B1950" s="28" t="inlineStr">
        <is>
          <t>S8 gap SIN moy</t>
        </is>
      </c>
      <c r="C1950" s="43" t="n">
        <v>972352422.857143</v>
      </c>
      <c r="D1950" s="28" t="inlineStr">
        <is>
          <t>972 352 423 FCFA</t>
        </is>
      </c>
      <c r="E1950" s="44" t="inlineStr">
        <is>
          <t>Oui</t>
        </is>
      </c>
    </row>
    <row r="1951">
      <c r="A1951" s="42" t="n">
        <v>184</v>
      </c>
      <c r="B1951" s="30" t="inlineStr">
        <is>
          <t>S8 gap ROB 2020</t>
        </is>
      </c>
      <c r="C1951" s="45" t="n">
        <v>104872695.5</v>
      </c>
      <c r="D1951" s="30" t="inlineStr">
        <is>
          <t>104 872 696 FCFA</t>
        </is>
      </c>
      <c r="E1951" s="46" t="inlineStr">
        <is>
          <t>Oui</t>
        </is>
      </c>
    </row>
    <row r="1952">
      <c r="A1952" s="42" t="n">
        <v>184</v>
      </c>
      <c r="B1952" s="28" t="inlineStr">
        <is>
          <t>S8 gap ROB 2025 (t)</t>
        </is>
      </c>
      <c r="C1952" s="43" t="n">
        <v>162153194.5</v>
      </c>
      <c r="D1952" s="28" t="inlineStr">
        <is>
          <t>162 153 194 FCFA</t>
        </is>
      </c>
      <c r="E1952" s="44" t="inlineStr">
        <is>
          <t>Oui</t>
        </is>
      </c>
    </row>
    <row r="1953">
      <c r="A1953" s="42" t="n">
        <v>184</v>
      </c>
      <c r="B1953" s="30" t="inlineStr">
        <is>
          <t>S8 gap ROB 2026</t>
        </is>
      </c>
      <c r="C1953" s="45" t="n">
        <v>79195072.5</v>
      </c>
      <c r="D1953" s="30" t="inlineStr">
        <is>
          <t>79 195 072 FCFA</t>
        </is>
      </c>
      <c r="E1953" s="46" t="inlineStr">
        <is>
          <t>Oui</t>
        </is>
      </c>
    </row>
    <row r="1954">
      <c r="A1954" s="42" t="n">
        <v>184</v>
      </c>
      <c r="B1954" s="28" t="inlineStr">
        <is>
          <t>S8 gap ROB moy</t>
        </is>
      </c>
      <c r="C1954" s="43" t="n">
        <v>140750908.428571</v>
      </c>
      <c r="D1954" s="28" t="inlineStr">
        <is>
          <t>140 750 908 FCFA</t>
        </is>
      </c>
      <c r="E1954" s="44" t="inlineStr">
        <is>
          <t>Oui</t>
        </is>
      </c>
    </row>
    <row r="1955">
      <c r="A1955" s="42" t="n">
        <v>184</v>
      </c>
      <c r="B1955" s="30" t="inlineStr">
        <is>
          <t>S8 gap FEP 2020</t>
        </is>
      </c>
      <c r="C1955" s="45" t="n">
        <v>21892570704</v>
      </c>
      <c r="D1955" s="30" t="inlineStr">
        <is>
          <t>21 892 570 704 FCFA</t>
        </is>
      </c>
      <c r="E1955" s="46" t="inlineStr">
        <is>
          <t>Oui</t>
        </is>
      </c>
    </row>
    <row r="1956">
      <c r="A1956" s="42" t="n">
        <v>184</v>
      </c>
      <c r="B1956" s="28" t="inlineStr">
        <is>
          <t>S8 gap FEP 2025 (t)</t>
        </is>
      </c>
      <c r="C1956" s="43" t="n">
        <v>16002055145</v>
      </c>
      <c r="D1956" s="28" t="inlineStr">
        <is>
          <t>16 002 055 145 FCFA</t>
        </is>
      </c>
      <c r="E1956" s="44" t="inlineStr">
        <is>
          <t>Oui</t>
        </is>
      </c>
    </row>
    <row r="1957">
      <c r="A1957" s="42" t="n">
        <v>184</v>
      </c>
      <c r="B1957" s="30" t="inlineStr">
        <is>
          <t>S8 gap FEP 2026</t>
        </is>
      </c>
      <c r="C1957" s="45" t="n">
        <v>18855119976</v>
      </c>
      <c r="D1957" s="30" t="inlineStr">
        <is>
          <t>18 855 119 976 FCFA</t>
        </is>
      </c>
      <c r="E1957" s="46" t="inlineStr">
        <is>
          <t>Oui</t>
        </is>
      </c>
    </row>
    <row r="1958">
      <c r="A1958" s="42" t="n">
        <v>184</v>
      </c>
      <c r="B1958" s="28" t="inlineStr">
        <is>
          <t>S8 gap FEP moy</t>
        </is>
      </c>
      <c r="C1958" s="43" t="n">
        <v>16922874366.4286</v>
      </c>
      <c r="D1958" s="28" t="inlineStr">
        <is>
          <t>16 922 874 366 FCFA</t>
        </is>
      </c>
      <c r="E1958" s="44" t="inlineStr">
        <is>
          <t>Oui</t>
        </is>
      </c>
    </row>
    <row r="1959">
      <c r="A1959" s="42" t="n">
        <v>184</v>
      </c>
      <c r="B1959" s="30" t="inlineStr">
        <is>
          <t>S8 gap LIQ 2020</t>
        </is>
      </c>
      <c r="C1959" s="45" t="n">
        <v>14230404472</v>
      </c>
      <c r="D1959" s="30" t="inlineStr">
        <is>
          <t>14 230 404 472 FCFA</t>
        </is>
      </c>
      <c r="E1959" s="46" t="inlineStr">
        <is>
          <t>Oui</t>
        </is>
      </c>
    </row>
    <row r="1960">
      <c r="A1960" s="42" t="n">
        <v>184</v>
      </c>
      <c r="B1960" s="28" t="inlineStr">
        <is>
          <t>S8 gap LIQ 2025 (t)</t>
        </is>
      </c>
      <c r="C1960" s="43" t="n">
        <v>13555974724</v>
      </c>
      <c r="D1960" s="28" t="inlineStr">
        <is>
          <t>13 555 974 724 FCFA</t>
        </is>
      </c>
      <c r="E1960" s="44" t="inlineStr">
        <is>
          <t>Oui</t>
        </is>
      </c>
    </row>
    <row r="1961">
      <c r="A1961" s="42" t="n">
        <v>184</v>
      </c>
      <c r="B1961" s="30" t="inlineStr">
        <is>
          <t>S8 gap LIQ 2026</t>
        </is>
      </c>
      <c r="C1961" s="45" t="n">
        <v>14572853980</v>
      </c>
      <c r="D1961" s="30" t="inlineStr">
        <is>
          <t>14 572 853 980 FCFA</t>
        </is>
      </c>
      <c r="E1961" s="46" t="inlineStr">
        <is>
          <t>Oui</t>
        </is>
      </c>
    </row>
    <row r="1962">
      <c r="A1962" s="42" t="n">
        <v>184</v>
      </c>
      <c r="B1962" s="28" t="inlineStr">
        <is>
          <t>S8 gap LIQ moy</t>
        </is>
      </c>
      <c r="C1962" s="43" t="n">
        <v>12524806990.4286</v>
      </c>
      <c r="D1962" s="28" t="inlineStr">
        <is>
          <t>12 524 806 990 FCFA</t>
        </is>
      </c>
      <c r="E1962" s="44" t="inlineStr">
        <is>
          <t>Oui</t>
        </is>
      </c>
    </row>
    <row r="1963">
      <c r="A1963" s="42" t="n">
        <v>184</v>
      </c>
      <c r="B1963" s="30" t="inlineStr">
        <is>
          <t>S8 gap EQS 2020</t>
        </is>
      </c>
      <c r="C1963" s="45" t="n">
        <v>7296144385</v>
      </c>
      <c r="D1963" s="30" t="inlineStr">
        <is>
          <t>7 296 144 385 FCFA</t>
        </is>
      </c>
      <c r="E1963" s="46" t="inlineStr">
        <is>
          <t>Oui</t>
        </is>
      </c>
    </row>
    <row r="1964">
      <c r="A1964" s="42" t="n">
        <v>184</v>
      </c>
      <c r="B1964" s="28" t="inlineStr">
        <is>
          <t>S8 gap EQS 2025 (t)</t>
        </is>
      </c>
      <c r="C1964" s="43" t="n">
        <v>2380061308</v>
      </c>
      <c r="D1964" s="28" t="inlineStr">
        <is>
          <t>2 380 061 308 FCFA</t>
        </is>
      </c>
      <c r="E1964" s="44" t="inlineStr">
        <is>
          <t>Oui</t>
        </is>
      </c>
    </row>
    <row r="1965">
      <c r="A1965" s="42" t="n">
        <v>184</v>
      </c>
      <c r="B1965" s="30" t="inlineStr">
        <is>
          <t>S8 gap EQS 2026</t>
        </is>
      </c>
      <c r="C1965" s="45" t="n">
        <v>2870097972</v>
      </c>
      <c r="D1965" s="30" t="inlineStr">
        <is>
          <t>2 870 097 972 FCFA</t>
        </is>
      </c>
      <c r="E1965" s="46" t="inlineStr">
        <is>
          <t>Oui</t>
        </is>
      </c>
    </row>
    <row r="1966">
      <c r="A1966" s="42" t="n">
        <v>184</v>
      </c>
      <c r="B1966" s="28" t="inlineStr">
        <is>
          <t>S8 gap EQS moy</t>
        </is>
      </c>
      <c r="C1966" s="43" t="n">
        <v>3492842880.85714</v>
      </c>
      <c r="D1966" s="28" t="inlineStr">
        <is>
          <t>3 492 842 881 FCFA</t>
        </is>
      </c>
      <c r="E1966" s="44" t="inlineStr">
        <is>
          <t>Oui</t>
        </is>
      </c>
    </row>
    <row r="1967">
      <c r="A1967" s="42" t="n">
        <v>184</v>
      </c>
      <c r="B1967" s="30" t="inlineStr">
        <is>
          <t>S8 gap EXN 2020</t>
        </is>
      </c>
      <c r="C1967" s="45" t="n">
        <v>901068827.2</v>
      </c>
      <c r="D1967" s="30" t="inlineStr">
        <is>
          <t>901 068 827 FCFA</t>
        </is>
      </c>
      <c r="E1967" s="46" t="inlineStr">
        <is>
          <t>Oui</t>
        </is>
      </c>
    </row>
    <row r="1968">
      <c r="A1968" s="42" t="n">
        <v>184</v>
      </c>
      <c r="B1968" s="28" t="inlineStr">
        <is>
          <t>S8 gap EXN 2025 (t)</t>
        </is>
      </c>
      <c r="C1968" s="43" t="n">
        <v>266992824.9</v>
      </c>
      <c r="D1968" s="28" t="inlineStr">
        <is>
          <t>266 992 825 FCFA</t>
        </is>
      </c>
      <c r="E1968" s="44" t="inlineStr">
        <is>
          <t>Oui</t>
        </is>
      </c>
    </row>
    <row r="1969">
      <c r="A1969" s="42" t="n">
        <v>184</v>
      </c>
      <c r="B1969" s="30" t="inlineStr">
        <is>
          <t>S8 gap EXN 2026</t>
        </is>
      </c>
      <c r="C1969" s="45" t="n">
        <v>441256500</v>
      </c>
      <c r="D1969" s="30" t="inlineStr">
        <is>
          <t>441 256 500 FCFA</t>
        </is>
      </c>
      <c r="E1969" s="46" t="inlineStr">
        <is>
          <t>Oui</t>
        </is>
      </c>
    </row>
    <row r="1970">
      <c r="A1970" s="42" t="n">
        <v>184</v>
      </c>
      <c r="B1970" s="28" t="inlineStr">
        <is>
          <t>S8 gap EXN moy</t>
        </is>
      </c>
      <c r="C1970" s="43" t="n">
        <v>990198700.071429</v>
      </c>
      <c r="D1970" s="28" t="inlineStr">
        <is>
          <t>990 198 700 FCFA</t>
        </is>
      </c>
      <c r="E1970" s="44" t="inlineStr">
        <is>
          <t>Oui</t>
        </is>
      </c>
    </row>
    <row r="1971">
      <c r="A1971" s="42" t="n">
        <v>184</v>
      </c>
      <c r="B1971" s="30" t="inlineStr">
        <is>
          <t>S8 gap RL1 2020</t>
        </is>
      </c>
      <c r="C1971" s="45" t="n">
        <v>10114162856</v>
      </c>
      <c r="D1971" s="30" t="inlineStr">
        <is>
          <t>10 114 162 856 FCFA</t>
        </is>
      </c>
      <c r="E1971" s="46" t="inlineStr">
        <is>
          <t>Oui</t>
        </is>
      </c>
    </row>
    <row r="1972">
      <c r="A1972" s="42" t="n">
        <v>184</v>
      </c>
      <c r="B1972" s="28" t="inlineStr">
        <is>
          <t>S8 gap RL1 2025 (t)</t>
        </is>
      </c>
      <c r="C1972" s="43" t="n">
        <v>12205911439</v>
      </c>
      <c r="D1972" s="28" t="inlineStr">
        <is>
          <t>12 205 911 439 FCFA</t>
        </is>
      </c>
      <c r="E1972" s="44" t="inlineStr">
        <is>
          <t>Oui</t>
        </is>
      </c>
    </row>
    <row r="1973">
      <c r="A1973" s="42" t="n">
        <v>184</v>
      </c>
      <c r="B1973" s="30" t="inlineStr">
        <is>
          <t>S8 gap RL1 2026</t>
        </is>
      </c>
      <c r="C1973" s="45" t="n">
        <v>13180630730</v>
      </c>
      <c r="D1973" s="30" t="inlineStr">
        <is>
          <t>13 180 630 730 FCFA</t>
        </is>
      </c>
      <c r="E1973" s="46" t="inlineStr">
        <is>
          <t>Oui</t>
        </is>
      </c>
    </row>
    <row r="1974">
      <c r="A1974" s="42" t="n">
        <v>184</v>
      </c>
      <c r="B1974" s="28" t="inlineStr">
        <is>
          <t>S8 gap RL1 moy</t>
        </is>
      </c>
      <c r="C1974" s="43" t="n">
        <v>10076345639.2857</v>
      </c>
      <c r="D1974" s="28" t="inlineStr">
        <is>
          <t>10 076 345 639 FCFA</t>
        </is>
      </c>
      <c r="E1974" s="44" t="inlineStr">
        <is>
          <t>Oui</t>
        </is>
      </c>
    </row>
    <row r="1975">
      <c r="A1975" s="42" t="n">
        <v>184</v>
      </c>
      <c r="B1975" s="30" t="inlineStr">
        <is>
          <t>S8 gap RL2 2020</t>
        </is>
      </c>
      <c r="C1975" s="45" t="n">
        <v>14118394524</v>
      </c>
      <c r="D1975" s="30" t="inlineStr">
        <is>
          <t>14 118 394 524 FCFA</t>
        </is>
      </c>
      <c r="E1975" s="46" t="inlineStr">
        <is>
          <t>Oui</t>
        </is>
      </c>
    </row>
    <row r="1976">
      <c r="A1976" s="42" t="n">
        <v>184</v>
      </c>
      <c r="B1976" s="28" t="inlineStr">
        <is>
          <t>S8 gap RL2 2025 (t)</t>
        </is>
      </c>
      <c r="C1976" s="43" t="n">
        <v>12805137440</v>
      </c>
      <c r="D1976" s="28" t="inlineStr">
        <is>
          <t>12 805 137 440 FCFA</t>
        </is>
      </c>
      <c r="E1976" s="44" t="inlineStr">
        <is>
          <t>Oui</t>
        </is>
      </c>
    </row>
    <row r="1977">
      <c r="A1977" s="42" t="n">
        <v>184</v>
      </c>
      <c r="B1977" s="30" t="inlineStr">
        <is>
          <t>S8 gap RL2 2026</t>
        </is>
      </c>
      <c r="C1977" s="45" t="n">
        <v>14474087647</v>
      </c>
      <c r="D1977" s="30" t="inlineStr">
        <is>
          <t>14 474 087 647 FCFA</t>
        </is>
      </c>
      <c r="E1977" s="46" t="inlineStr">
        <is>
          <t>Oui</t>
        </is>
      </c>
    </row>
    <row r="1978">
      <c r="A1978" s="42" t="n">
        <v>184</v>
      </c>
      <c r="B1978" s="28" t="inlineStr">
        <is>
          <t>S8 gap RL2 moy</t>
        </is>
      </c>
      <c r="C1978" s="43" t="n">
        <v>12234546477.1429</v>
      </c>
      <c r="D1978" s="28" t="inlineStr">
        <is>
          <t>12 234 546 477 FCFA</t>
        </is>
      </c>
      <c r="E1978" s="44" t="inlineStr">
        <is>
          <t>Oui</t>
        </is>
      </c>
    </row>
    <row r="1979">
      <c r="A1979" s="42" t="n">
        <v>184</v>
      </c>
      <c r="B1979" s="30" t="inlineStr">
        <is>
          <t>S8 gap RL3 2020</t>
        </is>
      </c>
      <c r="C1979" s="45" t="n">
        <v>14230404472</v>
      </c>
      <c r="D1979" s="30" t="inlineStr">
        <is>
          <t>14 230 404 472 FCFA</t>
        </is>
      </c>
      <c r="E1979" s="46" t="inlineStr">
        <is>
          <t>Oui</t>
        </is>
      </c>
    </row>
    <row r="1980">
      <c r="A1980" s="42" t="n">
        <v>184</v>
      </c>
      <c r="B1980" s="28" t="inlineStr">
        <is>
          <t>S8 gap RL3 2025 (t)</t>
        </is>
      </c>
      <c r="C1980" s="43" t="n">
        <v>13555974724</v>
      </c>
      <c r="D1980" s="28" t="inlineStr">
        <is>
          <t>13 555 974 724 FCFA</t>
        </is>
      </c>
      <c r="E1980" s="44" t="inlineStr">
        <is>
          <t>Oui</t>
        </is>
      </c>
    </row>
    <row r="1981">
      <c r="A1981" s="42" t="n">
        <v>184</v>
      </c>
      <c r="B1981" s="30" t="inlineStr">
        <is>
          <t>S8 gap RL3 2026</t>
        </is>
      </c>
      <c r="C1981" s="45" t="n">
        <v>14572853980</v>
      </c>
      <c r="D1981" s="30" t="inlineStr">
        <is>
          <t>14 572 853 980 FCFA</t>
        </is>
      </c>
      <c r="E1981" s="46" t="inlineStr">
        <is>
          <t>Oui</t>
        </is>
      </c>
    </row>
    <row r="1982">
      <c r="A1982" s="42" t="n">
        <v>184</v>
      </c>
      <c r="B1982" s="28" t="inlineStr">
        <is>
          <t>S8 gap RL3 moy</t>
        </is>
      </c>
      <c r="C1982" s="43" t="n">
        <v>12524806990.4286</v>
      </c>
      <c r="D1982" s="28" t="inlineStr">
        <is>
          <t>12 524 806 990 FCFA</t>
        </is>
      </c>
      <c r="E1982" s="44" t="inlineStr">
        <is>
          <t>Oui</t>
        </is>
      </c>
    </row>
    <row r="1983">
      <c r="A1983" s="42" t="n">
        <v>184</v>
      </c>
      <c r="B1983" s="30" t="inlineStr">
        <is>
          <t>S8 gap RL4 2020</t>
        </is>
      </c>
      <c r="C1983" s="45" t="n">
        <v>576084804</v>
      </c>
      <c r="D1983" s="30" t="inlineStr">
        <is>
          <t>576 084 804 FCFA</t>
        </is>
      </c>
      <c r="E1983" s="46" t="inlineStr">
        <is>
          <t>Oui</t>
        </is>
      </c>
    </row>
    <row r="1984">
      <c r="A1984" s="42" t="n">
        <v>184</v>
      </c>
      <c r="B1984" s="28" t="inlineStr">
        <is>
          <t>S8 gap RL4 2025 (t)</t>
        </is>
      </c>
      <c r="C1984" s="43" t="n">
        <v>588613821</v>
      </c>
      <c r="D1984" s="28" t="inlineStr">
        <is>
          <t>588 613 821 FCFA</t>
        </is>
      </c>
      <c r="E1984" s="44" t="inlineStr">
        <is>
          <t>Oui</t>
        </is>
      </c>
    </row>
    <row r="1985">
      <c r="A1985" s="42" t="n">
        <v>184</v>
      </c>
      <c r="B1985" s="30" t="inlineStr">
        <is>
          <t>S8 gap RL4 2026</t>
        </is>
      </c>
      <c r="C1985" s="45" t="n">
        <v>597868370</v>
      </c>
      <c r="D1985" s="30" t="inlineStr">
        <is>
          <t>597 868 370 FCFA</t>
        </is>
      </c>
      <c r="E1985" s="46" t="inlineStr">
        <is>
          <t>Oui</t>
        </is>
      </c>
    </row>
    <row r="1986">
      <c r="A1986" s="42" t="n">
        <v>184</v>
      </c>
      <c r="B1986" s="28" t="inlineStr">
        <is>
          <t>S8 gap RL4 moy</t>
        </is>
      </c>
      <c r="C1986" s="43" t="n">
        <v>677039531.714286</v>
      </c>
      <c r="D1986" s="28" t="inlineStr">
        <is>
          <t>677 039 532 FCFA</t>
        </is>
      </c>
      <c r="E1986" s="44" t="inlineStr">
        <is>
          <t>Oui</t>
        </is>
      </c>
    </row>
    <row r="1987">
      <c r="A1987" s="42" t="n">
        <v>184</v>
      </c>
      <c r="B1987" s="30" t="inlineStr">
        <is>
          <t>S8 gap RL5 2025 (t)</t>
        </is>
      </c>
      <c r="C1987" s="45" t="n">
        <v>3431924537</v>
      </c>
      <c r="D1987" s="30" t="inlineStr">
        <is>
          <t>3 431 924 537 FCFA</t>
        </is>
      </c>
      <c r="E1987" s="46" t="inlineStr">
        <is>
          <t>Oui</t>
        </is>
      </c>
    </row>
    <row r="1988">
      <c r="A1988" s="42" t="n">
        <v>184</v>
      </c>
      <c r="B1988" s="28" t="inlineStr">
        <is>
          <t>S8 gap RL5 2026</t>
        </is>
      </c>
      <c r="C1988" s="43" t="n">
        <v>3713553360</v>
      </c>
      <c r="D1988" s="28" t="inlineStr">
        <is>
          <t>3 713 553 360 FCFA</t>
        </is>
      </c>
      <c r="E1988" s="44" t="inlineStr">
        <is>
          <t>Oui</t>
        </is>
      </c>
    </row>
    <row r="1989">
      <c r="A1989" s="42" t="n">
        <v>184</v>
      </c>
      <c r="B1989" s="30" t="inlineStr">
        <is>
          <t>S8 gap RL5 moy</t>
        </is>
      </c>
      <c r="C1989" s="45" t="n">
        <v>5393423695</v>
      </c>
      <c r="D1989" s="30" t="inlineStr">
        <is>
          <t>5 393 423 695 FCFA</t>
        </is>
      </c>
      <c r="E1989" s="46" t="inlineStr">
        <is>
          <t>Oui</t>
        </is>
      </c>
    </row>
    <row r="1990">
      <c r="A1990" s="42" t="n">
        <v>184</v>
      </c>
      <c r="B1990" s="28" t="inlineStr">
        <is>
          <t>S8 gap CHF 2020</t>
        </is>
      </c>
      <c r="C1990" s="43" t="n">
        <v>1511349814.8</v>
      </c>
      <c r="D1990" s="28" t="inlineStr">
        <is>
          <t>1 511 349 815 FCFA</t>
        </is>
      </c>
      <c r="E1990" s="44" t="inlineStr">
        <is>
          <t>Oui</t>
        </is>
      </c>
    </row>
    <row r="1991">
      <c r="A1991" s="42" t="n">
        <v>184</v>
      </c>
      <c r="B1991" s="30" t="inlineStr">
        <is>
          <t>S8 gap CHF 2025 (t)</t>
        </is>
      </c>
      <c r="C1991" s="45" t="n">
        <v>558364762.6</v>
      </c>
      <c r="D1991" s="30" t="inlineStr">
        <is>
          <t>558 364 763 FCFA</t>
        </is>
      </c>
      <c r="E1991" s="46" t="inlineStr">
        <is>
          <t>Oui</t>
        </is>
      </c>
    </row>
    <row r="1992">
      <c r="A1992" s="42" t="n">
        <v>184</v>
      </c>
      <c r="B1992" s="28" t="inlineStr">
        <is>
          <t>S8 gap CHF 2026</t>
        </is>
      </c>
      <c r="C1992" s="43" t="n">
        <v>577021367.8</v>
      </c>
      <c r="D1992" s="28" t="inlineStr">
        <is>
          <t>577 021 368 FCFA</t>
        </is>
      </c>
      <c r="E1992" s="44" t="inlineStr">
        <is>
          <t>Oui</t>
        </is>
      </c>
    </row>
    <row r="1993">
      <c r="A1993" s="42" t="n">
        <v>184</v>
      </c>
      <c r="B1993" s="30" t="inlineStr">
        <is>
          <t>S8 gap CHF moy</t>
        </is>
      </c>
      <c r="C1993" s="45" t="n">
        <v>745442862.4</v>
      </c>
      <c r="D1993" s="30" t="inlineStr">
        <is>
          <t>745 442 862 FCFA</t>
        </is>
      </c>
      <c r="E1993" s="46" t="inlineStr">
        <is>
          <t>Oui</t>
        </is>
      </c>
    </row>
    <row r="1994">
      <c r="A1994" s="42" t="n">
        <v>184</v>
      </c>
      <c r="B1994" s="28" t="inlineStr">
        <is>
          <t>S8 gap CHB 2020</t>
        </is>
      </c>
      <c r="C1994" s="43" t="n">
        <v>1422334629.25</v>
      </c>
      <c r="D1994" s="28" t="inlineStr">
        <is>
          <t>1 422 334 629 FCFA</t>
        </is>
      </c>
      <c r="E1994" s="44" t="inlineStr">
        <is>
          <t>Oui</t>
        </is>
      </c>
    </row>
    <row r="1995">
      <c r="A1995" s="42" t="n">
        <v>184</v>
      </c>
      <c r="B1995" s="30" t="inlineStr">
        <is>
          <t>S8 gap CHB 2025 (t)</t>
        </is>
      </c>
      <c r="C1995" s="45" t="n">
        <v>732410026.55</v>
      </c>
      <c r="D1995" s="30" t="inlineStr">
        <is>
          <t>732 410 027 FCFA</t>
        </is>
      </c>
      <c r="E1995" s="46" t="inlineStr">
        <is>
          <t>Oui</t>
        </is>
      </c>
    </row>
    <row r="1996">
      <c r="A1996" s="42" t="n">
        <v>184</v>
      </c>
      <c r="B1996" s="28" t="inlineStr">
        <is>
          <t>S8 gap CHB 2026</t>
        </is>
      </c>
      <c r="C1996" s="43" t="n">
        <v>693501819</v>
      </c>
      <c r="D1996" s="28" t="inlineStr">
        <is>
          <t>693 501 819 FCFA</t>
        </is>
      </c>
      <c r="E1996" s="44" t="inlineStr">
        <is>
          <t>Oui</t>
        </is>
      </c>
    </row>
    <row r="1997">
      <c r="A1997" s="42" t="n">
        <v>184</v>
      </c>
      <c r="B1997" s="30" t="inlineStr">
        <is>
          <t>S8 gap CHB moy</t>
        </is>
      </c>
      <c r="C1997" s="45" t="n">
        <v>804346104.414286</v>
      </c>
      <c r="D1997" s="30" t="inlineStr">
        <is>
          <t>804 346 104 FCFA</t>
        </is>
      </c>
      <c r="E1997" s="46" t="inlineStr">
        <is>
          <t>Oui</t>
        </is>
      </c>
    </row>
    <row r="1998">
      <c r="A1998" s="42" t="n">
        <v>184</v>
      </c>
      <c r="B1998" s="28" t="inlineStr">
        <is>
          <t>S8 gap CUP 2020</t>
        </is>
      </c>
      <c r="C1998" s="43" t="n">
        <v>1949931493.35</v>
      </c>
      <c r="D1998" s="28" t="inlineStr">
        <is>
          <t>1 949 931 493 FCFA</t>
        </is>
      </c>
      <c r="E1998" s="44" t="inlineStr">
        <is>
          <t>Oui</t>
        </is>
      </c>
    </row>
    <row r="1999">
      <c r="A1999" s="42" t="n">
        <v>184</v>
      </c>
      <c r="B1999" s="30" t="inlineStr">
        <is>
          <t>S8 gap CUP 2025 (t)</t>
        </is>
      </c>
      <c r="C1999" s="45" t="n">
        <v>947277302.95</v>
      </c>
      <c r="D1999" s="30" t="inlineStr">
        <is>
          <t>947 277 303 FCFA</t>
        </is>
      </c>
      <c r="E1999" s="46" t="inlineStr">
        <is>
          <t>Oui</t>
        </is>
      </c>
    </row>
    <row r="2000">
      <c r="A2000" s="42" t="n">
        <v>184</v>
      </c>
      <c r="B2000" s="28" t="inlineStr">
        <is>
          <t>S8 gap CUP 2026</t>
        </is>
      </c>
      <c r="C2000" s="43" t="n">
        <v>785632469.55</v>
      </c>
      <c r="D2000" s="28" t="inlineStr">
        <is>
          <t>785 632 470 FCFA</t>
        </is>
      </c>
      <c r="E2000" s="44" t="inlineStr">
        <is>
          <t>Oui</t>
        </is>
      </c>
    </row>
    <row r="2001">
      <c r="A2001" s="42" t="n">
        <v>184</v>
      </c>
      <c r="B2001" s="30" t="inlineStr">
        <is>
          <t>S8 gap CUP moy</t>
        </is>
      </c>
      <c r="C2001" s="45" t="n">
        <v>1147274623.2</v>
      </c>
      <c r="D2001" s="30" t="inlineStr">
        <is>
          <t>1 147 274 623 FCFA</t>
        </is>
      </c>
      <c r="E2001" s="46" t="inlineStr">
        <is>
          <t>Oui</t>
        </is>
      </c>
    </row>
    <row r="2002">
      <c r="A2002" s="42" t="n">
        <v>184</v>
      </c>
      <c r="B2002" s="28" t="inlineStr">
        <is>
          <t>S8 gap RL1 2025</t>
        </is>
      </c>
      <c r="C2002" s="43" t="n">
        <v>12205911439</v>
      </c>
      <c r="D2002" s="28" t="inlineStr">
        <is>
          <t>12 205 911 439 FCFA</t>
        </is>
      </c>
      <c r="E2002" s="44" t="inlineStr">
        <is>
          <t>Oui</t>
        </is>
      </c>
    </row>
    <row r="2003">
      <c r="A2003" s="42" t="n">
        <v>184</v>
      </c>
      <c r="B2003" s="30" t="inlineStr">
        <is>
          <t>S8 gap FEP 2025 (b)</t>
        </is>
      </c>
      <c r="C2003" s="45" t="n">
        <v>16002055145</v>
      </c>
      <c r="D2003" s="30" t="inlineStr">
        <is>
          <t>16 002 055 145 FCFA</t>
        </is>
      </c>
      <c r="E2003" s="46" t="inlineStr">
        <is>
          <t>Oui</t>
        </is>
      </c>
    </row>
    <row r="2004">
      <c r="A2004" s="42" t="n">
        <v>184</v>
      </c>
      <c r="B2004" s="28" t="inlineStr">
        <is>
          <t>S8 gap CHF 2025</t>
        </is>
      </c>
      <c r="C2004" s="43" t="n">
        <v>558364762.6</v>
      </c>
      <c r="D2004" s="28" t="inlineStr">
        <is>
          <t>558 364 763 FCFA</t>
        </is>
      </c>
      <c r="E2004" s="44" t="inlineStr">
        <is>
          <t>Oui</t>
        </is>
      </c>
    </row>
    <row r="2005">
      <c r="A2005" s="42" t="n">
        <v>186</v>
      </c>
      <c r="B2005" s="30" t="inlineStr">
        <is>
          <t>S8 T SIN 2025</t>
        </is>
      </c>
      <c r="C2005" s="45" t="n">
        <v>0.0410576478348339</v>
      </c>
      <c r="D2005" s="30" t="inlineStr">
        <is>
          <t>4,11 %</t>
        </is>
      </c>
      <c r="E2005" s="46" t="inlineStr">
        <is>
          <t>Oui</t>
        </is>
      </c>
    </row>
    <row r="2006">
      <c r="A2006" s="42" t="n">
        <v>186</v>
      </c>
      <c r="B2006" s="28" t="inlineStr">
        <is>
          <t>S8 T CHF 2025</t>
        </is>
      </c>
      <c r="C2006" s="43" t="n">
        <v>0.09083832737289881</v>
      </c>
      <c r="D2006" s="28" t="inlineStr">
        <is>
          <t>9,08 %</t>
        </is>
      </c>
      <c r="E2006" s="44" t="inlineStr">
        <is>
          <t>Oui</t>
        </is>
      </c>
    </row>
    <row r="2007">
      <c r="A2007" s="42" t="n">
        <v>186</v>
      </c>
      <c r="B2007" s="30" t="inlineStr">
        <is>
          <t>S8 L3 CHF pct</t>
        </is>
      </c>
      <c r="C2007" s="45" t="n">
        <v>0.4495715470987715</v>
      </c>
      <c r="D2007" s="30" t="inlineStr">
        <is>
          <t>44,96 %</t>
        </is>
      </c>
      <c r="E2007" s="46" t="inlineStr">
        <is>
          <t>Oui</t>
        </is>
      </c>
    </row>
    <row r="2008">
      <c r="A2008" s="42" t="n">
        <v>186</v>
      </c>
      <c r="B2008" s="28" t="inlineStr">
        <is>
          <t>S8 L1 SIN</t>
        </is>
      </c>
      <c r="C2008" s="43" t="n">
        <v>-611324540.5714279</v>
      </c>
      <c r="D2008" s="28" t="inlineStr">
        <is>
          <t>-611 324 541 FCFA</t>
        </is>
      </c>
      <c r="E2008" s="44" t="inlineStr">
        <is>
          <t>Oui</t>
        </is>
      </c>
    </row>
    <row r="2009">
      <c r="A2009" s="42" t="n">
        <v>186</v>
      </c>
      <c r="B2009" s="30" t="inlineStr">
        <is>
          <t>S8 T SIN (t)</t>
        </is>
      </c>
      <c r="C2009" s="45" t="n">
        <v>0.0410576478348339</v>
      </c>
      <c r="D2009" s="30" t="inlineStr">
        <is>
          <t>4,11 %</t>
        </is>
      </c>
      <c r="E2009" s="46" t="inlineStr">
        <is>
          <t>Oui</t>
        </is>
      </c>
    </row>
    <row r="2010">
      <c r="A2010" s="42" t="n">
        <v>186</v>
      </c>
      <c r="B2010" s="28" t="inlineStr">
        <is>
          <t>S8 n L1 SIN</t>
        </is>
      </c>
      <c r="C2010" s="43" t="n">
        <v>6</v>
      </c>
      <c r="D2010" s="28" t="inlineStr">
        <is>
          <t>6</t>
        </is>
      </c>
      <c r="E2010" s="44" t="inlineStr">
        <is>
          <t>Oui</t>
        </is>
      </c>
    </row>
    <row r="2011">
      <c r="A2011" s="42" t="n">
        <v>186</v>
      </c>
      <c r="B2011" s="30" t="inlineStr">
        <is>
          <t>S8 L1 CHF</t>
        </is>
      </c>
      <c r="C2011" s="45" t="n">
        <v>2791823813</v>
      </c>
      <c r="D2011" s="30" t="inlineStr">
        <is>
          <t>2 791 823 813 FCFA</t>
        </is>
      </c>
      <c r="E2011" s="46" t="inlineStr">
        <is>
          <t>Oui</t>
        </is>
      </c>
    </row>
    <row r="2012">
      <c r="A2012" s="42" t="n">
        <v>186</v>
      </c>
      <c r="B2012" s="28" t="inlineStr">
        <is>
          <t>S8 T CHF (t)</t>
        </is>
      </c>
      <c r="C2012" s="43" t="n">
        <v>0.09083832737289881</v>
      </c>
      <c r="D2012" s="28" t="inlineStr">
        <is>
          <t>9,08 %</t>
        </is>
      </c>
      <c r="E2012" s="44" t="inlineStr">
        <is>
          <t>Oui</t>
        </is>
      </c>
    </row>
    <row r="2013">
      <c r="A2013" s="42" t="n">
        <v>186</v>
      </c>
      <c r="B2013" s="30" t="inlineStr">
        <is>
          <t>S8 n L1 CHF</t>
        </is>
      </c>
      <c r="C2013" s="45" t="n">
        <v>7</v>
      </c>
      <c r="D2013" s="30" t="inlineStr">
        <is>
          <t>7</t>
        </is>
      </c>
      <c r="E2013" s="46" t="inlineStr">
        <is>
          <t>Oui</t>
        </is>
      </c>
    </row>
    <row r="2014">
      <c r="A2014" s="42" t="n">
        <v>186</v>
      </c>
      <c r="B2014" s="28" t="inlineStr">
        <is>
          <t>S8 L2 SIN</t>
        </is>
      </c>
      <c r="C2014" s="43" t="n">
        <v>427927178.4</v>
      </c>
      <c r="D2014" s="28" t="inlineStr">
        <is>
          <t>427 927 178 FCFA</t>
        </is>
      </c>
      <c r="E2014" s="44" t="inlineStr">
        <is>
          <t>Oui</t>
        </is>
      </c>
    </row>
    <row r="2015">
      <c r="A2015" s="42" t="n">
        <v>186</v>
      </c>
      <c r="B2015" s="30" t="inlineStr">
        <is>
          <t>S8 L2 SIN pct</t>
        </is>
      </c>
      <c r="C2015" s="45" t="n">
        <v>0.2177999139439092</v>
      </c>
      <c r="D2015" s="30" t="inlineStr">
        <is>
          <t>21,78 %</t>
        </is>
      </c>
      <c r="E2015" s="46" t="inlineStr">
        <is>
          <t>Oui</t>
        </is>
      </c>
    </row>
    <row r="2016">
      <c r="A2016" s="42" t="n">
        <v>186</v>
      </c>
      <c r="B2016" s="28" t="inlineStr">
        <is>
          <t>S8 n L2 SIN</t>
        </is>
      </c>
      <c r="C2016" s="43" t="n">
        <v>6</v>
      </c>
      <c r="D2016" s="28" t="inlineStr">
        <is>
          <t>6</t>
        </is>
      </c>
      <c r="E2016" s="44" t="inlineStr">
        <is>
          <t>Oui</t>
        </is>
      </c>
    </row>
    <row r="2017">
      <c r="A2017" s="42" t="n">
        <v>186</v>
      </c>
      <c r="B2017" s="30" t="inlineStr">
        <is>
          <t>S8 L2 EXN</t>
        </is>
      </c>
      <c r="C2017" s="45" t="n">
        <v>266992824.9</v>
      </c>
      <c r="D2017" s="30" t="inlineStr">
        <is>
          <t>266 992 825 FCFA</t>
        </is>
      </c>
      <c r="E2017" s="46" t="inlineStr">
        <is>
          <t>Oui</t>
        </is>
      </c>
    </row>
    <row r="2018">
      <c r="A2018" s="42" t="n">
        <v>186</v>
      </c>
      <c r="B2018" s="28" t="inlineStr">
        <is>
          <t>S8 L2 EXN pct</t>
        </is>
      </c>
      <c r="C2018" s="43" t="n">
        <v>0.135889976664453</v>
      </c>
      <c r="D2018" s="28" t="inlineStr">
        <is>
          <t>13,59 %</t>
        </is>
      </c>
      <c r="E2018" s="44" t="inlineStr">
        <is>
          <t>Oui</t>
        </is>
      </c>
    </row>
    <row r="2019">
      <c r="A2019" s="42" t="n">
        <v>186</v>
      </c>
      <c r="B2019" s="30" t="inlineStr">
        <is>
          <t>S8 n L2 EXN</t>
        </is>
      </c>
      <c r="C2019" s="45" t="n">
        <v>7</v>
      </c>
      <c r="D2019" s="30" t="inlineStr">
        <is>
          <t>7</t>
        </is>
      </c>
      <c r="E2019" s="46" t="inlineStr">
        <is>
          <t>Oui</t>
        </is>
      </c>
    </row>
    <row r="2020">
      <c r="A2020" s="42" t="n">
        <v>186</v>
      </c>
      <c r="B2020" s="28" t="inlineStr">
        <is>
          <t>S8 L3 CHF</t>
        </is>
      </c>
      <c r="C2020" s="43" t="n">
        <v>558364762.6</v>
      </c>
      <c r="D2020" s="28" t="inlineStr">
        <is>
          <t>558 364 763 FCFA</t>
        </is>
      </c>
      <c r="E2020" s="44" t="inlineStr">
        <is>
          <t>Oui</t>
        </is>
      </c>
    </row>
    <row r="2021">
      <c r="A2021" s="42" t="n">
        <v>186</v>
      </c>
      <c r="B2021" s="30" t="inlineStr">
        <is>
          <t>S8 L3 CHF pct (t)</t>
        </is>
      </c>
      <c r="C2021" s="45" t="n">
        <v>0.4495715470987715</v>
      </c>
      <c r="D2021" s="30" t="inlineStr">
        <is>
          <t>44,96 %</t>
        </is>
      </c>
      <c r="E2021" s="46" t="inlineStr">
        <is>
          <t>Oui</t>
        </is>
      </c>
    </row>
    <row r="2022">
      <c r="A2022" s="42" t="n">
        <v>186</v>
      </c>
      <c r="B2022" s="28" t="inlineStr">
        <is>
          <t>S8 n L3 CHF</t>
        </is>
      </c>
      <c r="C2022" s="43" t="n">
        <v>7</v>
      </c>
      <c r="D2022" s="28" t="inlineStr">
        <is>
          <t>7</t>
        </is>
      </c>
      <c r="E2022" s="44" t="inlineStr">
        <is>
          <t>Oui</t>
        </is>
      </c>
    </row>
    <row r="2023">
      <c r="A2023" s="42" t="n">
        <v>186</v>
      </c>
      <c r="B2023" s="30" t="inlineStr">
        <is>
          <t>S8 L3 CUP</t>
        </is>
      </c>
      <c r="C2023" s="45" t="n">
        <v>947277302.95</v>
      </c>
      <c r="D2023" s="30" t="inlineStr">
        <is>
          <t>947 277 303 FCFA</t>
        </is>
      </c>
      <c r="E2023" s="46" t="inlineStr">
        <is>
          <t>Oui</t>
        </is>
      </c>
    </row>
    <row r="2024">
      <c r="A2024" s="42" t="n">
        <v>186</v>
      </c>
      <c r="B2024" s="28" t="inlineStr">
        <is>
          <t>S8 L3 CUP pct</t>
        </is>
      </c>
      <c r="C2024" s="43" t="n">
        <v>0.762707375436344</v>
      </c>
      <c r="D2024" s="28" t="inlineStr">
        <is>
          <t>76,27 %</t>
        </is>
      </c>
      <c r="E2024" s="44" t="inlineStr">
        <is>
          <t>Oui</t>
        </is>
      </c>
    </row>
    <row r="2025">
      <c r="A2025" s="42" t="n">
        <v>186</v>
      </c>
      <c r="B2025" s="30" t="inlineStr">
        <is>
          <t>S8 n L3 CUP</t>
        </is>
      </c>
      <c r="C2025" s="45" t="n">
        <v>7</v>
      </c>
      <c r="D2025" s="30" t="inlineStr">
        <is>
          <t>7</t>
        </is>
      </c>
      <c r="E2025" s="46" t="inlineStr">
        <is>
          <t>Oui</t>
        </is>
      </c>
    </row>
    <row r="2026">
      <c r="A2026" s="42" t="n">
        <v>186</v>
      </c>
      <c r="B2026" s="28" t="inlineStr">
        <is>
          <t>S8 L4 ROB</t>
        </is>
      </c>
      <c r="C2026" s="43" t="n">
        <v>162153194.5</v>
      </c>
      <c r="D2026" s="28" t="inlineStr">
        <is>
          <t>162 153 194 FCFA</t>
        </is>
      </c>
      <c r="E2026" s="44" t="inlineStr">
        <is>
          <t>Oui</t>
        </is>
      </c>
    </row>
    <row r="2027">
      <c r="A2027" s="42" t="n">
        <v>186</v>
      </c>
      <c r="B2027" s="30" t="inlineStr">
        <is>
          <t>S8 n L4 ROB</t>
        </is>
      </c>
      <c r="C2027" s="45" t="n">
        <v>7</v>
      </c>
      <c r="D2027" s="30" t="inlineStr">
        <is>
          <t>7</t>
        </is>
      </c>
      <c r="E2027" s="46" t="inlineStr">
        <is>
          <t>Oui</t>
        </is>
      </c>
    </row>
    <row r="2028">
      <c r="A2028" s="42" t="n">
        <v>186</v>
      </c>
      <c r="B2028" s="28" t="inlineStr">
        <is>
          <t>S8 L5 LIQ</t>
        </is>
      </c>
      <c r="C2028" s="43" t="n">
        <v>13555974724</v>
      </c>
      <c r="D2028" s="28" t="inlineStr">
        <is>
          <t>13 555 974 724 FCFA</t>
        </is>
      </c>
      <c r="E2028" s="44" t="inlineStr">
        <is>
          <t>Oui</t>
        </is>
      </c>
    </row>
    <row r="2029">
      <c r="A2029" s="42" t="n">
        <v>186</v>
      </c>
      <c r="B2029" s="30" t="inlineStr">
        <is>
          <t>S8 classe 2 2025</t>
        </is>
      </c>
      <c r="C2029" s="45" t="n">
        <v>6814784076</v>
      </c>
      <c r="D2029" s="30" t="inlineStr">
        <is>
          <t>6 814 784 076 FCFA</t>
        </is>
      </c>
      <c r="E2029" s="46" t="inlineStr">
        <is>
          <t>Oui</t>
        </is>
      </c>
    </row>
    <row r="2030">
      <c r="A2030" s="42" t="n">
        <v>186</v>
      </c>
      <c r="B2030" s="28" t="inlineStr">
        <is>
          <t>S8 n L5 LIQ</t>
        </is>
      </c>
      <c r="C2030" s="43" t="n">
        <v>7</v>
      </c>
      <c r="D2030" s="28" t="inlineStr">
        <is>
          <t>7</t>
        </is>
      </c>
      <c r="E2030" s="44" t="inlineStr">
        <is>
          <t>Oui</t>
        </is>
      </c>
    </row>
    <row r="2031">
      <c r="A2031" s="42" t="n">
        <v>186</v>
      </c>
      <c r="B2031" s="30" t="inlineStr">
        <is>
          <t>S8 L5 RL1</t>
        </is>
      </c>
      <c r="C2031" s="45" t="n">
        <v>12205911439</v>
      </c>
      <c r="D2031" s="30" t="inlineStr">
        <is>
          <t>12 205 911 439 FCFA</t>
        </is>
      </c>
      <c r="E2031" s="46" t="inlineStr">
        <is>
          <t>Oui</t>
        </is>
      </c>
    </row>
    <row r="2032">
      <c r="A2032" s="42" t="n">
        <v>186</v>
      </c>
      <c r="B2032" s="28" t="inlineStr">
        <is>
          <t>S8 n L5 RL1</t>
        </is>
      </c>
      <c r="C2032" s="43" t="n">
        <v>7</v>
      </c>
      <c r="D2032" s="28" t="inlineStr">
        <is>
          <t>7</t>
        </is>
      </c>
      <c r="E2032" s="44" t="inlineStr">
        <is>
          <t>Oui</t>
        </is>
      </c>
    </row>
    <row r="2033">
      <c r="A2033" s="42" t="n">
        <v>186</v>
      </c>
      <c r="B2033" s="30" t="inlineStr">
        <is>
          <t>S8 L7 FEP</t>
        </is>
      </c>
      <c r="C2033" s="45" t="n">
        <v>16002055145</v>
      </c>
      <c r="D2033" s="30" t="inlineStr">
        <is>
          <t>16 002 055 145 FCFA</t>
        </is>
      </c>
      <c r="E2033" s="46" t="inlineStr">
        <is>
          <t>Oui</t>
        </is>
      </c>
    </row>
    <row r="2034">
      <c r="A2034" s="42" t="n">
        <v>186</v>
      </c>
      <c r="B2034" s="28" t="inlineStr">
        <is>
          <t>S8 L7 ans</t>
        </is>
      </c>
      <c r="C2034" s="43" t="n">
        <v>22.2189185141462</v>
      </c>
      <c r="D2034" s="28" t="inlineStr">
        <is>
          <t>22,22</t>
        </is>
      </c>
      <c r="E2034" s="44" t="inlineStr">
        <is>
          <t>Oui</t>
        </is>
      </c>
    </row>
    <row r="2035">
      <c r="A2035" s="42" t="n">
        <v>186</v>
      </c>
      <c r="B2035" s="30" t="inlineStr">
        <is>
          <t>S8 n L7 FEP</t>
        </is>
      </c>
      <c r="C2035" s="45" t="n">
        <v>7</v>
      </c>
      <c r="D2035" s="30" t="inlineStr">
        <is>
          <t>7</t>
        </is>
      </c>
      <c r="E2035" s="46" t="inlineStr">
        <is>
          <t>Oui</t>
        </is>
      </c>
    </row>
    <row r="2036">
      <c r="A2036" s="42" t="n">
        <v>186</v>
      </c>
      <c r="B2036" s="28" t="inlineStr">
        <is>
          <t>S8 L2 SIN (b)</t>
        </is>
      </c>
      <c r="C2036" s="43" t="n">
        <v>427927178.4</v>
      </c>
      <c r="D2036" s="28" t="inlineStr">
        <is>
          <t>427 927 178 FCFA</t>
        </is>
      </c>
      <c r="E2036" s="44" t="inlineStr">
        <is>
          <t>Oui</t>
        </is>
      </c>
    </row>
    <row r="2037">
      <c r="A2037" s="42" t="n">
        <v>186</v>
      </c>
      <c r="B2037" s="30" t="inlineStr">
        <is>
          <t>S8 L3 CHF (b)</t>
        </is>
      </c>
      <c r="C2037" s="45" t="n">
        <v>558364762.6</v>
      </c>
      <c r="D2037" s="30" t="inlineStr">
        <is>
          <t>558 364 763 FCFA</t>
        </is>
      </c>
      <c r="E2037" s="46" t="inlineStr">
        <is>
          <t>Oui</t>
        </is>
      </c>
    </row>
    <row r="2038">
      <c r="A2038" s="42" t="n">
        <v>186</v>
      </c>
      <c r="B2038" s="28" t="inlineStr">
        <is>
          <t>S8 L7 ans (b)</t>
        </is>
      </c>
      <c r="C2038" s="43" t="n">
        <v>22.2189185141462</v>
      </c>
      <c r="D2038" s="28" t="inlineStr">
        <is>
          <t>22,22</t>
        </is>
      </c>
      <c r="E2038" s="44" t="inlineStr">
        <is>
          <t>Oui</t>
        </is>
      </c>
    </row>
    <row r="2039">
      <c r="A2039" s="42" t="n">
        <v>187</v>
      </c>
      <c r="B2039" s="30" t="inlineStr">
        <is>
          <t>S8 T SIN 2025 (g)</t>
        </is>
      </c>
      <c r="C2039" s="45" t="n">
        <v>0.0410576478348339</v>
      </c>
      <c r="D2039" s="30" t="inlineStr">
        <is>
          <t>4,11 %</t>
        </is>
      </c>
      <c r="E2039" s="46" t="inlineStr">
        <is>
          <t>Oui</t>
        </is>
      </c>
    </row>
    <row r="2040">
      <c r="A2040" s="42" t="n">
        <v>187</v>
      </c>
      <c r="B2040" s="28" t="inlineStr">
        <is>
          <t>S8 T CHF 2025 (g)</t>
        </is>
      </c>
      <c r="C2040" s="43" t="n">
        <v>0.09083832737289881</v>
      </c>
      <c r="D2040" s="28" t="inlineStr">
        <is>
          <t>9,08 %</t>
        </is>
      </c>
      <c r="E2040" s="44" t="inlineStr">
        <is>
          <t>Oui</t>
        </is>
      </c>
    </row>
    <row r="2041">
      <c r="A2041" s="42" t="n">
        <v>187</v>
      </c>
      <c r="B2041" s="30" t="inlineStr">
        <is>
          <t>S8 T SIN 2020</t>
        </is>
      </c>
      <c r="C2041" s="45" t="n">
        <v>0.00637465002742714</v>
      </c>
      <c r="D2041" s="30" t="inlineStr">
        <is>
          <t>0,64 %</t>
        </is>
      </c>
      <c r="E2041" s="46" t="inlineStr">
        <is>
          <t>Oui</t>
        </is>
      </c>
    </row>
    <row r="2042">
      <c r="A2042" s="42" t="n">
        <v>187</v>
      </c>
      <c r="B2042" s="28" t="inlineStr">
        <is>
          <t>S8 T CHF 2020</t>
        </is>
      </c>
      <c r="C2042" s="43" t="n">
        <v>0.210767020069032</v>
      </c>
      <c r="D2042" s="28" t="inlineStr">
        <is>
          <t>21,08 %</t>
        </is>
      </c>
      <c r="E2042" s="44" t="inlineStr">
        <is>
          <t>Oui</t>
        </is>
      </c>
    </row>
    <row r="2043">
      <c r="A2043" s="42" t="n">
        <v>187</v>
      </c>
      <c r="B2043" s="30" t="inlineStr">
        <is>
          <t>S8 T SIN 2025 (b)</t>
        </is>
      </c>
      <c r="C2043" s="45" t="n">
        <v>0.0410576478348339</v>
      </c>
      <c r="D2043" s="30" t="inlineStr">
        <is>
          <t>4,11 %</t>
        </is>
      </c>
      <c r="E2043" s="46" t="inlineStr">
        <is>
          <t>Oui</t>
        </is>
      </c>
    </row>
    <row r="2044">
      <c r="A2044" s="42" t="n">
        <v>187</v>
      </c>
      <c r="B2044" s="28" t="inlineStr">
        <is>
          <t>S8 T CHF 2025 (b)</t>
        </is>
      </c>
      <c r="C2044" s="43" t="n">
        <v>0.09083832737289881</v>
      </c>
      <c r="D2044" s="28" t="inlineStr">
        <is>
          <t>9,08 %</t>
        </is>
      </c>
      <c r="E2044" s="44" t="inlineStr">
        <is>
          <t>Oui</t>
        </is>
      </c>
    </row>
    <row r="2045">
      <c r="A2045" s="42" t="n">
        <v>188</v>
      </c>
      <c r="B2045" s="30" t="inlineStr">
        <is>
          <t>S8 LIQ max 2025</t>
        </is>
      </c>
      <c r="C2045" s="45" t="n">
        <v>0.565649025980278</v>
      </c>
      <c r="D2045" s="30" t="inlineStr">
        <is>
          <t>0,57</t>
        </is>
      </c>
      <c r="E2045" s="46" t="inlineStr">
        <is>
          <t>Oui</t>
        </is>
      </c>
    </row>
    <row r="2046">
      <c r="A2046" s="42" t="n">
        <v>188</v>
      </c>
      <c r="B2046" s="28" t="inlineStr">
        <is>
          <t>S8 LIQ r 2025</t>
        </is>
      </c>
      <c r="C2046" s="43" t="n">
        <v>1.151278</v>
      </c>
      <c r="D2046" s="28" t="inlineStr">
        <is>
          <t>1,15</t>
        </is>
      </c>
      <c r="E2046" s="44" t="inlineStr">
        <is>
          <t>Oui</t>
        </is>
      </c>
    </row>
    <row r="2047">
      <c r="A2047" s="42" t="n">
        <v>188</v>
      </c>
      <c r="B2047" s="30" t="inlineStr">
        <is>
          <t>S8 L5 LIQ 2020</t>
        </is>
      </c>
      <c r="C2047" s="45" t="n">
        <v>14230404472</v>
      </c>
      <c r="D2047" s="30" t="inlineStr">
        <is>
          <t>14 230 404 472 FCFA</t>
        </is>
      </c>
      <c r="E2047" s="46" t="inlineStr">
        <is>
          <t>Oui</t>
        </is>
      </c>
    </row>
    <row r="2048">
      <c r="A2048" s="42" t="n">
        <v>188</v>
      </c>
      <c r="B2048" s="28" t="inlineStr">
        <is>
          <t>S8 L5 LIQ 2021</t>
        </is>
      </c>
      <c r="C2048" s="43" t="n">
        <v>11761869725</v>
      </c>
      <c r="D2048" s="28" t="inlineStr">
        <is>
          <t>11 761 869 725 FCFA</t>
        </is>
      </c>
      <c r="E2048" s="44" t="inlineStr">
        <is>
          <t>Oui</t>
        </is>
      </c>
    </row>
    <row r="2049">
      <c r="A2049" s="42" t="n">
        <v>188</v>
      </c>
      <c r="B2049" s="30" t="inlineStr">
        <is>
          <t>S8 L5 LIQ 2022</t>
        </is>
      </c>
      <c r="C2049" s="45" t="n">
        <v>10573204487</v>
      </c>
      <c r="D2049" s="30" t="inlineStr">
        <is>
          <t>10 573 204 487 FCFA</t>
        </is>
      </c>
      <c r="E2049" s="46" t="inlineStr">
        <is>
          <t>Oui</t>
        </is>
      </c>
    </row>
    <row r="2050">
      <c r="A2050" s="42" t="n">
        <v>188</v>
      </c>
      <c r="B2050" s="28" t="inlineStr">
        <is>
          <t>S8 L5 LIQ 2023</t>
        </is>
      </c>
      <c r="C2050" s="43" t="n">
        <v>10196077155</v>
      </c>
      <c r="D2050" s="28" t="inlineStr">
        <is>
          <t>10 196 077 155 FCFA</t>
        </is>
      </c>
      <c r="E2050" s="44" t="inlineStr">
        <is>
          <t>Oui</t>
        </is>
      </c>
    </row>
    <row r="2051">
      <c r="A2051" s="42" t="n">
        <v>188</v>
      </c>
      <c r="B2051" s="30" t="inlineStr">
        <is>
          <t>S8 L5 LIQ 2024</t>
        </is>
      </c>
      <c r="C2051" s="45" t="n">
        <v>12783264390</v>
      </c>
      <c r="D2051" s="30" t="inlineStr">
        <is>
          <t>12 783 264 390 FCFA</t>
        </is>
      </c>
      <c r="E2051" s="46" t="inlineStr">
        <is>
          <t>Oui</t>
        </is>
      </c>
    </row>
    <row r="2052">
      <c r="A2052" s="42" t="n">
        <v>188</v>
      </c>
      <c r="B2052" s="28" t="inlineStr">
        <is>
          <t>S8 L5 LIQ 2025</t>
        </is>
      </c>
      <c r="C2052" s="43" t="n">
        <v>13555974724</v>
      </c>
      <c r="D2052" s="28" t="inlineStr">
        <is>
          <t>13 555 974 724 FCFA</t>
        </is>
      </c>
      <c r="E2052" s="44" t="inlineStr">
        <is>
          <t>Oui</t>
        </is>
      </c>
    </row>
    <row r="2053">
      <c r="A2053" s="42" t="n">
        <v>188</v>
      </c>
      <c r="B2053" s="30" t="inlineStr">
        <is>
          <t>S8 L5 LIQ 2026</t>
        </is>
      </c>
      <c r="C2053" s="45" t="n">
        <v>14572853980</v>
      </c>
      <c r="D2053" s="30" t="inlineStr">
        <is>
          <t>14 572 853 980 FCFA</t>
        </is>
      </c>
      <c r="E2053" s="46" t="inlineStr">
        <is>
          <t>Oui</t>
        </is>
      </c>
    </row>
    <row r="2054">
      <c r="A2054" s="42" t="n">
        <v>188</v>
      </c>
      <c r="B2054" s="28" t="inlineStr">
        <is>
          <t>S8 EMP 2020</t>
        </is>
      </c>
      <c r="C2054" s="43" t="n">
        <v>5420135286</v>
      </c>
      <c r="D2054" s="28" t="inlineStr">
        <is>
          <t>5 420 135 286 FCFA</t>
        </is>
      </c>
      <c r="E2054" s="44" t="inlineStr">
        <is>
          <t>Oui</t>
        </is>
      </c>
    </row>
    <row r="2055">
      <c r="A2055" s="42" t="n">
        <v>188</v>
      </c>
      <c r="B2055" s="30" t="inlineStr">
        <is>
          <t>S8 EMP 2021</t>
        </is>
      </c>
      <c r="C2055" s="45" t="n">
        <v>4916701524</v>
      </c>
      <c r="D2055" s="30" t="inlineStr">
        <is>
          <t>4 916 701 524 FCFA</t>
        </is>
      </c>
      <c r="E2055" s="46" t="inlineStr">
        <is>
          <t>Oui</t>
        </is>
      </c>
    </row>
    <row r="2056">
      <c r="A2056" s="42" t="n">
        <v>188</v>
      </c>
      <c r="B2056" s="28" t="inlineStr">
        <is>
          <t>S8 EMP 2022</t>
        </is>
      </c>
      <c r="C2056" s="43" t="n">
        <v>4888463485</v>
      </c>
      <c r="D2056" s="28" t="inlineStr">
        <is>
          <t>4 888 463 485 FCFA</t>
        </is>
      </c>
      <c r="E2056" s="44" t="inlineStr">
        <is>
          <t>Oui</t>
        </is>
      </c>
    </row>
    <row r="2057">
      <c r="A2057" s="42" t="n">
        <v>188</v>
      </c>
      <c r="B2057" s="30" t="inlineStr">
        <is>
          <t>S8 EMP 2023</t>
        </is>
      </c>
      <c r="C2057" s="45" t="n">
        <v>5151329261</v>
      </c>
      <c r="D2057" s="30" t="inlineStr">
        <is>
          <t>5 151 329 261 FCFA</t>
        </is>
      </c>
      <c r="E2057" s="46" t="inlineStr">
        <is>
          <t>Oui</t>
        </is>
      </c>
    </row>
    <row r="2058">
      <c r="A2058" s="42" t="n">
        <v>188</v>
      </c>
      <c r="B2058" s="28" t="inlineStr">
        <is>
          <t>S8 EMP 2024</t>
        </is>
      </c>
      <c r="C2058" s="43" t="n">
        <v>6790107498</v>
      </c>
      <c r="D2058" s="28" t="inlineStr">
        <is>
          <t>6 790 107 498 FCFA</t>
        </is>
      </c>
      <c r="E2058" s="44" t="inlineStr">
        <is>
          <t>Oui</t>
        </is>
      </c>
    </row>
    <row r="2059">
      <c r="A2059" s="42" t="n">
        <v>188</v>
      </c>
      <c r="B2059" s="30" t="inlineStr">
        <is>
          <t>S8 EMP 2025</t>
        </is>
      </c>
      <c r="C2059" s="45" t="n">
        <v>6814784076</v>
      </c>
      <c r="D2059" s="30" t="inlineStr">
        <is>
          <t>6 814 784 076 FCFA</t>
        </is>
      </c>
      <c r="E2059" s="46" t="inlineStr">
        <is>
          <t>Oui</t>
        </is>
      </c>
    </row>
    <row r="2060">
      <c r="A2060" s="42" t="n">
        <v>188</v>
      </c>
      <c r="B2060" s="28" t="inlineStr">
        <is>
          <t>S8 EMP 2026</t>
        </is>
      </c>
      <c r="C2060" s="43" t="n">
        <v>6863564240</v>
      </c>
      <c r="D2060" s="28" t="inlineStr">
        <is>
          <t>6 863 564 240 FCFA</t>
        </is>
      </c>
      <c r="E2060" s="44" t="inlineStr">
        <is>
          <t>Oui</t>
        </is>
      </c>
    </row>
    <row r="2061">
      <c r="A2061" s="42" t="n">
        <v>188</v>
      </c>
      <c r="B2061" s="30" t="inlineStr">
        <is>
          <t>S8 LIQ max 2020</t>
        </is>
      </c>
      <c r="C2061" s="45" t="n">
        <v>0.41699076488258</v>
      </c>
      <c r="D2061" s="30" t="inlineStr">
        <is>
          <t>0,42</t>
        </is>
      </c>
      <c r="E2061" s="46" t="inlineStr">
        <is>
          <t>Oui</t>
        </is>
      </c>
    </row>
    <row r="2062">
      <c r="A2062" s="42" t="n">
        <v>188</v>
      </c>
      <c r="B2062" s="28" t="inlineStr">
        <is>
          <t>S8 LIQ max 2021</t>
        </is>
      </c>
      <c r="C2062" s="43" t="n">
        <v>0.530234058615856</v>
      </c>
      <c r="D2062" s="28" t="inlineStr">
        <is>
          <t>0,53</t>
        </is>
      </c>
      <c r="E2062" s="44" t="inlineStr">
        <is>
          <t>Oui</t>
        </is>
      </c>
    </row>
    <row r="2063">
      <c r="A2063" s="42" t="n">
        <v>188</v>
      </c>
      <c r="B2063" s="30" t="inlineStr">
        <is>
          <t>S8 LIQ max 2022</t>
        </is>
      </c>
      <c r="C2063" s="45" t="n">
        <v>0.518497584790396</v>
      </c>
      <c r="D2063" s="30" t="inlineStr">
        <is>
          <t>0,52</t>
        </is>
      </c>
      <c r="E2063" s="46" t="inlineStr">
        <is>
          <t>Oui</t>
        </is>
      </c>
    </row>
    <row r="2064">
      <c r="A2064" s="42" t="n">
        <v>188</v>
      </c>
      <c r="B2064" s="28" t="inlineStr">
        <is>
          <t>S8 LIQ max 2023</t>
        </is>
      </c>
      <c r="C2064" s="43" t="n">
        <v>0.558987856500999</v>
      </c>
      <c r="D2064" s="28" t="inlineStr">
        <is>
          <t>0,56</t>
        </is>
      </c>
      <c r="E2064" s="44" t="inlineStr">
        <is>
          <t>Oui</t>
        </is>
      </c>
    </row>
    <row r="2065">
      <c r="A2065" s="42" t="n">
        <v>188</v>
      </c>
      <c r="B2065" s="30" t="inlineStr">
        <is>
          <t>S8 LIQ max 2024</t>
        </is>
      </c>
      <c r="C2065" s="45" t="n">
        <v>0.564549000043855</v>
      </c>
      <c r="D2065" s="30" t="inlineStr">
        <is>
          <t>0,56</t>
        </is>
      </c>
      <c r="E2065" s="46" t="inlineStr">
        <is>
          <t>Oui</t>
        </is>
      </c>
    </row>
    <row r="2066">
      <c r="A2066" s="42" t="n">
        <v>188</v>
      </c>
      <c r="B2066" s="28" t="inlineStr">
        <is>
          <t>S8 LIQ max 2025</t>
        </is>
      </c>
      <c r="C2066" s="43" t="n">
        <v>0.565649025980278</v>
      </c>
      <c r="D2066" s="28" t="inlineStr">
        <is>
          <t>0,57</t>
        </is>
      </c>
      <c r="E2066" s="44" t="inlineStr">
        <is>
          <t>Oui</t>
        </is>
      </c>
    </row>
    <row r="2067">
      <c r="A2067" s="42" t="n">
        <v>188</v>
      </c>
      <c r="B2067" s="30" t="inlineStr">
        <is>
          <t>S8 LIQ max 2026</t>
        </is>
      </c>
      <c r="C2067" s="45" t="n">
        <v>0.570080902342914</v>
      </c>
      <c r="D2067" s="30" t="inlineStr">
        <is>
          <t>0,57</t>
        </is>
      </c>
      <c r="E2067" s="46" t="inlineStr">
        <is>
          <t>Oui</t>
        </is>
      </c>
    </row>
    <row r="2068">
      <c r="A2068" s="42" t="n">
        <v>188</v>
      </c>
      <c r="B2068" s="28" t="inlineStr">
        <is>
          <t>S8 LIQ r 2020</t>
        </is>
      </c>
      <c r="C2068" s="43" t="n">
        <v>0.205745</v>
      </c>
      <c r="D2068" s="28" t="inlineStr">
        <is>
          <t>0,21</t>
        </is>
      </c>
      <c r="E2068" s="44" t="inlineStr">
        <is>
          <t>Oui</t>
        </is>
      </c>
    </row>
    <row r="2069">
      <c r="A2069" s="42" t="n">
        <v>188</v>
      </c>
      <c r="B2069" s="30" t="inlineStr">
        <is>
          <t>S8 LIQ r 2021</t>
        </is>
      </c>
      <c r="C2069" s="45" t="n">
        <v>0.635072</v>
      </c>
      <c r="D2069" s="30" t="inlineStr">
        <is>
          <t>0,64</t>
        </is>
      </c>
      <c r="E2069" s="46" t="inlineStr">
        <is>
          <t>Oui</t>
        </is>
      </c>
    </row>
    <row r="2070">
      <c r="A2070" s="42" t="n">
        <v>188</v>
      </c>
      <c r="B2070" s="28" t="inlineStr">
        <is>
          <t>S8 LIQ r 2022</t>
        </is>
      </c>
      <c r="C2070" s="43" t="n">
        <v>0.505057</v>
      </c>
      <c r="D2070" s="28" t="inlineStr">
        <is>
          <t>0,51</t>
        </is>
      </c>
      <c r="E2070" s="44" t="inlineStr">
        <is>
          <t>Oui</t>
        </is>
      </c>
    </row>
    <row r="2071">
      <c r="A2071" s="42" t="n">
        <v>188</v>
      </c>
      <c r="B2071" s="30" t="inlineStr">
        <is>
          <t>S8 LIQ r 2023</t>
        </is>
      </c>
      <c r="C2071" s="45" t="n">
        <v>0.536343</v>
      </c>
      <c r="D2071" s="30" t="inlineStr">
        <is>
          <t>0,54</t>
        </is>
      </c>
      <c r="E2071" s="46" t="inlineStr">
        <is>
          <t>Oui</t>
        </is>
      </c>
    </row>
    <row r="2072">
      <c r="A2072" s="42" t="n">
        <v>188</v>
      </c>
      <c r="B2072" s="28" t="inlineStr">
        <is>
          <t>S8 LIQ r 2024</t>
        </is>
      </c>
      <c r="C2072" s="43" t="n">
        <v>0.329021</v>
      </c>
      <c r="D2072" s="28" t="inlineStr">
        <is>
          <t>0,33</t>
        </is>
      </c>
      <c r="E2072" s="44" t="inlineStr">
        <is>
          <t>Oui</t>
        </is>
      </c>
    </row>
    <row r="2073">
      <c r="A2073" s="42" t="n">
        <v>188</v>
      </c>
      <c r="B2073" s="30" t="inlineStr">
        <is>
          <t>S8 LIQ r 2025</t>
        </is>
      </c>
      <c r="C2073" s="45" t="n">
        <v>1.151278</v>
      </c>
      <c r="D2073" s="30" t="inlineStr">
        <is>
          <t>1,15</t>
        </is>
      </c>
      <c r="E2073" s="46" t="inlineStr">
        <is>
          <t>Oui</t>
        </is>
      </c>
    </row>
    <row r="2074">
      <c r="A2074" s="42" t="n">
        <v>188</v>
      </c>
      <c r="B2074" s="28" t="inlineStr">
        <is>
          <t>S8 LIQ r 2026</t>
        </is>
      </c>
      <c r="C2074" s="43" t="n">
        <v>1.534931</v>
      </c>
      <c r="D2074" s="28" t="inlineStr">
        <is>
          <t>1,53</t>
        </is>
      </c>
      <c r="E2074" s="44" t="inlineStr">
        <is>
          <t>Oui</t>
        </is>
      </c>
    </row>
    <row r="2075">
      <c r="A2075" s="42" t="n">
        <v>189</v>
      </c>
      <c r="B2075" s="30" t="inlineStr">
        <is>
          <t>S8 ROB 2025</t>
        </is>
      </c>
      <c r="C2075" s="45" t="n">
        <v>5.00963658518129</v>
      </c>
      <c r="D2075" s="30" t="inlineStr">
        <is>
          <t>5,01</t>
        </is>
      </c>
      <c r="E2075" s="46" t="inlineStr">
        <is>
          <t>Oui</t>
        </is>
      </c>
    </row>
    <row r="2076">
      <c r="A2076" s="42" t="n">
        <v>189</v>
      </c>
      <c r="B2076" s="28" t="inlineStr">
        <is>
          <t>S8 ROB20 2025</t>
        </is>
      </c>
      <c r="C2076" s="43" t="n">
        <v>8.41077038114814</v>
      </c>
      <c r="D2076" s="28" t="inlineStr">
        <is>
          <t>8,41</t>
        </is>
      </c>
      <c r="E2076" s="44" t="inlineStr">
        <is>
          <t>Oui</t>
        </is>
      </c>
    </row>
    <row r="2077">
      <c r="A2077" s="42" t="n">
        <v>189</v>
      </c>
      <c r="B2077" s="30" t="inlineStr">
        <is>
          <t>S8 RN moy</t>
        </is>
      </c>
      <c r="C2077" s="45" t="n">
        <v>720199551.333333</v>
      </c>
      <c r="D2077" s="30" t="inlineStr">
        <is>
          <t>720 199 551 FCFA</t>
        </is>
      </c>
      <c r="E2077" s="46" t="inlineStr">
        <is>
          <t>Oui</t>
        </is>
      </c>
    </row>
    <row r="2078">
      <c r="A2078" s="42" t="n">
        <v>189</v>
      </c>
      <c r="B2078" s="28" t="inlineStr">
        <is>
          <t>S8 ROB 2020</t>
        </is>
      </c>
      <c r="C2078" s="43" t="n">
        <v>0</v>
      </c>
      <c r="D2078" s="28" t="inlineStr">
        <is>
          <t>0,00</t>
        </is>
      </c>
      <c r="E2078" s="44" t="inlineStr">
        <is>
          <t>Oui</t>
        </is>
      </c>
    </row>
    <row r="2079">
      <c r="A2079" s="42" t="n">
        <v>189</v>
      </c>
      <c r="B2079" s="30" t="inlineStr">
        <is>
          <t>S8 ROB 2021</t>
        </is>
      </c>
      <c r="C2079" s="45" t="n">
        <v>0</v>
      </c>
      <c r="D2079" s="30" t="inlineStr">
        <is>
          <t>0,00</t>
        </is>
      </c>
      <c r="E2079" s="46" t="inlineStr">
        <is>
          <t>Oui</t>
        </is>
      </c>
    </row>
    <row r="2080">
      <c r="A2080" s="42" t="n">
        <v>189</v>
      </c>
      <c r="B2080" s="28" t="inlineStr">
        <is>
          <t>S8 ROB 2022</t>
        </is>
      </c>
      <c r="C2080" s="43" t="n">
        <v>0</v>
      </c>
      <c r="D2080" s="28" t="inlineStr">
        <is>
          <t>0,00</t>
        </is>
      </c>
      <c r="E2080" s="44" t="inlineStr">
        <is>
          <t>Oui</t>
        </is>
      </c>
    </row>
    <row r="2081">
      <c r="A2081" s="42" t="n">
        <v>189</v>
      </c>
      <c r="B2081" s="30" t="inlineStr">
        <is>
          <t>S8 ROB 2023</t>
        </is>
      </c>
      <c r="C2081" s="45" t="n">
        <v>3.24500087092097</v>
      </c>
      <c r="D2081" s="30" t="inlineStr">
        <is>
          <t>3,25</t>
        </is>
      </c>
      <c r="E2081" s="46" t="inlineStr">
        <is>
          <t>Oui</t>
        </is>
      </c>
    </row>
    <row r="2082">
      <c r="A2082" s="42" t="n">
        <v>189</v>
      </c>
      <c r="B2082" s="28" t="inlineStr">
        <is>
          <t>S8 ROB 2024</t>
        </is>
      </c>
      <c r="C2082" s="43" t="n">
        <v>4.91004864629966</v>
      </c>
      <c r="D2082" s="28" t="inlineStr">
        <is>
          <t>4,91</t>
        </is>
      </c>
      <c r="E2082" s="44" t="inlineStr">
        <is>
          <t>Oui</t>
        </is>
      </c>
    </row>
    <row r="2083">
      <c r="A2083" s="42" t="n">
        <v>189</v>
      </c>
      <c r="B2083" s="30" t="inlineStr">
        <is>
          <t>S8 ROB 2025</t>
        </is>
      </c>
      <c r="C2083" s="45" t="n">
        <v>5.00963658518129</v>
      </c>
      <c r="D2083" s="30" t="inlineStr">
        <is>
          <t>5,01</t>
        </is>
      </c>
      <c r="E2083" s="46" t="inlineStr">
        <is>
          <t>Oui</t>
        </is>
      </c>
    </row>
    <row r="2084">
      <c r="A2084" s="42" t="n">
        <v>189</v>
      </c>
      <c r="B2084" s="28" t="inlineStr">
        <is>
          <t>S8 ROB 2026</t>
        </is>
      </c>
      <c r="C2084" s="43" t="n">
        <v>5.47169702041645</v>
      </c>
      <c r="D2084" s="28" t="inlineStr">
        <is>
          <t>5,47</t>
        </is>
      </c>
      <c r="E2084" s="44" t="inlineStr">
        <is>
          <t>Oui</t>
        </is>
      </c>
    </row>
    <row r="2085">
      <c r="A2085" s="42" t="n">
        <v>189</v>
      </c>
      <c r="B2085" s="30" t="inlineStr">
        <is>
          <t>S8 ROB20 2020</t>
        </is>
      </c>
      <c r="C2085" s="45" t="n">
        <v>0</v>
      </c>
      <c r="D2085" s="30" t="inlineStr">
        <is>
          <t>0,00</t>
        </is>
      </c>
      <c r="E2085" s="46" t="inlineStr">
        <is>
          <t>Oui</t>
        </is>
      </c>
    </row>
    <row r="2086">
      <c r="A2086" s="42" t="n">
        <v>189</v>
      </c>
      <c r="B2086" s="28" t="inlineStr">
        <is>
          <t>S8 ROB20 2021</t>
        </is>
      </c>
      <c r="C2086" s="43" t="n">
        <v>4.85703059604615</v>
      </c>
      <c r="D2086" s="28" t="inlineStr">
        <is>
          <t>4,86</t>
        </is>
      </c>
      <c r="E2086" s="44" t="inlineStr">
        <is>
          <t>Oui</t>
        </is>
      </c>
    </row>
    <row r="2087">
      <c r="A2087" s="42" t="n">
        <v>189</v>
      </c>
      <c r="B2087" s="30" t="inlineStr">
        <is>
          <t>S8 ROB20 2022</t>
        </is>
      </c>
      <c r="C2087" s="45" t="n">
        <v>32.1740596034686</v>
      </c>
      <c r="D2087" s="30" t="inlineStr">
        <is>
          <t>32,17</t>
        </is>
      </c>
      <c r="E2087" s="46" t="inlineStr">
        <is>
          <t>Oui</t>
        </is>
      </c>
    </row>
    <row r="2088">
      <c r="A2088" s="42" t="n">
        <v>189</v>
      </c>
      <c r="B2088" s="28" t="inlineStr">
        <is>
          <t>S8 ROB20 2023</t>
        </is>
      </c>
      <c r="C2088" s="43" t="n">
        <v>18.1884358658369</v>
      </c>
      <c r="D2088" s="28" t="inlineStr">
        <is>
          <t>18,19</t>
        </is>
      </c>
      <c r="E2088" s="44" t="inlineStr">
        <is>
          <t>Oui</t>
        </is>
      </c>
    </row>
    <row r="2089">
      <c r="A2089" s="42" t="n">
        <v>189</v>
      </c>
      <c r="B2089" s="30" t="inlineStr">
        <is>
          <t>S8 ROB20 2024</t>
        </is>
      </c>
      <c r="C2089" s="45" t="n">
        <v>11.5240613658073</v>
      </c>
      <c r="D2089" s="30" t="inlineStr">
        <is>
          <t>11,52</t>
        </is>
      </c>
      <c r="E2089" s="46" t="inlineStr">
        <is>
          <t>Oui</t>
        </is>
      </c>
    </row>
    <row r="2090">
      <c r="A2090" s="42" t="n">
        <v>189</v>
      </c>
      <c r="B2090" s="28" t="inlineStr">
        <is>
          <t>S8 ROB20 2025</t>
        </is>
      </c>
      <c r="C2090" s="43" t="n">
        <v>8.41077038114814</v>
      </c>
      <c r="D2090" s="28" t="inlineStr">
        <is>
          <t>8,41</t>
        </is>
      </c>
      <c r="E2090" s="44" t="inlineStr">
        <is>
          <t>Oui</t>
        </is>
      </c>
    </row>
    <row r="2091">
      <c r="A2091" s="42" t="n">
        <v>189</v>
      </c>
      <c r="B2091" s="30" t="inlineStr">
        <is>
          <t>S8 ROB20 2026</t>
        </is>
      </c>
      <c r="C2091" s="45" t="n">
        <v>9.77077002108957</v>
      </c>
      <c r="D2091" s="30" t="inlineStr">
        <is>
          <t>9,77</t>
        </is>
      </c>
      <c r="E2091" s="46" t="inlineStr">
        <is>
          <t>Oui</t>
        </is>
      </c>
    </row>
    <row r="2092">
      <c r="A2092" s="42" t="n">
        <v>189</v>
      </c>
      <c r="B2092" s="28" t="inlineStr">
        <is>
          <t>S8 ROB50 2020</t>
        </is>
      </c>
      <c r="C2092" s="43" t="n">
        <v>0</v>
      </c>
      <c r="D2092" s="28" t="inlineStr">
        <is>
          <t>0,00</t>
        </is>
      </c>
      <c r="E2092" s="44" t="inlineStr">
        <is>
          <t>Oui</t>
        </is>
      </c>
    </row>
    <row r="2093">
      <c r="A2093" s="42" t="n">
        <v>189</v>
      </c>
      <c r="B2093" s="30" t="inlineStr">
        <is>
          <t>S8 ROB50 2021</t>
        </is>
      </c>
      <c r="C2093" s="45" t="n">
        <v>12.1425764901154</v>
      </c>
      <c r="D2093" s="30" t="inlineStr">
        <is>
          <t>12,14</t>
        </is>
      </c>
      <c r="E2093" s="46" t="inlineStr">
        <is>
          <t>Oui</t>
        </is>
      </c>
    </row>
    <row r="2094">
      <c r="A2094" s="42" t="n">
        <v>189</v>
      </c>
      <c r="B2094" s="28" t="inlineStr">
        <is>
          <t>S8 ROB50 2022</t>
        </is>
      </c>
      <c r="C2094" s="43" t="n">
        <v>80.4351490086715</v>
      </c>
      <c r="D2094" s="28" t="inlineStr">
        <is>
          <t>80,44</t>
        </is>
      </c>
      <c r="E2094" s="44" t="inlineStr">
        <is>
          <t>Oui</t>
        </is>
      </c>
    </row>
    <row r="2095">
      <c r="A2095" s="42" t="n">
        <v>189</v>
      </c>
      <c r="B2095" s="30" t="inlineStr">
        <is>
          <t>S8 ROB50 2023</t>
        </is>
      </c>
      <c r="C2095" s="45" t="n">
        <v>45.4710896645923</v>
      </c>
      <c r="D2095" s="30" t="inlineStr">
        <is>
          <t>45,47</t>
        </is>
      </c>
      <c r="E2095" s="46" t="inlineStr">
        <is>
          <t>Oui</t>
        </is>
      </c>
    </row>
    <row r="2096">
      <c r="A2096" s="42" t="n">
        <v>189</v>
      </c>
      <c r="B2096" s="28" t="inlineStr">
        <is>
          <t>S8 ROB50 2024</t>
        </is>
      </c>
      <c r="C2096" s="43" t="n">
        <v>28.8101534145182</v>
      </c>
      <c r="D2096" s="28" t="inlineStr">
        <is>
          <t>28,81</t>
        </is>
      </c>
      <c r="E2096" s="44" t="inlineStr">
        <is>
          <t>Oui</t>
        </is>
      </c>
    </row>
    <row r="2097">
      <c r="A2097" s="42" t="n">
        <v>189</v>
      </c>
      <c r="B2097" s="30" t="inlineStr">
        <is>
          <t>S8 ROB50 2025</t>
        </is>
      </c>
      <c r="C2097" s="45" t="n">
        <v>21.0269259528704</v>
      </c>
      <c r="D2097" s="30" t="inlineStr">
        <is>
          <t>21,03</t>
        </is>
      </c>
      <c r="E2097" s="46" t="inlineStr">
        <is>
          <t>Oui</t>
        </is>
      </c>
    </row>
    <row r="2098">
      <c r="A2098" s="42" t="n">
        <v>189</v>
      </c>
      <c r="B2098" s="28" t="inlineStr">
        <is>
          <t>S8 ROB50 2026</t>
        </is>
      </c>
      <c r="C2098" s="43" t="n">
        <v>24.4269250527239</v>
      </c>
      <c r="D2098" s="28" t="inlineStr">
        <is>
          <t>24,43</t>
        </is>
      </c>
      <c r="E2098" s="44" t="inlineStr">
        <is>
          <t>Oui</t>
        </is>
      </c>
    </row>
    <row r="2099">
      <c r="A2099" s="42" t="n">
        <v>189</v>
      </c>
      <c r="B2099" s="30" t="inlineStr">
        <is>
          <t>S8 ANS FEP 2020</t>
        </is>
      </c>
      <c r="C2099" s="45" t="n">
        <v>30.3979232748333</v>
      </c>
      <c r="D2099" s="30" t="inlineStr">
        <is>
          <t>30,40</t>
        </is>
      </c>
      <c r="E2099" s="46" t="inlineStr">
        <is>
          <t>Oui</t>
        </is>
      </c>
    </row>
    <row r="2100">
      <c r="A2100" s="42" t="n">
        <v>189</v>
      </c>
      <c r="B2100" s="28" t="inlineStr">
        <is>
          <t>S8 ANS FEP 2021</t>
        </is>
      </c>
      <c r="C2100" s="43" t="n">
        <v>26.9687586086962</v>
      </c>
      <c r="D2100" s="28" t="inlineStr">
        <is>
          <t>26,97</t>
        </is>
      </c>
      <c r="E2100" s="44" t="inlineStr">
        <is>
          <t>Oui</t>
        </is>
      </c>
    </row>
    <row r="2101">
      <c r="A2101" s="42" t="n">
        <v>189</v>
      </c>
      <c r="B2101" s="30" t="inlineStr">
        <is>
          <t>S8 ANS FEP 2022</t>
        </is>
      </c>
      <c r="C2101" s="45" t="n">
        <v>20.0907789226087</v>
      </c>
      <c r="D2101" s="30" t="inlineStr">
        <is>
          <t>20,09</t>
        </is>
      </c>
      <c r="E2101" s="46" t="inlineStr">
        <is>
          <t>Oui</t>
        </is>
      </c>
    </row>
    <row r="2102">
      <c r="A2102" s="42" t="n">
        <v>189</v>
      </c>
      <c r="B2102" s="28" t="inlineStr">
        <is>
          <t>S8 ANS FEP 2023</t>
        </is>
      </c>
      <c r="C2102" s="43" t="n">
        <v>18.2495705206526</v>
      </c>
      <c r="D2102" s="28" t="inlineStr">
        <is>
          <t>18,25</t>
        </is>
      </c>
      <c r="E2102" s="44" t="inlineStr">
        <is>
          <t>Oui</t>
        </is>
      </c>
    </row>
    <row r="2103">
      <c r="A2103" s="42" t="n">
        <v>189</v>
      </c>
      <c r="B2103" s="30" t="inlineStr">
        <is>
          <t>S8 ANS FEP 2024</t>
        </is>
      </c>
      <c r="C2103" s="45" t="n">
        <v>20.3759977298403</v>
      </c>
      <c r="D2103" s="30" t="inlineStr">
        <is>
          <t>20,38</t>
        </is>
      </c>
      <c r="E2103" s="46" t="inlineStr">
        <is>
          <t>Oui</t>
        </is>
      </c>
    </row>
    <row r="2104">
      <c r="A2104" s="42" t="n">
        <v>189</v>
      </c>
      <c r="B2104" s="28" t="inlineStr">
        <is>
          <t>S8 ANS FEP 2025</t>
        </is>
      </c>
      <c r="C2104" s="43" t="n">
        <v>22.2189185141462</v>
      </c>
      <c r="D2104" s="28" t="inlineStr">
        <is>
          <t>22,22</t>
        </is>
      </c>
      <c r="E2104" s="44" t="inlineStr">
        <is>
          <t>Oui</t>
        </is>
      </c>
    </row>
    <row r="2105">
      <c r="A2105" s="42" t="n">
        <v>189</v>
      </c>
      <c r="B2105" s="30" t="inlineStr">
        <is>
          <t>S8 ANS FEP 2026</t>
        </is>
      </c>
      <c r="C2105" s="45" t="n">
        <v>26.1804106113268</v>
      </c>
      <c r="D2105" s="30" t="inlineStr">
        <is>
          <t>26,18</t>
        </is>
      </c>
      <c r="E2105" s="46" t="inlineStr">
        <is>
          <t>Oui</t>
        </is>
      </c>
    </row>
    <row r="2106">
      <c r="A2106" s="42" t="n">
        <v>189</v>
      </c>
      <c r="B2106" s="28" t="inlineStr">
        <is>
          <t>S8 ANS FEP 2025 (b)</t>
        </is>
      </c>
      <c r="C2106" s="43" t="n">
        <v>22.2189185141462</v>
      </c>
      <c r="D2106" s="28" t="inlineStr">
        <is>
          <t>22,22</t>
        </is>
      </c>
      <c r="E2106" s="44" t="inlineStr">
        <is>
          <t>Oui</t>
        </is>
      </c>
    </row>
    <row r="2107">
      <c r="A2107" s="42" t="n">
        <v>190</v>
      </c>
      <c r="B2107" s="30" t="inlineStr">
        <is>
          <t>S8 seuil A</t>
        </is>
      </c>
      <c r="C2107" s="45" t="n">
        <v>0.03</v>
      </c>
      <c r="D2107" s="30" t="inlineStr">
        <is>
          <t>3,00 %</t>
        </is>
      </c>
      <c r="E2107" s="46" t="inlineStr">
        <is>
          <t>Oui</t>
        </is>
      </c>
    </row>
    <row r="2108">
      <c r="A2108" s="42" t="n">
        <v>190</v>
      </c>
      <c r="B2108" s="28" t="inlineStr">
        <is>
          <t>S8 A 2025</t>
        </is>
      </c>
      <c r="C2108" s="43" t="n">
        <v>0.0662708984656898</v>
      </c>
      <c r="D2108" s="28" t="inlineStr">
        <is>
          <t>6,63 %</t>
        </is>
      </c>
      <c r="E2108" s="44" t="inlineStr">
        <is>
          <t>Oui</t>
        </is>
      </c>
    </row>
    <row r="2109">
      <c r="A2109" s="42" t="n">
        <v>190</v>
      </c>
      <c r="B2109" s="30" t="inlineStr">
        <is>
          <t>S8 A 2020</t>
        </is>
      </c>
      <c r="C2109" s="45" t="n">
        <v>859500956</v>
      </c>
      <c r="D2109" s="30" t="inlineStr">
        <is>
          <t>859 500 956 FCFA</t>
        </is>
      </c>
      <c r="E2109" s="46" t="inlineStr">
        <is>
          <t>Oui</t>
        </is>
      </c>
    </row>
    <row r="2110">
      <c r="A2110" s="42" t="n">
        <v>190</v>
      </c>
      <c r="B2110" s="28" t="inlineStr">
        <is>
          <t>S8 A 2021</t>
        </is>
      </c>
      <c r="C2110" s="43" t="n">
        <v>1327261802</v>
      </c>
      <c r="D2110" s="28" t="inlineStr">
        <is>
          <t>1 327 261 802 FCFA</t>
        </is>
      </c>
      <c r="E2110" s="44" t="inlineStr">
        <is>
          <t>Oui</t>
        </is>
      </c>
    </row>
    <row r="2111">
      <c r="A2111" s="42" t="n">
        <v>190</v>
      </c>
      <c r="B2111" s="30" t="inlineStr">
        <is>
          <t>S8 A 2022</t>
        </is>
      </c>
      <c r="C2111" s="45" t="n">
        <v>946571355</v>
      </c>
      <c r="D2111" s="30" t="inlineStr">
        <is>
          <t>946 571 355 FCFA</t>
        </is>
      </c>
      <c r="E2111" s="46" t="inlineStr">
        <is>
          <t>Oui</t>
        </is>
      </c>
    </row>
    <row r="2112">
      <c r="A2112" s="42" t="n">
        <v>190</v>
      </c>
      <c r="B2112" s="28" t="inlineStr">
        <is>
          <t>S8 A 2023</t>
        </is>
      </c>
      <c r="C2112" s="43" t="n">
        <v>81577995</v>
      </c>
      <c r="D2112" s="28" t="inlineStr">
        <is>
          <t>81 577 995 FCFA</t>
        </is>
      </c>
      <c r="E2112" s="44" t="inlineStr">
        <is>
          <t>Oui</t>
        </is>
      </c>
    </row>
    <row r="2113">
      <c r="A2113" s="42" t="n">
        <v>190</v>
      </c>
      <c r="B2113" s="30" t="inlineStr">
        <is>
          <t>S8 A 2024</t>
        </is>
      </c>
      <c r="C2113" s="45" t="n">
        <v>50025847</v>
      </c>
      <c r="D2113" s="30" t="inlineStr">
        <is>
          <t>50 025 847 FCFA</t>
        </is>
      </c>
      <c r="E2113" s="46" t="inlineStr">
        <is>
          <t>Oui</t>
        </is>
      </c>
    </row>
    <row r="2114">
      <c r="A2114" s="42" t="n">
        <v>190</v>
      </c>
      <c r="B2114" s="28" t="inlineStr">
        <is>
          <t>S8 A 2025</t>
        </is>
      </c>
      <c r="C2114" s="43" t="n">
        <v>226523323</v>
      </c>
      <c r="D2114" s="28" t="inlineStr">
        <is>
          <t>226 523 323 FCFA</t>
        </is>
      </c>
      <c r="E2114" s="44" t="inlineStr">
        <is>
          <t>Oui</t>
        </is>
      </c>
    </row>
    <row r="2115">
      <c r="A2115" s="42" t="n">
        <v>190</v>
      </c>
      <c r="B2115" s="30" t="inlineStr">
        <is>
          <t>S8 A 2026</t>
        </is>
      </c>
      <c r="C2115" s="45" t="n">
        <v>20862774</v>
      </c>
      <c r="D2115" s="30" t="inlineStr">
        <is>
          <t>20 862 774 FCFA</t>
        </is>
      </c>
      <c r="E2115" s="46" t="inlineStr">
        <is>
          <t>Oui</t>
        </is>
      </c>
    </row>
    <row r="2116">
      <c r="A2116" s="42" t="n">
        <v>190</v>
      </c>
      <c r="B2116" s="28" t="inlineStr">
        <is>
          <t>S8 A pct 2020</t>
        </is>
      </c>
      <c r="C2116" s="43" t="n">
        <v>0.365711249876031</v>
      </c>
      <c r="D2116" s="28" t="inlineStr">
        <is>
          <t>36,57 %</t>
        </is>
      </c>
      <c r="E2116" s="44" t="inlineStr">
        <is>
          <t>Oui</t>
        </is>
      </c>
    </row>
    <row r="2117">
      <c r="A2117" s="42" t="n">
        <v>190</v>
      </c>
      <c r="B2117" s="30" t="inlineStr">
        <is>
          <t>S8 A pct 2021</t>
        </is>
      </c>
      <c r="C2117" s="45" t="n">
        <v>0.547730060852861</v>
      </c>
      <c r="D2117" s="30" t="inlineStr">
        <is>
          <t>54,77 %</t>
        </is>
      </c>
      <c r="E2117" s="46" t="inlineStr">
        <is>
          <t>Oui</t>
        </is>
      </c>
    </row>
    <row r="2118">
      <c r="A2118" s="42" t="n">
        <v>190</v>
      </c>
      <c r="B2118" s="28" t="inlineStr">
        <is>
          <t>S8 A pct 2022</t>
        </is>
      </c>
      <c r="C2118" s="43" t="n">
        <v>0.370472204894227</v>
      </c>
      <c r="D2118" s="28" t="inlineStr">
        <is>
          <t>37,05 %</t>
        </is>
      </c>
      <c r="E2118" s="44" t="inlineStr">
        <is>
          <t>Oui</t>
        </is>
      </c>
    </row>
    <row r="2119">
      <c r="A2119" s="42" t="n">
        <v>190</v>
      </c>
      <c r="B2119" s="30" t="inlineStr">
        <is>
          <t>S8 A pct 2023</t>
        </is>
      </c>
      <c r="C2119" s="45" t="n">
        <v>0.0294135566977914</v>
      </c>
      <c r="D2119" s="30" t="inlineStr">
        <is>
          <t>2,94 %</t>
        </is>
      </c>
      <c r="E2119" s="46" t="inlineStr">
        <is>
          <t>Oui</t>
        </is>
      </c>
    </row>
    <row r="2120">
      <c r="A2120" s="42" t="n">
        <v>190</v>
      </c>
      <c r="B2120" s="28" t="inlineStr">
        <is>
          <t>S8 A pct 2024</t>
        </is>
      </c>
      <c r="C2120" s="43" t="n">
        <v>0.015903383776138</v>
      </c>
      <c r="D2120" s="28" t="inlineStr">
        <is>
          <t>1,59 %</t>
        </is>
      </c>
      <c r="E2120" s="44" t="inlineStr">
        <is>
          <t>Oui</t>
        </is>
      </c>
    </row>
    <row r="2121">
      <c r="A2121" s="42" t="n">
        <v>190</v>
      </c>
      <c r="B2121" s="30" t="inlineStr">
        <is>
          <t>S8 A pct 2025</t>
        </is>
      </c>
      <c r="C2121" s="45" t="n">
        <v>0.0662708984656898</v>
      </c>
      <c r="D2121" s="30" t="inlineStr">
        <is>
          <t>6,63 %</t>
        </is>
      </c>
      <c r="E2121" s="46" t="inlineStr">
        <is>
          <t>Oui</t>
        </is>
      </c>
    </row>
    <row r="2122">
      <c r="A2122" s="42" t="n">
        <v>190</v>
      </c>
      <c r="B2122" s="28" t="inlineStr">
        <is>
          <t>S8 A pct 2026</t>
        </is>
      </c>
      <c r="C2122" s="43" t="n">
        <v>0.00872117596605677</v>
      </c>
      <c r="D2122" s="28" t="inlineStr">
        <is>
          <t>0,87 %</t>
        </is>
      </c>
      <c r="E2122" s="44" t="inlineStr">
        <is>
          <t>Oui</t>
        </is>
      </c>
    </row>
    <row r="2123">
      <c r="A2123" s="42" t="n">
        <v>190</v>
      </c>
      <c r="B2123" s="30" t="inlineStr">
        <is>
          <t>S8 seuil 2020</t>
        </is>
      </c>
      <c r="C2123" s="45" t="n">
        <v>-0.03</v>
      </c>
      <c r="D2123" s="30" t="inlineStr">
        <is>
          <t>-3,00 %</t>
        </is>
      </c>
      <c r="E2123" s="46" t="inlineStr">
        <is>
          <t>Oui</t>
        </is>
      </c>
    </row>
    <row r="2124">
      <c r="A2124" s="42" t="n">
        <v>190</v>
      </c>
      <c r="B2124" s="28" t="inlineStr">
        <is>
          <t>S8 seuil 2021</t>
        </is>
      </c>
      <c r="C2124" s="43" t="n">
        <v>-0.03</v>
      </c>
      <c r="D2124" s="28" t="inlineStr">
        <is>
          <t>-3,00 %</t>
        </is>
      </c>
      <c r="E2124" s="44" t="inlineStr">
        <is>
          <t>Oui</t>
        </is>
      </c>
    </row>
    <row r="2125">
      <c r="A2125" s="42" t="n">
        <v>190</v>
      </c>
      <c r="B2125" s="30" t="inlineStr">
        <is>
          <t>S8 seuil 2022</t>
        </is>
      </c>
      <c r="C2125" s="45" t="n">
        <v>-0.03</v>
      </c>
      <c r="D2125" s="30" t="inlineStr">
        <is>
          <t>-3,00 %</t>
        </is>
      </c>
      <c r="E2125" s="46" t="inlineStr">
        <is>
          <t>Oui</t>
        </is>
      </c>
    </row>
    <row r="2126">
      <c r="A2126" s="42" t="n">
        <v>190</v>
      </c>
      <c r="B2126" s="28" t="inlineStr">
        <is>
          <t>S8 seuil 2023</t>
        </is>
      </c>
      <c r="C2126" s="43" t="n">
        <v>-0.03</v>
      </c>
      <c r="D2126" s="28" t="inlineStr">
        <is>
          <t>-3,00 %</t>
        </is>
      </c>
      <c r="E2126" s="44" t="inlineStr">
        <is>
          <t>Oui</t>
        </is>
      </c>
    </row>
    <row r="2127">
      <c r="A2127" s="42" t="n">
        <v>190</v>
      </c>
      <c r="B2127" s="30" t="inlineStr">
        <is>
          <t>S8 seuil 2024</t>
        </is>
      </c>
      <c r="C2127" s="45" t="n">
        <v>-0.03</v>
      </c>
      <c r="D2127" s="30" t="inlineStr">
        <is>
          <t>-3,00 %</t>
        </is>
      </c>
      <c r="E2127" s="46" t="inlineStr">
        <is>
          <t>Oui</t>
        </is>
      </c>
    </row>
    <row r="2128">
      <c r="A2128" s="42" t="n">
        <v>190</v>
      </c>
      <c r="B2128" s="28" t="inlineStr">
        <is>
          <t>S8 seuil 2025</t>
        </is>
      </c>
      <c r="C2128" s="43" t="n">
        <v>-0.03</v>
      </c>
      <c r="D2128" s="28" t="inlineStr">
        <is>
          <t>-3,00 %</t>
        </is>
      </c>
      <c r="E2128" s="44" t="inlineStr">
        <is>
          <t>Oui</t>
        </is>
      </c>
    </row>
    <row r="2129">
      <c r="A2129" s="42" t="n">
        <v>190</v>
      </c>
      <c r="B2129" s="30" t="inlineStr">
        <is>
          <t>S8 seuil 2026</t>
        </is>
      </c>
      <c r="C2129" s="45" t="n">
        <v>-0.03</v>
      </c>
      <c r="D2129" s="30" t="inlineStr">
        <is>
          <t>-3,00 %</t>
        </is>
      </c>
      <c r="E2129" s="46" t="inlineStr">
        <is>
          <t>Oui</t>
        </is>
      </c>
    </row>
    <row r="2130">
      <c r="A2130" s="42" t="n">
        <v>190</v>
      </c>
      <c r="B2130" s="28" t="inlineStr">
        <is>
          <t>S8 ex ROB 2020</t>
        </is>
      </c>
      <c r="C2130" s="43" t="n">
        <v>0.8924510038398</v>
      </c>
      <c r="D2130" s="28" t="inlineStr">
        <is>
          <t>0,89</t>
        </is>
      </c>
      <c r="E2130" s="44" t="inlineStr">
        <is>
          <t>Oui</t>
        </is>
      </c>
    </row>
    <row r="2131">
      <c r="A2131" s="42" t="n">
        <v>190</v>
      </c>
      <c r="B2131" s="30" t="inlineStr">
        <is>
          <t>S8 ex ROB 2021</t>
        </is>
      </c>
      <c r="C2131" s="45" t="n">
        <v>2.07704257918404</v>
      </c>
      <c r="D2131" s="30" t="inlineStr">
        <is>
          <t>2,08</t>
        </is>
      </c>
      <c r="E2131" s="46" t="inlineStr">
        <is>
          <t>Oui</t>
        </is>
      </c>
    </row>
    <row r="2132">
      <c r="A2132" s="42" t="n">
        <v>190</v>
      </c>
      <c r="B2132" s="28" t="inlineStr">
        <is>
          <t>S8 ex ROB 2022</t>
        </is>
      </c>
      <c r="C2132" s="43" t="n">
        <v>0.905769616671643</v>
      </c>
      <c r="D2132" s="28" t="inlineStr">
        <is>
          <t>0,91</t>
        </is>
      </c>
      <c r="E2132" s="44" t="inlineStr">
        <is>
          <t>Oui</t>
        </is>
      </c>
    </row>
    <row r="2133">
      <c r="A2133" s="42" t="n">
        <v>190</v>
      </c>
      <c r="B2133" s="30" t="inlineStr">
        <is>
          <t>S8 ex ROB 2023</t>
        </is>
      </c>
      <c r="C2133" s="45" t="n">
        <v>2.45627753743368</v>
      </c>
      <c r="D2133" s="30" t="inlineStr">
        <is>
          <t>2,46</t>
        </is>
      </c>
      <c r="E2133" s="46" t="inlineStr">
        <is>
          <t>Oui</t>
        </is>
      </c>
    </row>
    <row r="2134">
      <c r="A2134" s="42" t="n">
        <v>190</v>
      </c>
      <c r="B2134" s="28" t="inlineStr">
        <is>
          <t>S8 ex ROB 2024</t>
        </is>
      </c>
      <c r="C2134" s="43" t="n">
        <v>4.03426105126478</v>
      </c>
      <c r="D2134" s="28" t="inlineStr">
        <is>
          <t>4,03</t>
        </is>
      </c>
      <c r="E2134" s="44" t="inlineStr">
        <is>
          <t>Oui</t>
        </is>
      </c>
    </row>
    <row r="2135">
      <c r="A2135" s="42" t="n">
        <v>190</v>
      </c>
      <c r="B2135" s="30" t="inlineStr">
        <is>
          <t>S8 ex ROB 2025</t>
        </is>
      </c>
      <c r="C2135" s="45" t="n">
        <v>5.74807069687674</v>
      </c>
      <c r="D2135" s="30" t="inlineStr">
        <is>
          <t>5,75</t>
        </is>
      </c>
      <c r="E2135" s="46" t="inlineStr">
        <is>
          <t>Oui</t>
        </is>
      </c>
    </row>
    <row r="2136">
      <c r="A2136" s="42" t="n">
        <v>190</v>
      </c>
      <c r="B2136" s="28" t="inlineStr">
        <is>
          <t>S8 ex ROB 2026</t>
        </is>
      </c>
      <c r="C2136" s="43" t="n">
        <v>7.51967970371622</v>
      </c>
      <c r="D2136" s="28" t="inlineStr">
        <is>
          <t>7,52</t>
        </is>
      </c>
      <c r="E2136" s="44" t="inlineStr">
        <is>
          <t>Oui</t>
        </is>
      </c>
    </row>
    <row r="2137">
      <c r="A2137" s="42" t="n">
        <v>190</v>
      </c>
      <c r="B2137" s="30" t="inlineStr">
        <is>
          <t>S8 ex ROB 2025 (b)</t>
        </is>
      </c>
      <c r="C2137" s="45" t="n">
        <v>5.74807069687674</v>
      </c>
      <c r="D2137" s="30" t="inlineStr">
        <is>
          <t>5,75</t>
        </is>
      </c>
      <c r="E2137" s="46" t="inlineStr">
        <is>
          <t>Oui</t>
        </is>
      </c>
    </row>
    <row r="2138">
      <c r="A2138" s="42" t="n">
        <v>191</v>
      </c>
      <c r="B2138" s="28" t="inlineStr">
        <is>
          <t>S8 inf moy</t>
        </is>
      </c>
      <c r="C2138" s="43" t="n">
        <v>0.0320823585746171</v>
      </c>
      <c r="D2138" s="28" t="inlineStr">
        <is>
          <t>3,21 %</t>
        </is>
      </c>
      <c r="E2138" s="44" t="inlineStr">
        <is>
          <t>Oui</t>
        </is>
      </c>
    </row>
    <row r="2139">
      <c r="A2139" s="42" t="n">
        <v>191</v>
      </c>
      <c r="B2139" s="30" t="inlineStr">
        <is>
          <t>S8 inf max</t>
        </is>
      </c>
      <c r="C2139" s="45" t="n">
        <v>0.080394890697657</v>
      </c>
      <c r="D2139" s="30" t="inlineStr">
        <is>
          <t>8,04 %</t>
        </is>
      </c>
      <c r="E2139" s="46" t="inlineStr">
        <is>
          <t>Oui</t>
        </is>
      </c>
    </row>
    <row r="2140">
      <c r="A2140" s="42" t="n">
        <v>191</v>
      </c>
      <c r="B2140" s="28" t="inlineStr">
        <is>
          <t>S8 poids labo</t>
        </is>
      </c>
      <c r="C2140" s="43" t="n">
        <v>0.6731145320534591</v>
      </c>
      <c r="D2140" s="28" t="inlineStr">
        <is>
          <t>67,31 %</t>
        </is>
      </c>
      <c r="E2140" s="44" t="inlineStr">
        <is>
          <t>Oui</t>
        </is>
      </c>
    </row>
    <row r="2141">
      <c r="A2141" s="42" t="n">
        <v>191</v>
      </c>
      <c r="B2141" s="30" t="inlineStr">
        <is>
          <t>S8 labo avr22</t>
        </is>
      </c>
      <c r="C2141" s="45" t="n">
        <v>102.792322219632</v>
      </c>
      <c r="D2141" s="30" t="inlineStr">
        <is>
          <t>102,79</t>
        </is>
      </c>
      <c r="E2141" s="46" t="inlineStr">
        <is>
          <t>Oui</t>
        </is>
      </c>
    </row>
    <row r="2142">
      <c r="A2142" s="42" t="n">
        <v>191</v>
      </c>
      <c r="B2142" s="28" t="inlineStr">
        <is>
          <t>S8 labo juil22</t>
        </is>
      </c>
      <c r="C2142" s="43" t="n">
        <v>124.251205409186</v>
      </c>
      <c r="D2142" s="28" t="inlineStr">
        <is>
          <t>124,25</t>
        </is>
      </c>
      <c r="E2142" s="44" t="inlineStr">
        <is>
          <t>Oui</t>
        </is>
      </c>
    </row>
    <row r="2143">
      <c r="A2143" s="42" t="n">
        <v>191</v>
      </c>
      <c r="B2143" s="30" t="inlineStr">
        <is>
          <t>S8 inf 2025</t>
        </is>
      </c>
      <c r="C2143" s="45" t="n">
        <v>-0.0186666666666667</v>
      </c>
      <c r="D2143" s="30" t="inlineStr">
        <is>
          <t>-1,87 %</t>
        </is>
      </c>
      <c r="E2143" s="46" t="inlineStr">
        <is>
          <t>Oui</t>
        </is>
      </c>
    </row>
    <row r="2144">
      <c r="A2144" s="42" t="n">
        <v>191</v>
      </c>
      <c r="B2144" s="28" t="inlineStr">
        <is>
          <t>S8 inf max (c)</t>
        </is>
      </c>
      <c r="C2144" s="43" t="n">
        <v>0.080394890697657</v>
      </c>
      <c r="D2144" s="28" t="inlineStr">
        <is>
          <t>8,04 %</t>
        </is>
      </c>
      <c r="E2144" s="44" t="inlineStr">
        <is>
          <t>Oui</t>
        </is>
      </c>
    </row>
    <row r="2145">
      <c r="A2145" s="42" t="n">
        <v>191</v>
      </c>
      <c r="B2145" s="30" t="inlineStr">
        <is>
          <t>S8 mult prest</t>
        </is>
      </c>
      <c r="C2145" s="45" t="n">
        <v>8.608025182936805</v>
      </c>
      <c r="D2145" s="30" t="inlineStr">
        <is>
          <t>8,61</t>
        </is>
      </c>
      <c r="E2145" s="46" t="inlineStr">
        <is>
          <t>Oui</t>
        </is>
      </c>
    </row>
    <row r="2146">
      <c r="A2146" s="42" t="n">
        <v>192</v>
      </c>
      <c r="B2146" s="28" t="inlineStr">
        <is>
          <t>S8 S80 2026 (st)</t>
        </is>
      </c>
      <c r="C2146" s="43" t="n">
        <v>0.06387510043099449</v>
      </c>
      <c r="D2146" s="28" t="inlineStr">
        <is>
          <t>6,39 %</t>
        </is>
      </c>
      <c r="E2146" s="44" t="inlineStr">
        <is>
          <t>Oui</t>
        </is>
      </c>
    </row>
    <row r="2147">
      <c r="A2147" s="42" t="n">
        <v>192</v>
      </c>
      <c r="B2147" s="30" t="inlineStr">
        <is>
          <t>S8 S80 2026</t>
        </is>
      </c>
      <c r="C2147" s="45" t="n">
        <v>0.06387510043099449</v>
      </c>
      <c r="D2147" s="30" t="inlineStr">
        <is>
          <t>6,39 %</t>
        </is>
      </c>
      <c r="E2147" s="46" t="inlineStr">
        <is>
          <t>Oui</t>
        </is>
      </c>
    </row>
    <row r="2148">
      <c r="A2148" s="42" t="n">
        <v>192</v>
      </c>
      <c r="B2148" s="28" t="inlineStr">
        <is>
          <t>S8 inf max (b)</t>
        </is>
      </c>
      <c r="C2148" s="43" t="n">
        <v>0.080394890697657</v>
      </c>
      <c r="D2148" s="28" t="inlineStr">
        <is>
          <t>8,04 %</t>
        </is>
      </c>
      <c r="E2148" s="44" t="inlineStr">
        <is>
          <t>Oui</t>
        </is>
      </c>
    </row>
    <row r="2149">
      <c r="A2149" s="42" t="n">
        <v>192</v>
      </c>
      <c r="B2149" s="30" t="inlineStr">
        <is>
          <t>S8 hausse 0</t>
        </is>
      </c>
      <c r="C2149" s="45" t="n">
        <v>-0.02</v>
      </c>
      <c r="D2149" s="30" t="inlineStr">
        <is>
          <t>-2,00 %</t>
        </is>
      </c>
      <c r="E2149" s="46" t="inlineStr">
        <is>
          <t>Oui</t>
        </is>
      </c>
    </row>
    <row r="2150">
      <c r="A2150" s="42" t="n">
        <v>192</v>
      </c>
      <c r="B2150" s="28" t="inlineStr">
        <is>
          <t>S8 SIN25 0</t>
        </is>
      </c>
      <c r="C2150" s="43" t="n">
        <v>0.563310928293921</v>
      </c>
      <c r="D2150" s="28" t="inlineStr">
        <is>
          <t>56,33 %</t>
        </is>
      </c>
      <c r="E2150" s="44" t="inlineStr">
        <is>
          <t>Oui</t>
        </is>
      </c>
    </row>
    <row r="2151">
      <c r="A2151" s="42" t="n">
        <v>192</v>
      </c>
      <c r="B2151" s="30" t="inlineStr">
        <is>
          <t>S8 SIN26 0</t>
        </is>
      </c>
      <c r="C2151" s="45" t="n">
        <v>0.736928610964189</v>
      </c>
      <c r="D2151" s="30" t="inlineStr">
        <is>
          <t>73,69 %</t>
        </is>
      </c>
      <c r="E2151" s="46" t="inlineStr">
        <is>
          <t>Oui</t>
        </is>
      </c>
    </row>
    <row r="2152">
      <c r="A2152" s="42" t="n">
        <v>192</v>
      </c>
      <c r="B2152" s="28" t="inlineStr">
        <is>
          <t>S8 hausse 1</t>
        </is>
      </c>
      <c r="C2152" s="43" t="n">
        <v>0</v>
      </c>
      <c r="D2152" s="28" t="inlineStr">
        <is>
          <t>0,00 %</t>
        </is>
      </c>
      <c r="E2152" s="44" t="inlineStr">
        <is>
          <t>Oui</t>
        </is>
      </c>
    </row>
    <row r="2153">
      <c r="A2153" s="42" t="n">
        <v>192</v>
      </c>
      <c r="B2153" s="30" t="inlineStr">
        <is>
          <t>S8 SIN25 1</t>
        </is>
      </c>
      <c r="C2153" s="45" t="n">
        <v>0.574807069687674</v>
      </c>
      <c r="D2153" s="30" t="inlineStr">
        <is>
          <t>57,48 %</t>
        </is>
      </c>
      <c r="E2153" s="46" t="inlineStr">
        <is>
          <t>Oui</t>
        </is>
      </c>
    </row>
    <row r="2154">
      <c r="A2154" s="42" t="n">
        <v>192</v>
      </c>
      <c r="B2154" s="28" t="inlineStr">
        <is>
          <t>S8 SIN26 1</t>
        </is>
      </c>
      <c r="C2154" s="43" t="n">
        <v>0.751967970371622</v>
      </c>
      <c r="D2154" s="28" t="inlineStr">
        <is>
          <t>75,20 %</t>
        </is>
      </c>
      <c r="E2154" s="44" t="inlineStr">
        <is>
          <t>Oui</t>
        </is>
      </c>
    </row>
    <row r="2155">
      <c r="A2155" s="42" t="n">
        <v>192</v>
      </c>
      <c r="B2155" s="30" t="inlineStr">
        <is>
          <t>S8 hausse 2</t>
        </is>
      </c>
      <c r="C2155" s="45" t="n">
        <v>0.02</v>
      </c>
      <c r="D2155" s="30" t="inlineStr">
        <is>
          <t>2,00 %</t>
        </is>
      </c>
      <c r="E2155" s="46" t="inlineStr">
        <is>
          <t>Oui</t>
        </is>
      </c>
    </row>
    <row r="2156">
      <c r="A2156" s="42" t="n">
        <v>192</v>
      </c>
      <c r="B2156" s="28" t="inlineStr">
        <is>
          <t>S8 SIN25 2</t>
        </is>
      </c>
      <c r="C2156" s="43" t="n">
        <v>0.586303211081428</v>
      </c>
      <c r="D2156" s="28" t="inlineStr">
        <is>
          <t>58,63 %</t>
        </is>
      </c>
      <c r="E2156" s="44" t="inlineStr">
        <is>
          <t>Oui</t>
        </is>
      </c>
    </row>
    <row r="2157">
      <c r="A2157" s="42" t="n">
        <v>192</v>
      </c>
      <c r="B2157" s="30" t="inlineStr">
        <is>
          <t>S8 SIN26 2</t>
        </is>
      </c>
      <c r="C2157" s="45" t="n">
        <v>0.7670073297790539</v>
      </c>
      <c r="D2157" s="30" t="inlineStr">
        <is>
          <t>76,70 %</t>
        </is>
      </c>
      <c r="E2157" s="46" t="inlineStr">
        <is>
          <t>Oui</t>
        </is>
      </c>
    </row>
    <row r="2158">
      <c r="A2158" s="42" t="n">
        <v>192</v>
      </c>
      <c r="B2158" s="28" t="inlineStr">
        <is>
          <t>S8 hausse 3</t>
        </is>
      </c>
      <c r="C2158" s="43" t="n">
        <v>0.04</v>
      </c>
      <c r="D2158" s="28" t="inlineStr">
        <is>
          <t>4,00 %</t>
        </is>
      </c>
      <c r="E2158" s="44" t="inlineStr">
        <is>
          <t>Oui</t>
        </is>
      </c>
    </row>
    <row r="2159">
      <c r="A2159" s="42" t="n">
        <v>192</v>
      </c>
      <c r="B2159" s="30" t="inlineStr">
        <is>
          <t>S8 SIN25 3</t>
        </is>
      </c>
      <c r="C2159" s="45" t="n">
        <v>0.597799352475181</v>
      </c>
      <c r="D2159" s="30" t="inlineStr">
        <is>
          <t>59,78 %</t>
        </is>
      </c>
      <c r="E2159" s="46" t="inlineStr">
        <is>
          <t>Oui</t>
        </is>
      </c>
    </row>
    <row r="2160">
      <c r="A2160" s="42" t="n">
        <v>192</v>
      </c>
      <c r="B2160" s="28" t="inlineStr">
        <is>
          <t>S8 SIN26 3</t>
        </is>
      </c>
      <c r="C2160" s="43" t="n">
        <v>0.782046689186487</v>
      </c>
      <c r="D2160" s="28" t="inlineStr">
        <is>
          <t>78,20 %</t>
        </is>
      </c>
      <c r="E2160" s="44" t="inlineStr">
        <is>
          <t>Oui</t>
        </is>
      </c>
    </row>
    <row r="2161">
      <c r="A2161" s="42" t="n">
        <v>192</v>
      </c>
      <c r="B2161" s="30" t="inlineStr">
        <is>
          <t>S8 hausse 4</t>
        </is>
      </c>
      <c r="C2161" s="45" t="n">
        <v>0.06</v>
      </c>
      <c r="D2161" s="30" t="inlineStr">
        <is>
          <t>6,00 %</t>
        </is>
      </c>
      <c r="E2161" s="46" t="inlineStr">
        <is>
          <t>Oui</t>
        </is>
      </c>
    </row>
    <row r="2162">
      <c r="A2162" s="42" t="n">
        <v>192</v>
      </c>
      <c r="B2162" s="28" t="inlineStr">
        <is>
          <t>S8 SIN25 4</t>
        </is>
      </c>
      <c r="C2162" s="43" t="n">
        <v>0.609295493868934</v>
      </c>
      <c r="D2162" s="28" t="inlineStr">
        <is>
          <t>60,93 %</t>
        </is>
      </c>
      <c r="E2162" s="44" t="inlineStr">
        <is>
          <t>Oui</t>
        </is>
      </c>
    </row>
    <row r="2163">
      <c r="A2163" s="42" t="n">
        <v>192</v>
      </c>
      <c r="B2163" s="30" t="inlineStr">
        <is>
          <t>S8 SIN26 4</t>
        </is>
      </c>
      <c r="C2163" s="45" t="n">
        <v>0.797086048593919</v>
      </c>
      <c r="D2163" s="30" t="inlineStr">
        <is>
          <t>79,71 %</t>
        </is>
      </c>
      <c r="E2163" s="46" t="inlineStr">
        <is>
          <t>Oui</t>
        </is>
      </c>
    </row>
    <row r="2164">
      <c r="A2164" s="42" t="n">
        <v>192</v>
      </c>
      <c r="B2164" s="28" t="inlineStr">
        <is>
          <t>S8 hausse 5</t>
        </is>
      </c>
      <c r="C2164" s="43" t="n">
        <v>0.08</v>
      </c>
      <c r="D2164" s="28" t="inlineStr">
        <is>
          <t>8,00 %</t>
        </is>
      </c>
      <c r="E2164" s="44" t="inlineStr">
        <is>
          <t>Oui</t>
        </is>
      </c>
    </row>
    <row r="2165">
      <c r="A2165" s="42" t="n">
        <v>192</v>
      </c>
      <c r="B2165" s="30" t="inlineStr">
        <is>
          <t>S8 SIN25 5</t>
        </is>
      </c>
      <c r="C2165" s="45" t="n">
        <v>0.620791635262688</v>
      </c>
      <c r="D2165" s="30" t="inlineStr">
        <is>
          <t>62,08 %</t>
        </is>
      </c>
      <c r="E2165" s="46" t="inlineStr">
        <is>
          <t>Oui</t>
        </is>
      </c>
    </row>
    <row r="2166">
      <c r="A2166" s="42" t="n">
        <v>192</v>
      </c>
      <c r="B2166" s="28" t="inlineStr">
        <is>
          <t>S8 SIN26 5</t>
        </is>
      </c>
      <c r="C2166" s="43" t="n">
        <v>0.812125408001352</v>
      </c>
      <c r="D2166" s="28" t="inlineStr">
        <is>
          <t>81,21 %</t>
        </is>
      </c>
      <c r="E2166" s="44" t="inlineStr">
        <is>
          <t>Oui</t>
        </is>
      </c>
    </row>
    <row r="2167">
      <c r="A2167" s="42" t="n">
        <v>192</v>
      </c>
      <c r="B2167" s="30" t="inlineStr">
        <is>
          <t>S8 hausse 6</t>
        </is>
      </c>
      <c r="C2167" s="45" t="n">
        <v>0.1</v>
      </c>
      <c r="D2167" s="30" t="inlineStr">
        <is>
          <t>10,00 %</t>
        </is>
      </c>
      <c r="E2167" s="46" t="inlineStr">
        <is>
          <t>Oui</t>
        </is>
      </c>
    </row>
    <row r="2168">
      <c r="A2168" s="42" t="n">
        <v>192</v>
      </c>
      <c r="B2168" s="28" t="inlineStr">
        <is>
          <t>S8 SIN25 6</t>
        </is>
      </c>
      <c r="C2168" s="43" t="n">
        <v>0.632287776656442</v>
      </c>
      <c r="D2168" s="28" t="inlineStr">
        <is>
          <t>63,23 %</t>
        </is>
      </c>
      <c r="E2168" s="44" t="inlineStr">
        <is>
          <t>Oui</t>
        </is>
      </c>
    </row>
    <row r="2169">
      <c r="A2169" s="42" t="n">
        <v>192</v>
      </c>
      <c r="B2169" s="30" t="inlineStr">
        <is>
          <t>S8 SIN26 6</t>
        </is>
      </c>
      <c r="C2169" s="45" t="n">
        <v>0.827164767408784</v>
      </c>
      <c r="D2169" s="30" t="inlineStr">
        <is>
          <t>82,72 %</t>
        </is>
      </c>
      <c r="E2169" s="46" t="inlineStr">
        <is>
          <t>Oui</t>
        </is>
      </c>
    </row>
    <row r="2170">
      <c r="A2170" s="42" t="n">
        <v>192</v>
      </c>
      <c r="B2170" s="28" t="inlineStr">
        <is>
          <t>S8 hausse 7</t>
        </is>
      </c>
      <c r="C2170" s="43" t="n">
        <v>0.0320823585746171</v>
      </c>
      <c r="D2170" s="28" t="inlineStr">
        <is>
          <t>3,21 %</t>
        </is>
      </c>
      <c r="E2170" s="44" t="inlineStr">
        <is>
          <t>Oui</t>
        </is>
      </c>
    </row>
    <row r="2171">
      <c r="A2171" s="42" t="n">
        <v>192</v>
      </c>
      <c r="B2171" s="30" t="inlineStr">
        <is>
          <t>S8 SIN25 7</t>
        </is>
      </c>
      <c r="C2171" s="45" t="n">
        <v>0.593248236208619</v>
      </c>
      <c r="D2171" s="30" t="inlineStr">
        <is>
          <t>59,32 %</t>
        </is>
      </c>
      <c r="E2171" s="46" t="inlineStr">
        <is>
          <t>Oui</t>
        </is>
      </c>
    </row>
    <row r="2172">
      <c r="A2172" s="42" t="n">
        <v>192</v>
      </c>
      <c r="B2172" s="28" t="inlineStr">
        <is>
          <t>S8 SIN26 7</t>
        </is>
      </c>
      <c r="C2172" s="43" t="n">
        <v>0.7760928764337111</v>
      </c>
      <c r="D2172" s="28" t="inlineStr">
        <is>
          <t>77,61 %</t>
        </is>
      </c>
      <c r="E2172" s="44" t="inlineStr">
        <is>
          <t>Oui</t>
        </is>
      </c>
    </row>
    <row r="2173">
      <c r="A2173" s="42" t="n">
        <v>192</v>
      </c>
      <c r="B2173" s="30" t="inlineStr">
        <is>
          <t>S8 hausse 8</t>
        </is>
      </c>
      <c r="C2173" s="45" t="n">
        <v>0.080394890697657</v>
      </c>
      <c r="D2173" s="30" t="inlineStr">
        <is>
          <t>8,04 %</t>
        </is>
      </c>
      <c r="E2173" s="46" t="inlineStr">
        <is>
          <t>Oui</t>
        </is>
      </c>
    </row>
    <row r="2174">
      <c r="A2174" s="42" t="n">
        <v>192</v>
      </c>
      <c r="B2174" s="28" t="inlineStr">
        <is>
          <t>S8 SIN25 8</t>
        </is>
      </c>
      <c r="C2174" s="43" t="n">
        <v>0.621018621227455</v>
      </c>
      <c r="D2174" s="28" t="inlineStr">
        <is>
          <t>62,10 %</t>
        </is>
      </c>
      <c r="E2174" s="44" t="inlineStr">
        <is>
          <t>Oui</t>
        </is>
      </c>
    </row>
    <row r="2175">
      <c r="A2175" s="42" t="n">
        <v>192</v>
      </c>
      <c r="B2175" s="30" t="inlineStr">
        <is>
          <t>S8 SIN26 8</t>
        </is>
      </c>
      <c r="C2175" s="45" t="n">
        <v>0.812422353157787</v>
      </c>
      <c r="D2175" s="30" t="inlineStr">
        <is>
          <t>81,24 %</t>
        </is>
      </c>
      <c r="E2175" s="46" t="inlineStr">
        <is>
          <t>Oui</t>
        </is>
      </c>
    </row>
    <row r="2176">
      <c r="A2176" s="42" t="n">
        <v>192</v>
      </c>
      <c r="B2176" s="28" t="inlineStr">
        <is>
          <t>S8 S80 2026 (b)</t>
        </is>
      </c>
      <c r="C2176" s="43" t="n">
        <v>0.06387510043099449</v>
      </c>
      <c r="D2176" s="28" t="inlineStr">
        <is>
          <t>6,39 %</t>
        </is>
      </c>
      <c r="E2176" s="44" t="inlineStr">
        <is>
          <t>Oui</t>
        </is>
      </c>
    </row>
    <row r="2177">
      <c r="A2177" s="42" t="n">
        <v>192</v>
      </c>
      <c r="B2177" s="30" t="inlineStr">
        <is>
          <t>S8 S70 2025</t>
        </is>
      </c>
      <c r="C2177" s="45" t="n">
        <v>0.217799913943909</v>
      </c>
      <c r="D2177" s="30" t="inlineStr">
        <is>
          <t>21,78 %</t>
        </is>
      </c>
      <c r="E2177" s="46" t="inlineStr">
        <is>
          <t>Oui</t>
        </is>
      </c>
    </row>
    <row r="2178">
      <c r="A2178" s="42" t="n">
        <v>193</v>
      </c>
      <c r="B2178" s="28" t="inlineStr">
        <is>
          <t>S8 inv5 der</t>
        </is>
      </c>
      <c r="C2178" s="43" t="n">
        <v>0.0711</v>
      </c>
      <c r="D2178" s="28" t="inlineStr">
        <is>
          <t>7,11 %</t>
        </is>
      </c>
      <c r="E2178" s="44" t="inlineStr">
        <is>
          <t>Oui</t>
        </is>
      </c>
    </row>
    <row r="2179">
      <c r="A2179" s="42" t="n">
        <v>193</v>
      </c>
      <c r="B2179" s="30" t="inlineStr">
        <is>
          <t>S8 inv10 der</t>
        </is>
      </c>
      <c r="C2179" s="45" t="n">
        <v>0.074</v>
      </c>
      <c r="D2179" s="30" t="inlineStr">
        <is>
          <t>7,40 %</t>
        </is>
      </c>
      <c r="E2179" s="46" t="inlineStr">
        <is>
          <t>Oui</t>
        </is>
      </c>
    </row>
    <row r="2180">
      <c r="A2180" s="42" t="n">
        <v>193</v>
      </c>
      <c r="B2180" s="28" t="inlineStr">
        <is>
          <t>S8 RL6 2021</t>
        </is>
      </c>
      <c r="C2180" s="43" t="n">
        <v>0.0619811813771</v>
      </c>
      <c r="D2180" s="28" t="inlineStr">
        <is>
          <t>6,20 %</t>
        </is>
      </c>
      <c r="E2180" s="44" t="inlineStr">
        <is>
          <t>Oui</t>
        </is>
      </c>
    </row>
    <row r="2181">
      <c r="A2181" s="42" t="n">
        <v>193</v>
      </c>
      <c r="B2181" s="30" t="inlineStr">
        <is>
          <t>S8 RL6 2022</t>
        </is>
      </c>
      <c r="C2181" s="45" t="n">
        <v>0.0130243813947911</v>
      </c>
      <c r="D2181" s="30" t="inlineStr">
        <is>
          <t>1,30 %</t>
        </is>
      </c>
      <c r="E2181" s="46" t="inlineStr">
        <is>
          <t>Oui</t>
        </is>
      </c>
    </row>
    <row r="2182">
      <c r="A2182" s="42" t="n">
        <v>193</v>
      </c>
      <c r="B2182" s="28" t="inlineStr">
        <is>
          <t>S8 RL6 2023</t>
        </is>
      </c>
      <c r="C2182" s="43" t="n">
        <v>0.0127618557357457</v>
      </c>
      <c r="D2182" s="28" t="inlineStr">
        <is>
          <t>1,28 %</t>
        </is>
      </c>
      <c r="E2182" s="44" t="inlineStr">
        <is>
          <t>Oui</t>
        </is>
      </c>
    </row>
    <row r="2183">
      <c r="A2183" s="42" t="n">
        <v>193</v>
      </c>
      <c r="B2183" s="30" t="inlineStr">
        <is>
          <t>S8 RL6 2024</t>
        </is>
      </c>
      <c r="C2183" s="45" t="n">
        <v>0.0173120134507071</v>
      </c>
      <c r="D2183" s="30" t="inlineStr">
        <is>
          <t>1,73 %</t>
        </is>
      </c>
      <c r="E2183" s="46" t="inlineStr">
        <is>
          <t>Oui</t>
        </is>
      </c>
    </row>
    <row r="2184">
      <c r="A2184" s="42" t="n">
        <v>193</v>
      </c>
      <c r="B2184" s="28" t="inlineStr">
        <is>
          <t>S8 RL6 2025</t>
        </is>
      </c>
      <c r="C2184" s="43" t="n">
        <v>0.228827023659462</v>
      </c>
      <c r="D2184" s="28" t="inlineStr">
        <is>
          <t>22,88 %</t>
        </is>
      </c>
      <c r="E2184" s="44" t="inlineStr">
        <is>
          <t>Oui</t>
        </is>
      </c>
    </row>
    <row r="2185">
      <c r="A2185" s="42" t="n">
        <v>193</v>
      </c>
      <c r="B2185" s="30" t="inlineStr">
        <is>
          <t>S8 DAT 2024</t>
        </is>
      </c>
      <c r="C2185" s="45" t="n">
        <v>0.04245</v>
      </c>
      <c r="D2185" s="30" t="inlineStr">
        <is>
          <t>4,25 %</t>
        </is>
      </c>
      <c r="E2185" s="46" t="inlineStr">
        <is>
          <t>Oui</t>
        </is>
      </c>
    </row>
    <row r="2186">
      <c r="A2186" s="42" t="n">
        <v>193</v>
      </c>
      <c r="B2186" s="28" t="inlineStr">
        <is>
          <t>S8 DAT 2025</t>
        </is>
      </c>
      <c r="C2186" s="43" t="n">
        <v>0.04725</v>
      </c>
      <c r="D2186" s="28" t="inlineStr">
        <is>
          <t>4,72 %</t>
        </is>
      </c>
      <c r="E2186" s="44" t="inlineStr">
        <is>
          <t>Oui</t>
        </is>
      </c>
    </row>
    <row r="2187">
      <c r="A2187" s="42" t="n">
        <v>193</v>
      </c>
      <c r="B2187" s="30" t="inlineStr">
        <is>
          <t>S8 inv5 2021</t>
        </is>
      </c>
      <c r="C2187" s="45" t="n">
        <v>0.0565982383419689</v>
      </c>
      <c r="D2187" s="30" t="inlineStr">
        <is>
          <t>5,66 %</t>
        </is>
      </c>
      <c r="E2187" s="46" t="inlineStr">
        <is>
          <t>Oui</t>
        </is>
      </c>
    </row>
    <row r="2188">
      <c r="A2188" s="42" t="n">
        <v>193</v>
      </c>
      <c r="B2188" s="28" t="inlineStr">
        <is>
          <t>S8 inv5 2022</t>
        </is>
      </c>
      <c r="C2188" s="43" t="n">
        <v>0.05194212</v>
      </c>
      <c r="D2188" s="28" t="inlineStr">
        <is>
          <t>5,19 %</t>
        </is>
      </c>
      <c r="E2188" s="44" t="inlineStr">
        <is>
          <t>Oui</t>
        </is>
      </c>
    </row>
    <row r="2189">
      <c r="A2189" s="42" t="n">
        <v>193</v>
      </c>
      <c r="B2189" s="30" t="inlineStr">
        <is>
          <t>S8 inv5 2023</t>
        </is>
      </c>
      <c r="C2189" s="45" t="n">
        <v>0.0686090456431535</v>
      </c>
      <c r="D2189" s="30" t="inlineStr">
        <is>
          <t>6,86 %</t>
        </is>
      </c>
      <c r="E2189" s="46" t="inlineStr">
        <is>
          <t>Oui</t>
        </is>
      </c>
    </row>
    <row r="2190">
      <c r="A2190" s="42" t="n">
        <v>193</v>
      </c>
      <c r="B2190" s="28" t="inlineStr">
        <is>
          <t>S8 inv5 2024</t>
        </is>
      </c>
      <c r="C2190" s="43" t="n">
        <v>0.07732133064516131</v>
      </c>
      <c r="D2190" s="28" t="inlineStr">
        <is>
          <t>7,73 %</t>
        </is>
      </c>
      <c r="E2190" s="44" t="inlineStr">
        <is>
          <t>Oui</t>
        </is>
      </c>
    </row>
    <row r="2191">
      <c r="A2191" s="42" t="n">
        <v>193</v>
      </c>
      <c r="B2191" s="30" t="inlineStr">
        <is>
          <t>S8 inv5 2025</t>
        </is>
      </c>
      <c r="C2191" s="45" t="n">
        <v>0.0768035483870968</v>
      </c>
      <c r="D2191" s="30" t="inlineStr">
        <is>
          <t>7,68 %</t>
        </is>
      </c>
      <c r="E2191" s="46" t="inlineStr">
        <is>
          <t>Oui</t>
        </is>
      </c>
    </row>
    <row r="2192">
      <c r="A2192" s="42" t="n">
        <v>193</v>
      </c>
      <c r="B2192" s="28" t="inlineStr">
        <is>
          <t>S8 inv10 2021</t>
        </is>
      </c>
      <c r="C2192" s="43" t="n">
        <v>0.0619274742268041</v>
      </c>
      <c r="D2192" s="28" t="inlineStr">
        <is>
          <t>6,19 %</t>
        </is>
      </c>
      <c r="E2192" s="44" t="inlineStr">
        <is>
          <t>Oui</t>
        </is>
      </c>
    </row>
    <row r="2193">
      <c r="A2193" s="42" t="n">
        <v>193</v>
      </c>
      <c r="B2193" s="30" t="inlineStr">
        <is>
          <t>S8 inv10 2022</t>
        </is>
      </c>
      <c r="C2193" s="45" t="n">
        <v>0.0593244594594595</v>
      </c>
      <c r="D2193" s="30" t="inlineStr">
        <is>
          <t>5,93 %</t>
        </is>
      </c>
      <c r="E2193" s="46" t="inlineStr">
        <is>
          <t>Oui</t>
        </is>
      </c>
    </row>
    <row r="2194">
      <c r="A2194" s="42" t="n">
        <v>193</v>
      </c>
      <c r="B2194" s="28" t="inlineStr">
        <is>
          <t>S8 inv10 2023</t>
        </is>
      </c>
      <c r="C2194" s="43" t="n">
        <v>0.077855358649789</v>
      </c>
      <c r="D2194" s="28" t="inlineStr">
        <is>
          <t>7,79 %</t>
        </is>
      </c>
      <c r="E2194" s="44" t="inlineStr">
        <is>
          <t>Oui</t>
        </is>
      </c>
    </row>
    <row r="2195">
      <c r="A2195" s="42" t="n">
        <v>193</v>
      </c>
      <c r="B2195" s="30" t="inlineStr">
        <is>
          <t>S8 inv10 2024</t>
        </is>
      </c>
      <c r="C2195" s="45" t="n">
        <v>0.07696895161290319</v>
      </c>
      <c r="D2195" s="30" t="inlineStr">
        <is>
          <t>7,70 %</t>
        </is>
      </c>
      <c r="E2195" s="46" t="inlineStr">
        <is>
          <t>Oui</t>
        </is>
      </c>
    </row>
    <row r="2196">
      <c r="A2196" s="42" t="n">
        <v>193</v>
      </c>
      <c r="B2196" s="28" t="inlineStr">
        <is>
          <t>S8 inv10 2025</t>
        </is>
      </c>
      <c r="C2196" s="43" t="n">
        <v>0.07191774193548391</v>
      </c>
      <c r="D2196" s="28" t="inlineStr">
        <is>
          <t>7,19 %</t>
        </is>
      </c>
      <c r="E2196" s="44" t="inlineStr">
        <is>
          <t>Oui</t>
        </is>
      </c>
    </row>
    <row r="2197">
      <c r="A2197" s="42" t="n">
        <v>193</v>
      </c>
      <c r="B2197" s="30" t="inlineStr">
        <is>
          <t>S8 O5 2024</t>
        </is>
      </c>
      <c r="C2197" s="45" t="n">
        <v>0.0694</v>
      </c>
      <c r="D2197" s="30" t="inlineStr">
        <is>
          <t>6,94 %</t>
        </is>
      </c>
      <c r="E2197" s="46" t="inlineStr">
        <is>
          <t>Oui</t>
        </is>
      </c>
    </row>
    <row r="2198">
      <c r="A2198" s="42" t="n">
        <v>193</v>
      </c>
      <c r="B2198" s="28" t="inlineStr">
        <is>
          <t>S8 O5 2025</t>
        </is>
      </c>
      <c r="C2198" s="43" t="n">
        <v>0.068325</v>
      </c>
      <c r="D2198" s="28" t="inlineStr">
        <is>
          <t>6,83 %</t>
        </is>
      </c>
      <c r="E2198" s="44" t="inlineStr">
        <is>
          <t>Oui</t>
        </is>
      </c>
    </row>
    <row r="2199">
      <c r="A2199" s="42" t="n">
        <v>193</v>
      </c>
      <c r="B2199" s="30" t="inlineStr">
        <is>
          <t>S8 RL7 2021</t>
        </is>
      </c>
      <c r="C2199" s="45" t="n">
        <v>2274615536</v>
      </c>
      <c r="D2199" s="30" t="inlineStr">
        <is>
          <t>2 274 615 536 FCFA</t>
        </is>
      </c>
      <c r="E2199" s="46" t="inlineStr">
        <is>
          <t>Oui</t>
        </is>
      </c>
    </row>
    <row r="2200">
      <c r="A2200" s="42" t="n">
        <v>193</v>
      </c>
      <c r="B2200" s="28" t="inlineStr">
        <is>
          <t>S8 RL7 2022</t>
        </is>
      </c>
      <c r="C2200" s="43" t="n">
        <v>638155842</v>
      </c>
      <c r="D2200" s="28" t="inlineStr">
        <is>
          <t>638 155 842 FCFA</t>
        </is>
      </c>
      <c r="E2200" s="44" t="inlineStr">
        <is>
          <t>Oui</t>
        </is>
      </c>
    </row>
    <row r="2201">
      <c r="A2201" s="42" t="n">
        <v>193</v>
      </c>
      <c r="B2201" s="30" t="inlineStr">
        <is>
          <t>S8 RL7 2023</t>
        </is>
      </c>
      <c r="C2201" s="45" t="n">
        <v>695388139</v>
      </c>
      <c r="D2201" s="30" t="inlineStr">
        <is>
          <t>695 388 139 FCFA</t>
        </is>
      </c>
      <c r="E2201" s="46" t="inlineStr">
        <is>
          <t>Oui</t>
        </is>
      </c>
    </row>
    <row r="2202">
      <c r="A2202" s="42" t="n">
        <v>193</v>
      </c>
      <c r="B2202" s="28" t="inlineStr">
        <is>
          <t>S8 RL7 2024</t>
        </is>
      </c>
      <c r="C2202" s="43" t="n">
        <v>438360275</v>
      </c>
      <c r="D2202" s="28" t="inlineStr">
        <is>
          <t>438 360 275 FCFA</t>
        </is>
      </c>
      <c r="E2202" s="44" t="inlineStr">
        <is>
          <t>Oui</t>
        </is>
      </c>
    </row>
    <row r="2203">
      <c r="A2203" s="42" t="n">
        <v>193</v>
      </c>
      <c r="B2203" s="30" t="inlineStr">
        <is>
          <t>S8 RL7 2025</t>
        </is>
      </c>
      <c r="C2203" s="45" t="n">
        <v>1449586812</v>
      </c>
      <c r="D2203" s="30" t="inlineStr">
        <is>
          <t>1 449 586 812 FCFA</t>
        </is>
      </c>
      <c r="E2203" s="46" t="inlineStr">
        <is>
          <t>Oui</t>
        </is>
      </c>
    </row>
    <row r="2204">
      <c r="A2204" s="42" t="n">
        <v>193</v>
      </c>
      <c r="B2204" s="28" t="inlineStr">
        <is>
          <t>S8 gain 2024</t>
        </is>
      </c>
      <c r="C2204" s="43" t="n">
        <v>18608393.67375</v>
      </c>
      <c r="D2204" s="28" t="inlineStr">
        <is>
          <t>18 608 394 FCFA</t>
        </is>
      </c>
      <c r="E2204" s="44" t="inlineStr">
        <is>
          <t>Oui</t>
        </is>
      </c>
    </row>
    <row r="2205">
      <c r="A2205" s="42" t="n">
        <v>193</v>
      </c>
      <c r="B2205" s="30" t="inlineStr">
        <is>
          <t>S8 gain 2025</t>
        </is>
      </c>
      <c r="C2205" s="45" t="n">
        <v>68492976.867</v>
      </c>
      <c r="D2205" s="30" t="inlineStr">
        <is>
          <t>68 492 977 FCFA</t>
        </is>
      </c>
      <c r="E2205" s="46" t="inlineStr">
        <is>
          <t>Oui</t>
        </is>
      </c>
    </row>
    <row r="2206">
      <c r="A2206" s="42" t="n">
        <v>193</v>
      </c>
      <c r="B2206" s="28" t="inlineStr">
        <is>
          <t>S8 écart inv5</t>
        </is>
      </c>
      <c r="C2206" s="43" t="n">
        <v>0.0361</v>
      </c>
      <c r="D2206" s="28" t="inlineStr">
        <is>
          <t>3,61 %</t>
        </is>
      </c>
      <c r="E2206" s="44" t="inlineStr">
        <is>
          <t>Oui</t>
        </is>
      </c>
    </row>
    <row r="2207">
      <c r="A2207" s="42" t="n">
        <v>193</v>
      </c>
      <c r="B2207" s="30" t="inlineStr">
        <is>
          <t>S8 gain 2025 (i)</t>
        </is>
      </c>
      <c r="C2207" s="45" t="n">
        <v>68492976.867</v>
      </c>
      <c r="D2207" s="30" t="inlineStr">
        <is>
          <t>68 492 977 FCFA</t>
        </is>
      </c>
      <c r="E2207" s="46" t="inlineStr">
        <is>
          <t>Oui</t>
        </is>
      </c>
    </row>
    <row r="2208">
      <c r="A2208" s="42" t="n">
        <v>194</v>
      </c>
      <c r="B2208" s="28" t="inlineStr">
        <is>
          <t>S8 gap LIQ 2025 (r)</t>
        </is>
      </c>
      <c r="C2208" s="43" t="n">
        <v>13555974724</v>
      </c>
      <c r="D2208" s="28" t="inlineStr">
        <is>
          <t>13 555 974 724 FCFA</t>
        </is>
      </c>
      <c r="E2208" s="44" t="inlineStr">
        <is>
          <t>Oui</t>
        </is>
      </c>
    </row>
    <row r="2209">
      <c r="A2209" s="42" t="n">
        <v>194</v>
      </c>
      <c r="B2209" s="30" t="inlineStr">
        <is>
          <t>S8 gap FEP 2025 (r)</t>
        </is>
      </c>
      <c r="C2209" s="45" t="n">
        <v>16002055145</v>
      </c>
      <c r="D2209" s="30" t="inlineStr">
        <is>
          <t>16 002 055 145 FCFA</t>
        </is>
      </c>
      <c r="E2209" s="46" t="inlineStr">
        <is>
          <t>Oui</t>
        </is>
      </c>
    </row>
    <row r="2210">
      <c r="A2210" s="42" t="n">
        <v>194</v>
      </c>
      <c r="B2210" s="28" t="inlineStr">
        <is>
          <t>S8 L3 CHF (r)</t>
        </is>
      </c>
      <c r="C2210" s="43" t="n">
        <v>558364762.6</v>
      </c>
      <c r="D2210" s="28" t="inlineStr">
        <is>
          <t>558 364 763 FCFA</t>
        </is>
      </c>
      <c r="E2210" s="44" t="inlineStr">
        <is>
          <t>Oui</t>
        </is>
      </c>
    </row>
    <row r="2211">
      <c r="A2211" s="42" t="n">
        <v>198</v>
      </c>
      <c r="B2211" s="30" t="inlineStr">
        <is>
          <t>Survie60 H</t>
        </is>
      </c>
      <c r="C2211" s="45" t="n">
        <v>81.5119673573969</v>
      </c>
      <c r="D2211" s="30" t="inlineStr">
        <is>
          <t>81,51</t>
        </is>
      </c>
      <c r="E2211" s="46" t="inlineStr">
        <is>
          <t>Oui</t>
        </is>
      </c>
    </row>
    <row r="2212">
      <c r="A2212" s="42" t="n">
        <v>198</v>
      </c>
      <c r="B2212" s="28" t="inlineStr">
        <is>
          <t>Survie60 F</t>
        </is>
      </c>
      <c r="C2212" s="43" t="n">
        <v>89.57569148621296</v>
      </c>
      <c r="D2212" s="28" t="inlineStr">
        <is>
          <t>89,58</t>
        </is>
      </c>
      <c r="E2212" s="44" t="inlineStr">
        <is>
          <t>Oui</t>
        </is>
      </c>
    </row>
    <row r="2213">
      <c r="A2213" s="42" t="n">
        <v>198</v>
      </c>
      <c r="B2213" s="30" t="inlineStr">
        <is>
          <t>e0 H</t>
        </is>
      </c>
      <c r="C2213" s="45" t="n">
        <v>73.50211682704784</v>
      </c>
      <c r="D2213" s="30" t="inlineStr">
        <is>
          <t>73,50</t>
        </is>
      </c>
      <c r="E2213" s="46" t="inlineStr">
        <is>
          <t>Oui</t>
        </is>
      </c>
    </row>
    <row r="2214">
      <c r="A2214" s="42" t="n">
        <v>198</v>
      </c>
      <c r="B2214" s="28" t="inlineStr">
        <is>
          <t>e0 F</t>
        </is>
      </c>
      <c r="C2214" s="43" t="n">
        <v>81.63838517944045</v>
      </c>
      <c r="D2214" s="28" t="inlineStr">
        <is>
          <t>81,64</t>
        </is>
      </c>
      <c r="E2214" s="44" t="inlineStr">
        <is>
          <t>Oui</t>
        </is>
      </c>
    </row>
    <row r="2215">
      <c r="A2215" s="42" t="n">
        <v>198</v>
      </c>
      <c r="B2215" s="30" t="inlineStr">
        <is>
          <t>e0 TD</t>
        </is>
      </c>
      <c r="C2215" s="45" t="n">
        <v>67.50743300000001</v>
      </c>
      <c r="D2215" s="30" t="inlineStr">
        <is>
          <t>67,51</t>
        </is>
      </c>
      <c r="E2215" s="46" t="inlineStr">
        <is>
          <t>Oui</t>
        </is>
      </c>
    </row>
    <row r="2216">
      <c r="A2216" s="42" t="n">
        <v>198</v>
      </c>
      <c r="B2216" s="28" t="inlineStr">
        <is>
          <t>e0 TV</t>
        </is>
      </c>
      <c r="C2216" s="43" t="n">
        <v>74.557008</v>
      </c>
      <c r="D2216" s="28" t="inlineStr">
        <is>
          <t>74,56</t>
        </is>
      </c>
      <c r="E2216" s="44" t="inlineStr">
        <is>
          <t>Oui</t>
        </is>
      </c>
    </row>
    <row r="2217">
      <c r="A2217" s="42" t="n">
        <v>199</v>
      </c>
      <c r="B2217" s="30" t="inlineStr">
        <is>
          <t>q40 H</t>
        </is>
      </c>
      <c r="C2217" s="45" t="n">
        <v>3.496598241814253</v>
      </c>
      <c r="D2217" s="30" t="inlineStr">
        <is>
          <t>3,50</t>
        </is>
      </c>
      <c r="E2217" s="46" t="inlineStr">
        <is>
          <t>Oui</t>
        </is>
      </c>
    </row>
    <row r="2218">
      <c r="A2218" s="42" t="n">
        <v>199</v>
      </c>
      <c r="B2218" s="28" t="inlineStr">
        <is>
          <t>q40 F</t>
        </is>
      </c>
      <c r="C2218" s="43" t="n">
        <v>1.889722288297313</v>
      </c>
      <c r="D2218" s="28" t="inlineStr">
        <is>
          <t>1,89</t>
        </is>
      </c>
      <c r="E2218" s="44" t="inlineStr">
        <is>
          <t>Oui</t>
        </is>
      </c>
    </row>
    <row r="2219">
      <c r="A2219" s="42" t="n">
        <v>199</v>
      </c>
      <c r="B2219" s="30" t="inlineStr">
        <is>
          <t>q55 H</t>
        </is>
      </c>
      <c r="C2219" s="45" t="n">
        <v>9.375126511795507</v>
      </c>
      <c r="D2219" s="30" t="inlineStr">
        <is>
          <t>9,38</t>
        </is>
      </c>
      <c r="E2219" s="46" t="inlineStr">
        <is>
          <t>Oui</t>
        </is>
      </c>
    </row>
    <row r="2220">
      <c r="A2220" s="42" t="n">
        <v>199</v>
      </c>
      <c r="B2220" s="28" t="inlineStr">
        <is>
          <t>q55 F</t>
        </is>
      </c>
      <c r="C2220" s="43" t="n">
        <v>5.08685434036249</v>
      </c>
      <c r="D2220" s="28" t="inlineStr">
        <is>
          <t>5,09</t>
        </is>
      </c>
      <c r="E2220" s="44" t="inlineStr">
        <is>
          <t>Oui</t>
        </is>
      </c>
    </row>
    <row r="2221">
      <c r="A2221" s="42" t="n">
        <v>199</v>
      </c>
      <c r="B2221" s="30" t="inlineStr">
        <is>
          <t>H vs TD</t>
        </is>
      </c>
      <c r="C2221" s="45" t="n">
        <v>0.1877342967431873</v>
      </c>
      <c r="D2221" s="30" t="inlineStr">
        <is>
          <t>18,77 %</t>
        </is>
      </c>
      <c r="E2221" s="46" t="inlineStr">
        <is>
          <t>Oui</t>
        </is>
      </c>
    </row>
    <row r="2222">
      <c r="A2222" s="42" t="n">
        <v>199</v>
      </c>
      <c r="B2222" s="28" t="inlineStr">
        <is>
          <t>F vs TV</t>
        </is>
      </c>
      <c r="C2222" s="43" t="n">
        <v>0.09057135283827911</v>
      </c>
      <c r="D2222" s="28" t="inlineStr">
        <is>
          <t>9,06 %</t>
        </is>
      </c>
      <c r="E2222" s="44" t="inlineStr">
        <is>
          <t>Oui</t>
        </is>
      </c>
    </row>
    <row r="2223">
      <c r="A2223" s="42" t="n">
        <v>200</v>
      </c>
      <c r="B2223" s="30" t="inlineStr">
        <is>
          <t>a60 F</t>
        </is>
      </c>
      <c r="C2223" s="45" t="n">
        <v>16.83522198058296</v>
      </c>
      <c r="D2223" s="30" t="inlineStr">
        <is>
          <t>16,84</t>
        </is>
      </c>
      <c r="E2223" s="46" t="inlineStr">
        <is>
          <t>Oui</t>
        </is>
      </c>
    </row>
    <row r="2224">
      <c r="A2224" s="42" t="n">
        <v>200</v>
      </c>
      <c r="B2224" s="28" t="inlineStr">
        <is>
          <t>a60 H</t>
        </is>
      </c>
      <c r="C2224" s="43" t="n">
        <v>14.25590315589734</v>
      </c>
      <c r="D2224" s="28" t="inlineStr">
        <is>
          <t>14,26</t>
        </is>
      </c>
      <c r="E2224" s="44" t="inlineStr">
        <is>
          <t>Oui</t>
        </is>
      </c>
    </row>
    <row r="2225">
      <c r="A2225" s="42" t="n">
        <v>200</v>
      </c>
      <c r="B2225" s="30" t="inlineStr">
        <is>
          <t>e55 CIMA H</t>
        </is>
      </c>
      <c r="C2225" s="45" t="n">
        <v>24.14655611374492</v>
      </c>
      <c r="D2225" s="30" t="inlineStr">
        <is>
          <t>24,15</t>
        </is>
      </c>
      <c r="E2225" s="46" t="inlineStr">
        <is>
          <t>Oui</t>
        </is>
      </c>
    </row>
    <row r="2226">
      <c r="A2226" s="42" t="n">
        <v>200</v>
      </c>
      <c r="B2226" s="28" t="inlineStr">
        <is>
          <t>e60 CIMA H</t>
        </is>
      </c>
      <c r="C2226" s="43" t="n">
        <v>20.34129876398179</v>
      </c>
      <c r="D2226" s="28" t="inlineStr">
        <is>
          <t>20,34</t>
        </is>
      </c>
      <c r="E2226" s="44" t="inlineStr">
        <is>
          <t>Oui</t>
        </is>
      </c>
    </row>
    <row r="2227">
      <c r="A2227" s="42" t="n">
        <v>200</v>
      </c>
      <c r="B2227" s="30" t="inlineStr">
        <is>
          <t>a55 CIMA H</t>
        </is>
      </c>
      <c r="C2227" s="45" t="n">
        <v>15.95592317195758</v>
      </c>
      <c r="D2227" s="30" t="inlineStr">
        <is>
          <t>15,96</t>
        </is>
      </c>
      <c r="E2227" s="46" t="inlineStr">
        <is>
          <t>Oui</t>
        </is>
      </c>
    </row>
    <row r="2228">
      <c r="A2228" s="42" t="n">
        <v>200</v>
      </c>
      <c r="B2228" s="28" t="inlineStr">
        <is>
          <t>a60 CIMA H</t>
        </is>
      </c>
      <c r="C2228" s="43" t="n">
        <v>14.25590315589734</v>
      </c>
      <c r="D2228" s="28" t="inlineStr">
        <is>
          <t>14,26</t>
        </is>
      </c>
      <c r="E2228" s="44" t="inlineStr">
        <is>
          <t>Oui</t>
        </is>
      </c>
    </row>
    <row r="2229">
      <c r="A2229" s="42" t="n">
        <v>200</v>
      </c>
      <c r="B2229" s="30" t="inlineStr">
        <is>
          <t>a65 CIMA H</t>
        </is>
      </c>
      <c r="C2229" s="45" t="n">
        <v>12.52135526232364</v>
      </c>
      <c r="D2229" s="30" t="inlineStr">
        <is>
          <t>12,52</t>
        </is>
      </c>
      <c r="E2229" s="46" t="inlineStr">
        <is>
          <t>Oui</t>
        </is>
      </c>
    </row>
    <row r="2230">
      <c r="A2230" s="42" t="n">
        <v>200</v>
      </c>
      <c r="B2230" s="28" t="inlineStr">
        <is>
          <t>e55 CIMA F</t>
        </is>
      </c>
      <c r="C2230" s="43" t="n">
        <v>30.23068733107081</v>
      </c>
      <c r="D2230" s="28" t="inlineStr">
        <is>
          <t>30,23</t>
        </is>
      </c>
      <c r="E2230" s="44" t="inlineStr">
        <is>
          <t>Oui</t>
        </is>
      </c>
    </row>
    <row r="2231">
      <c r="A2231" s="42" t="n">
        <v>200</v>
      </c>
      <c r="B2231" s="30" t="inlineStr">
        <is>
          <t>e60 CIMA F</t>
        </is>
      </c>
      <c r="C2231" s="45" t="n">
        <v>26.04436776036478</v>
      </c>
      <c r="D2231" s="30" t="inlineStr">
        <is>
          <t>26,04</t>
        </is>
      </c>
      <c r="E2231" s="46" t="inlineStr">
        <is>
          <t>Oui</t>
        </is>
      </c>
    </row>
    <row r="2232">
      <c r="A2232" s="42" t="n">
        <v>200</v>
      </c>
      <c r="B2232" s="28" t="inlineStr">
        <is>
          <t>a55 CIMA F</t>
        </is>
      </c>
      <c r="C2232" s="43" t="n">
        <v>18.39363390284398</v>
      </c>
      <c r="D2232" s="28" t="inlineStr">
        <is>
          <t>18,39</t>
        </is>
      </c>
      <c r="E2232" s="44" t="inlineStr">
        <is>
          <t>Oui</t>
        </is>
      </c>
    </row>
    <row r="2233">
      <c r="A2233" s="42" t="n">
        <v>200</v>
      </c>
      <c r="B2233" s="30" t="inlineStr">
        <is>
          <t>a60 CIMA F</t>
        </is>
      </c>
      <c r="C2233" s="45" t="n">
        <v>16.83522198058296</v>
      </c>
      <c r="D2233" s="30" t="inlineStr">
        <is>
          <t>16,84</t>
        </is>
      </c>
      <c r="E2233" s="46" t="inlineStr">
        <is>
          <t>Oui</t>
        </is>
      </c>
    </row>
    <row r="2234">
      <c r="A2234" s="42" t="n">
        <v>200</v>
      </c>
      <c r="B2234" s="28" t="inlineStr">
        <is>
          <t>a65 CIMA F</t>
        </is>
      </c>
      <c r="C2234" s="43" t="n">
        <v>15.16563133722927</v>
      </c>
      <c r="D2234" s="28" t="inlineStr">
        <is>
          <t>15,17</t>
        </is>
      </c>
      <c r="E2234" s="44" t="inlineStr">
        <is>
          <t>Oui</t>
        </is>
      </c>
    </row>
    <row r="2235">
      <c r="A2235" s="42" t="n">
        <v>200</v>
      </c>
      <c r="B2235" s="30" t="inlineStr">
        <is>
          <t>e55 TD CIMA</t>
        </is>
      </c>
      <c r="C2235" s="45" t="n">
        <v>19.35519545703631</v>
      </c>
      <c r="D2235" s="30" t="inlineStr">
        <is>
          <t>19,36</t>
        </is>
      </c>
      <c r="E2235" s="46" t="inlineStr">
        <is>
          <t>Oui</t>
        </is>
      </c>
    </row>
    <row r="2236">
      <c r="A2236" s="42" t="n">
        <v>200</v>
      </c>
      <c r="B2236" s="28" t="inlineStr">
        <is>
          <t>e60 TD CIMA</t>
        </is>
      </c>
      <c r="C2236" s="43" t="n">
        <v>15.79733104005942</v>
      </c>
      <c r="D2236" s="28" t="inlineStr">
        <is>
          <t>15,80</t>
        </is>
      </c>
      <c r="E2236" s="44" t="inlineStr">
        <is>
          <t>Oui</t>
        </is>
      </c>
    </row>
    <row r="2237">
      <c r="A2237" s="42" t="n">
        <v>200</v>
      </c>
      <c r="B2237" s="30" t="inlineStr">
        <is>
          <t>a55 TD CIMA</t>
        </is>
      </c>
      <c r="C2237" s="45" t="n">
        <v>13.82221532731072</v>
      </c>
      <c r="D2237" s="30" t="inlineStr">
        <is>
          <t>13,82</t>
        </is>
      </c>
      <c r="E2237" s="46" t="inlineStr">
        <is>
          <t>Oui</t>
        </is>
      </c>
    </row>
    <row r="2238">
      <c r="A2238" s="42" t="n">
        <v>200</v>
      </c>
      <c r="B2238" s="28" t="inlineStr">
        <is>
          <t>a60 TD CIMA</t>
        </is>
      </c>
      <c r="C2238" s="43" t="n">
        <v>11.97559123156375</v>
      </c>
      <c r="D2238" s="28" t="inlineStr">
        <is>
          <t>11,98</t>
        </is>
      </c>
      <c r="E2238" s="44" t="inlineStr">
        <is>
          <t>Oui</t>
        </is>
      </c>
    </row>
    <row r="2239">
      <c r="A2239" s="42" t="n">
        <v>200</v>
      </c>
      <c r="B2239" s="30" t="inlineStr">
        <is>
          <t>a65 TD CIMA</t>
        </is>
      </c>
      <c r="C2239" s="45" t="n">
        <v>10.1328935884723</v>
      </c>
      <c r="D2239" s="30" t="inlineStr">
        <is>
          <t>10,13</t>
        </is>
      </c>
      <c r="E2239" s="46" t="inlineStr">
        <is>
          <t>Oui</t>
        </is>
      </c>
    </row>
    <row r="2240">
      <c r="A2240" s="42" t="n">
        <v>200</v>
      </c>
      <c r="B2240" s="28" t="inlineStr">
        <is>
          <t>e55 TV CIMA</t>
        </is>
      </c>
      <c r="C2240" s="43" t="n">
        <v>24.04007006388438</v>
      </c>
      <c r="D2240" s="28" t="inlineStr">
        <is>
          <t>24,04</t>
        </is>
      </c>
      <c r="E2240" s="44" t="inlineStr">
        <is>
          <t>Oui</t>
        </is>
      </c>
    </row>
    <row r="2241">
      <c r="A2241" s="42" t="n">
        <v>200</v>
      </c>
      <c r="B2241" s="30" t="inlineStr">
        <is>
          <t>e60 TV CIMA</t>
        </is>
      </c>
      <c r="C2241" s="45" t="n">
        <v>19.90477817191389</v>
      </c>
      <c r="D2241" s="30" t="inlineStr">
        <is>
          <t>19,90</t>
        </is>
      </c>
      <c r="E2241" s="46" t="inlineStr">
        <is>
          <t>Oui</t>
        </is>
      </c>
    </row>
    <row r="2242">
      <c r="A2242" s="42" t="n">
        <v>200</v>
      </c>
      <c r="B2242" s="28" t="inlineStr">
        <is>
          <t>a55 TV CIMA</t>
        </is>
      </c>
      <c r="C2242" s="43" t="n">
        <v>16.10038838055928</v>
      </c>
      <c r="D2242" s="28" t="inlineStr">
        <is>
          <t>16,10</t>
        </is>
      </c>
      <c r="E2242" s="44" t="inlineStr">
        <is>
          <t>Oui</t>
        </is>
      </c>
    </row>
    <row r="2243">
      <c r="A2243" s="42" t="n">
        <v>200</v>
      </c>
      <c r="B2243" s="30" t="inlineStr">
        <is>
          <t>a60 TV CIMA</t>
        </is>
      </c>
      <c r="C2243" s="45" t="n">
        <v>14.20037845751036</v>
      </c>
      <c r="D2243" s="30" t="inlineStr">
        <is>
          <t>14,20</t>
        </is>
      </c>
      <c r="E2243" s="46" t="inlineStr">
        <is>
          <t>Oui</t>
        </is>
      </c>
    </row>
    <row r="2244">
      <c r="A2244" s="42" t="n">
        <v>200</v>
      </c>
      <c r="B2244" s="28" t="inlineStr">
        <is>
          <t>a65 TV CIMA</t>
        </is>
      </c>
      <c r="C2244" s="43" t="n">
        <v>12.20554546108358</v>
      </c>
      <c r="D2244" s="28" t="inlineStr">
        <is>
          <t>12,21</t>
        </is>
      </c>
      <c r="E2244" s="44" t="inlineStr">
        <is>
          <t>Oui</t>
        </is>
      </c>
    </row>
    <row r="2245">
      <c r="A2245" s="42" t="n">
        <v>200</v>
      </c>
      <c r="B2245" s="30" t="inlineStr">
        <is>
          <t>a60 F (t)</t>
        </is>
      </c>
      <c r="C2245" s="45" t="n">
        <v>16.83522198058296</v>
      </c>
      <c r="D2245" s="30" t="inlineStr">
        <is>
          <t>16,84</t>
        </is>
      </c>
      <c r="E2245" s="46" t="inlineStr">
        <is>
          <t>Oui</t>
        </is>
      </c>
    </row>
    <row r="2246">
      <c r="A2246" s="42" t="n">
        <v>200</v>
      </c>
      <c r="B2246" s="28" t="inlineStr">
        <is>
          <t>a60 H (t)</t>
        </is>
      </c>
      <c r="C2246" s="43" t="n">
        <v>14.25590315589734</v>
      </c>
      <c r="D2246" s="28" t="inlineStr">
        <is>
          <t>14,26</t>
        </is>
      </c>
      <c r="E2246" s="44" t="inlineStr">
        <is>
          <t>Oui</t>
        </is>
      </c>
    </row>
    <row r="2247">
      <c r="A2247" s="42" t="n">
        <v>203</v>
      </c>
      <c r="B2247" s="30" t="inlineStr">
        <is>
          <t>PJ ret dn</t>
        </is>
      </c>
      <c r="C2247" s="45" t="n">
        <v>105</v>
      </c>
      <c r="D2247" s="30" t="inlineStr">
        <is>
          <t>105</t>
        </is>
      </c>
      <c r="E2247" s="46" t="inlineStr">
        <is>
          <t>Oui</t>
        </is>
      </c>
    </row>
    <row r="2248">
      <c r="A2248" s="42" t="n">
        <v>204</v>
      </c>
      <c r="B2248" s="28" t="inlineStr">
        <is>
          <t>PJ A 2026</t>
        </is>
      </c>
      <c r="C2248" s="43" t="n">
        <v>-717817033.0846486</v>
      </c>
      <c r="D2248" s="28" t="inlineStr">
        <is>
          <t>-717 817 033 FCFA</t>
        </is>
      </c>
      <c r="E2248" s="44" t="inlineStr">
        <is>
          <t>Oui</t>
        </is>
      </c>
    </row>
    <row r="2249">
      <c r="A2249" s="42" t="n">
        <v>204</v>
      </c>
      <c r="B2249" s="30" t="inlineStr">
        <is>
          <t>PJ A 2030</t>
        </is>
      </c>
      <c r="C2249" s="45" t="n">
        <v>-25229464300.37061</v>
      </c>
      <c r="D2249" s="30" t="inlineStr">
        <is>
          <t>-25 229 464 300 FCFA</t>
        </is>
      </c>
      <c r="E2249" s="46" t="inlineStr">
        <is>
          <t>Oui</t>
        </is>
      </c>
    </row>
    <row r="2250">
      <c r="A2250" s="42" t="n">
        <v>204</v>
      </c>
      <c r="B2250" s="28" t="inlineStr">
        <is>
          <t>PJ B 2030</t>
        </is>
      </c>
      <c r="C2250" s="43" t="n">
        <v>1195261600.061424</v>
      </c>
      <c r="D2250" s="28" t="inlineStr">
        <is>
          <t>1 195 261 600 FCFA</t>
        </is>
      </c>
      <c r="E2250" s="44" t="inlineStr">
        <is>
          <t>Oui</t>
        </is>
      </c>
    </row>
    <row r="2251">
      <c r="A2251" s="42" t="n">
        <v>204</v>
      </c>
      <c r="B2251" s="30" t="inlineStr">
        <is>
          <t>PJ tc</t>
        </is>
      </c>
      <c r="C2251" s="45" t="n">
        <v>0.1116583834197233</v>
      </c>
      <c r="D2251" s="30" t="inlineStr">
        <is>
          <t>11,17 %</t>
        </is>
      </c>
      <c r="E2251" s="46" t="inlineStr">
        <is>
          <t>Oui</t>
        </is>
      </c>
    </row>
    <row r="2252">
      <c r="A2252" s="42" t="n">
        <v>204</v>
      </c>
      <c r="B2252" s="28" t="inlineStr">
        <is>
          <t>PJ tf</t>
        </is>
      </c>
      <c r="C2252" s="43" t="n">
        <v>0.0290838754266276</v>
      </c>
      <c r="D2252" s="28" t="inlineStr">
        <is>
          <t>2,91 %</t>
        </is>
      </c>
      <c r="E2252" s="44" t="inlineStr">
        <is>
          <t>Oui</t>
        </is>
      </c>
    </row>
    <row r="2253">
      <c r="A2253" s="42" t="n">
        <v>204</v>
      </c>
      <c r="B2253" s="30" t="inlineStr">
        <is>
          <t>PJ tp</t>
        </is>
      </c>
      <c r="C2253" s="45" t="n">
        <v>0.7221262626437945</v>
      </c>
      <c r="D2253" s="30" t="inlineStr">
        <is>
          <t>72,21 %</t>
        </is>
      </c>
      <c r="E2253" s="46" t="inlineStr">
        <is>
          <t>Oui</t>
        </is>
      </c>
    </row>
    <row r="2254">
      <c r="A2254" s="42" t="n">
        <v>204</v>
      </c>
      <c r="B2254" s="28" t="inlineStr">
        <is>
          <t>PJ cot 2026</t>
        </is>
      </c>
      <c r="C2254" s="43" t="n">
        <v>3799150022.531812</v>
      </c>
      <c r="D2254" s="28" t="inlineStr">
        <is>
          <t>3 799 150 023 FCFA</t>
        </is>
      </c>
      <c r="E2254" s="44" t="inlineStr">
        <is>
          <t>Oui</t>
        </is>
      </c>
    </row>
    <row r="2255">
      <c r="A2255" s="42" t="n">
        <v>204</v>
      </c>
      <c r="B2255" s="30" t="inlineStr">
        <is>
          <t>PJ pA 2026</t>
        </is>
      </c>
      <c r="C2255" s="45" t="n">
        <v>3383585507.804583</v>
      </c>
      <c r="D2255" s="30" t="inlineStr">
        <is>
          <t>3 383 585 508 FCFA</t>
        </is>
      </c>
      <c r="E2255" s="46" t="inlineStr">
        <is>
          <t>Oui</t>
        </is>
      </c>
    </row>
    <row r="2256">
      <c r="A2256" s="42" t="n">
        <v>204</v>
      </c>
      <c r="B2256" s="28" t="inlineStr">
        <is>
          <t>PJ rA 2026</t>
        </is>
      </c>
      <c r="C2256" s="43" t="n">
        <v>-717817033.0846486</v>
      </c>
      <c r="D2256" s="28" t="inlineStr">
        <is>
          <t>-717 817 033 FCFA</t>
        </is>
      </c>
      <c r="E2256" s="44" t="inlineStr">
        <is>
          <t>Oui</t>
        </is>
      </c>
    </row>
    <row r="2257">
      <c r="A2257" s="42" t="n">
        <v>204</v>
      </c>
      <c r="B2257" s="30" t="inlineStr">
        <is>
          <t>PJ pB 2026</t>
        </is>
      </c>
      <c r="C2257" s="45" t="n">
        <v>2184155295.323113</v>
      </c>
      <c r="D2257" s="30" t="inlineStr">
        <is>
          <t>2 184 155 295 FCFA</t>
        </is>
      </c>
      <c r="E2257" s="46" t="inlineStr">
        <is>
          <t>Oui</t>
        </is>
      </c>
    </row>
    <row r="2258">
      <c r="A2258" s="42" t="n">
        <v>204</v>
      </c>
      <c r="B2258" s="28" t="inlineStr">
        <is>
          <t>PJ rB 2026</t>
        </is>
      </c>
      <c r="C2258" s="43" t="n">
        <v>481613179.396821</v>
      </c>
      <c r="D2258" s="28" t="inlineStr">
        <is>
          <t>481 613 179 FCFA</t>
        </is>
      </c>
      <c r="E2258" s="44" t="inlineStr">
        <is>
          <t>Oui</t>
        </is>
      </c>
    </row>
    <row r="2259">
      <c r="A2259" s="42" t="n">
        <v>204</v>
      </c>
      <c r="B2259" s="30" t="inlineStr">
        <is>
          <t>PJ cot 2027</t>
        </is>
      </c>
      <c r="C2259" s="45" t="n">
        <v>4223356972.416719</v>
      </c>
      <c r="D2259" s="30" t="inlineStr">
        <is>
          <t>4 223 356 972 FCFA</t>
        </is>
      </c>
      <c r="E2259" s="46" t="inlineStr">
        <is>
          <t>Oui</t>
        </is>
      </c>
    </row>
    <row r="2260">
      <c r="A2260" s="42" t="n">
        <v>204</v>
      </c>
      <c r="B2260" s="28" t="inlineStr">
        <is>
          <t>PJ pA 2027</t>
        </is>
      </c>
      <c r="C2260" s="43" t="n">
        <v>5826961464.891212</v>
      </c>
      <c r="D2260" s="28" t="inlineStr">
        <is>
          <t>5 826 961 465 FCFA</t>
        </is>
      </c>
      <c r="E2260" s="44" t="inlineStr">
        <is>
          <t>Oui</t>
        </is>
      </c>
    </row>
    <row r="2261">
      <c r="A2261" s="42" t="n">
        <v>204</v>
      </c>
      <c r="B2261" s="30" t="inlineStr">
        <is>
          <t>PJ rA 2027</t>
        </is>
      </c>
      <c r="C2261" s="45" t="n">
        <v>-2769949168.033769</v>
      </c>
      <c r="D2261" s="30" t="inlineStr">
        <is>
          <t>-2 769 949 168 FCFA</t>
        </is>
      </c>
      <c r="E2261" s="46" t="inlineStr">
        <is>
          <t>Oui</t>
        </is>
      </c>
    </row>
    <row r="2262">
      <c r="A2262" s="42" t="n">
        <v>204</v>
      </c>
      <c r="B2262" s="28" t="inlineStr">
        <is>
          <t>PJ pB 2027</t>
        </is>
      </c>
      <c r="C2262" s="43" t="n">
        <v>2428034544.73652</v>
      </c>
      <c r="D2262" s="28" t="inlineStr">
        <is>
          <t>2 428 034 545 FCFA</t>
        </is>
      </c>
      <c r="E2262" s="44" t="inlineStr">
        <is>
          <t>Oui</t>
        </is>
      </c>
    </row>
    <row r="2263">
      <c r="A2263" s="42" t="n">
        <v>204</v>
      </c>
      <c r="B2263" s="30" t="inlineStr">
        <is>
          <t>PJ rB 2027</t>
        </is>
      </c>
      <c r="C2263" s="45" t="n">
        <v>628977752.1209223</v>
      </c>
      <c r="D2263" s="30" t="inlineStr">
        <is>
          <t>628 977 752 FCFA</t>
        </is>
      </c>
      <c r="E2263" s="46" t="inlineStr">
        <is>
          <t>Oui</t>
        </is>
      </c>
    </row>
    <row r="2264">
      <c r="A2264" s="42" t="n">
        <v>204</v>
      </c>
      <c r="B2264" s="28" t="inlineStr">
        <is>
          <t>PJ cot 2028</t>
        </is>
      </c>
      <c r="C2264" s="43" t="n">
        <v>4694930184.561188</v>
      </c>
      <c r="D2264" s="28" t="inlineStr">
        <is>
          <t>4 694 930 185 FCFA</t>
        </is>
      </c>
      <c r="E2264" s="44" t="inlineStr">
        <is>
          <t>Oui</t>
        </is>
      </c>
    </row>
    <row r="2265">
      <c r="A2265" s="42" t="n">
        <v>204</v>
      </c>
      <c r="B2265" s="30" t="inlineStr">
        <is>
          <t>PJ pA 2028</t>
        </is>
      </c>
      <c r="C2265" s="45" t="n">
        <v>10034763370.10251</v>
      </c>
      <c r="D2265" s="30" t="inlineStr">
        <is>
          <t>10 034 763 370 FCFA</t>
        </is>
      </c>
      <c r="E2265" s="46" t="inlineStr">
        <is>
          <t>Oui</t>
        </is>
      </c>
    </row>
    <row r="2266">
      <c r="A2266" s="42" t="n">
        <v>204</v>
      </c>
      <c r="B2266" s="28" t="inlineStr">
        <is>
          <t>PJ rA 2028</t>
        </is>
      </c>
      <c r="C2266" s="43" t="n">
        <v>-6540099684.349078</v>
      </c>
      <c r="D2266" s="28" t="inlineStr">
        <is>
          <t>-6 540 099 684 FCFA</t>
        </is>
      </c>
      <c r="E2266" s="44" t="inlineStr">
        <is>
          <t>Oui</t>
        </is>
      </c>
    </row>
    <row r="2267">
      <c r="A2267" s="42" t="n">
        <v>204</v>
      </c>
      <c r="B2267" s="30" t="inlineStr">
        <is>
          <t>PJ pB 2028</t>
        </is>
      </c>
      <c r="C2267" s="45" t="n">
        <v>2699144956.889044</v>
      </c>
      <c r="D2267" s="30" t="inlineStr">
        <is>
          <t>2 699 144 957 FCFA</t>
        </is>
      </c>
      <c r="E2267" s="46" t="inlineStr">
        <is>
          <t>Oui</t>
        </is>
      </c>
    </row>
    <row r="2268">
      <c r="A2268" s="42" t="n">
        <v>204</v>
      </c>
      <c r="B2268" s="28" t="inlineStr">
        <is>
          <t>PJ rB 2028</t>
        </is>
      </c>
      <c r="C2268" s="43" t="n">
        <v>795518728.8643901</v>
      </c>
      <c r="D2268" s="28" t="inlineStr">
        <is>
          <t>795 518 729 FCFA</t>
        </is>
      </c>
      <c r="E2268" s="44" t="inlineStr">
        <is>
          <t>Oui</t>
        </is>
      </c>
    </row>
    <row r="2269">
      <c r="A2269" s="42" t="n">
        <v>204</v>
      </c>
      <c r="B2269" s="30" t="inlineStr">
        <is>
          <t>PJ cot 2029</t>
        </is>
      </c>
      <c r="C2269" s="45" t="n">
        <v>5219158499.237753</v>
      </c>
      <c r="D2269" s="30" t="inlineStr">
        <is>
          <t>5 219 158 499 FCFA</t>
        </is>
      </c>
      <c r="E2269" s="46" t="inlineStr">
        <is>
          <t>Oui</t>
        </is>
      </c>
    </row>
    <row r="2270">
      <c r="A2270" s="42" t="n">
        <v>204</v>
      </c>
      <c r="B2270" s="28" t="inlineStr">
        <is>
          <t>PJ pA 2029</t>
        </is>
      </c>
      <c r="C2270" s="43" t="n">
        <v>17281129539.06949</v>
      </c>
      <c r="D2270" s="28" t="inlineStr">
        <is>
          <t>17 281 129 539 FCFA</t>
        </is>
      </c>
      <c r="E2270" s="44" t="inlineStr">
        <is>
          <t>Oui</t>
        </is>
      </c>
    </row>
    <row r="2271">
      <c r="A2271" s="42" t="n">
        <v>204</v>
      </c>
      <c r="B2271" s="30" t="inlineStr">
        <is>
          <t>PJ rA 2029</t>
        </is>
      </c>
      <c r="C2271" s="45" t="n">
        <v>-13297145939.96957</v>
      </c>
      <c r="D2271" s="30" t="inlineStr">
        <is>
          <t>-13 297 145 940 FCFA</t>
        </is>
      </c>
      <c r="E2271" s="46" t="inlineStr">
        <is>
          <t>Oui</t>
        </is>
      </c>
    </row>
    <row r="2272">
      <c r="A2272" s="42" t="n">
        <v>204</v>
      </c>
      <c r="B2272" s="28" t="inlineStr">
        <is>
          <t>PJ pB 2029</t>
        </is>
      </c>
      <c r="C2272" s="43" t="n">
        <v>3000527119.390774</v>
      </c>
      <c r="D2272" s="28" t="inlineStr">
        <is>
          <t>3 000 527 119 FCFA</t>
        </is>
      </c>
      <c r="E2272" s="44" t="inlineStr">
        <is>
          <t>Oui</t>
        </is>
      </c>
    </row>
    <row r="2273">
      <c r="A2273" s="42" t="n">
        <v>204</v>
      </c>
      <c r="B2273" s="30" t="inlineStr">
        <is>
          <t>PJ rB 2029</t>
        </is>
      </c>
      <c r="C2273" s="45" t="n">
        <v>983456479.7091467</v>
      </c>
      <c r="D2273" s="30" t="inlineStr">
        <is>
          <t>983 456 480 FCFA</t>
        </is>
      </c>
      <c r="E2273" s="46" t="inlineStr">
        <is>
          <t>Oui</t>
        </is>
      </c>
    </row>
    <row r="2274">
      <c r="A2274" s="42" t="n">
        <v>204</v>
      </c>
      <c r="B2274" s="28" t="inlineStr">
        <is>
          <t>PJ cot 2030</t>
        </is>
      </c>
      <c r="C2274" s="43" t="n">
        <v>5801921300.07395</v>
      </c>
      <c r="D2274" s="28" t="inlineStr">
        <is>
          <t>5 801 921 300 FCFA</t>
        </is>
      </c>
      <c r="E2274" s="44" t="inlineStr">
        <is>
          <t>Oui</t>
        </is>
      </c>
    </row>
    <row r="2275">
      <c r="A2275" s="42" t="n">
        <v>204</v>
      </c>
      <c r="B2275" s="30" t="inlineStr">
        <is>
          <t>PJ pA 2030</t>
        </is>
      </c>
      <c r="C2275" s="45" t="n">
        <v>29760287027.38102</v>
      </c>
      <c r="D2275" s="30" t="inlineStr">
        <is>
          <t>29 760 287 027 FCFA</t>
        </is>
      </c>
      <c r="E2275" s="46" t="inlineStr">
        <is>
          <t>Oui</t>
        </is>
      </c>
    </row>
    <row r="2276">
      <c r="A2276" s="42" t="n">
        <v>204</v>
      </c>
      <c r="B2276" s="28" t="inlineStr">
        <is>
          <t>PJ rA 2030</t>
        </is>
      </c>
      <c r="C2276" s="43" t="n">
        <v>-25229464300.37061</v>
      </c>
      <c r="D2276" s="28" t="inlineStr">
        <is>
          <t>-25 229 464 300 FCFA</t>
        </is>
      </c>
      <c r="E2276" s="44" t="inlineStr">
        <is>
          <t>Oui</t>
        </is>
      </c>
    </row>
    <row r="2277">
      <c r="A2277" s="42" t="n">
        <v>204</v>
      </c>
      <c r="B2277" s="30" t="inlineStr">
        <is>
          <t>PJ pB 2030</t>
        </is>
      </c>
      <c r="C2277" s="45" t="n">
        <v>3335561126.948987</v>
      </c>
      <c r="D2277" s="30" t="inlineStr">
        <is>
          <t>3 335 561 127 FCFA</t>
        </is>
      </c>
      <c r="E2277" s="46" t="inlineStr">
        <is>
          <t>Oui</t>
        </is>
      </c>
    </row>
    <row r="2278">
      <c r="A2278" s="42" t="n">
        <v>204</v>
      </c>
      <c r="B2278" s="28" t="inlineStr">
        <is>
          <t>PJ rB 2030</t>
        </is>
      </c>
      <c r="C2278" s="43" t="n">
        <v>1195261600.061424</v>
      </c>
      <c r="D2278" s="28" t="inlineStr">
        <is>
          <t>1 195 261 600 FCFA</t>
        </is>
      </c>
      <c r="E2278" s="44" t="inlineStr">
        <is>
          <t>Oui</t>
        </is>
      </c>
    </row>
    <row r="2279">
      <c r="A2279" s="42" t="n">
        <v>204</v>
      </c>
      <c r="B2279" s="30" t="inlineStr">
        <is>
          <t>PJ tp (a)</t>
        </is>
      </c>
      <c r="C2279" s="45" t="n">
        <v>0.7221262626437945</v>
      </c>
      <c r="D2279" s="30" t="inlineStr">
        <is>
          <t>72,21 %</t>
        </is>
      </c>
      <c r="E2279" s="46" t="inlineStr">
        <is>
          <t>Oui</t>
        </is>
      </c>
    </row>
    <row r="2280">
      <c r="A2280" s="42" t="n">
        <v>204</v>
      </c>
      <c r="B2280" s="28" t="inlineStr">
        <is>
          <t>PJ tc (a)</t>
        </is>
      </c>
      <c r="C2280" s="43" t="n">
        <v>0.1116583834197233</v>
      </c>
      <c r="D2280" s="28" t="inlineStr">
        <is>
          <t>11,17 %</t>
        </is>
      </c>
      <c r="E2280" s="44" t="inlineStr">
        <is>
          <t>Oui</t>
        </is>
      </c>
    </row>
    <row r="2281">
      <c r="A2281" s="42" t="n">
        <v>204</v>
      </c>
      <c r="B2281" s="30" t="inlineStr">
        <is>
          <t>PJ cr 2024</t>
        </is>
      </c>
      <c r="C2281" s="45" t="n">
        <v>1.035337329862893</v>
      </c>
      <c r="D2281" s="30" t="inlineStr">
        <is>
          <t>103,53 %</t>
        </is>
      </c>
      <c r="E2281" s="46" t="inlineStr">
        <is>
          <t>Oui</t>
        </is>
      </c>
    </row>
    <row r="2282">
      <c r="A2282" s="42" t="n">
        <v>204</v>
      </c>
      <c r="B2282" s="28" t="inlineStr">
        <is>
          <t>PJ cr 2025</t>
        </is>
      </c>
      <c r="C2282" s="43" t="n">
        <v>0.6706927294547331</v>
      </c>
      <c r="D2282" s="28" t="inlineStr">
        <is>
          <t>67,07 %</t>
        </is>
      </c>
      <c r="E2282" s="44" t="inlineStr">
        <is>
          <t>Oui</t>
        </is>
      </c>
    </row>
    <row r="2283">
      <c r="A2283" s="42" t="n">
        <v>205</v>
      </c>
      <c r="B2283" s="30" t="inlineStr">
        <is>
          <t>PJ écart</t>
        </is>
      </c>
      <c r="C2283" s="45" t="n">
        <v>26424725900.43203</v>
      </c>
      <c r="D2283" s="30" t="inlineStr">
        <is>
          <t>26 424 725 900 FCFA</t>
        </is>
      </c>
      <c r="E2283" s="46" t="inlineStr">
        <is>
          <t>Oui</t>
        </is>
      </c>
    </row>
    <row r="2284">
      <c r="A2284" s="42" t="n">
        <v>226</v>
      </c>
      <c r="B2284" s="28" t="inlineStr">
        <is>
          <t>AN lat max</t>
        </is>
      </c>
      <c r="C2284" s="43" t="n">
        <v>0.00888489048056126</v>
      </c>
      <c r="D2284" s="28" t="inlineStr">
        <is>
          <t>0,89 %</t>
        </is>
      </c>
      <c r="E2284" s="44" t="inlineStr">
        <is>
          <t>Oui</t>
        </is>
      </c>
    </row>
    <row r="2285">
      <c r="A2285" s="42" t="n">
        <v>226</v>
      </c>
      <c r="B2285" s="30" t="inlineStr">
        <is>
          <t>AN lat 2022</t>
        </is>
      </c>
      <c r="C2285" s="45" t="n">
        <v>0.00888489048056126</v>
      </c>
      <c r="D2285" s="30" t="inlineStr">
        <is>
          <t>0,89 %</t>
        </is>
      </c>
      <c r="E2285" s="46" t="inlineStr">
        <is>
          <t>Oui</t>
        </is>
      </c>
    </row>
    <row r="2286">
      <c r="A2286" s="42" t="n">
        <v>226</v>
      </c>
      <c r="B2286" s="28" t="inlineStr">
        <is>
          <t>AN lat 2023</t>
        </is>
      </c>
      <c r="C2286" s="43" t="n">
        <v>0.002146570381416005</v>
      </c>
      <c r="D2286" s="28" t="inlineStr">
        <is>
          <t>0,21 %</t>
        </is>
      </c>
      <c r="E2286" s="44" t="inlineStr">
        <is>
          <t>Oui</t>
        </is>
      </c>
    </row>
    <row r="2287">
      <c r="A2287" s="42" t="n">
        <v>226</v>
      </c>
      <c r="B2287" s="30" t="inlineStr">
        <is>
          <t>AN lat 2024</t>
        </is>
      </c>
      <c r="C2287" s="45" t="n">
        <v>0.001440071519666462</v>
      </c>
      <c r="D2287" s="30" t="inlineStr">
        <is>
          <t>0,14 %</t>
        </is>
      </c>
      <c r="E2287" s="46" t="inlineStr">
        <is>
          <t>Oui</t>
        </is>
      </c>
    </row>
    <row r="2288">
      <c r="A2288" s="42" t="n">
        <v>226</v>
      </c>
      <c r="B2288" s="28" t="inlineStr">
        <is>
          <t>AN d20</t>
        </is>
      </c>
      <c r="C2288" s="43" t="n">
        <v>53.37516872420808</v>
      </c>
      <c r="D2288" s="28" t="inlineStr">
        <is>
          <t>53</t>
        </is>
      </c>
      <c r="E2288" s="44" t="inlineStr">
        <is>
          <t>Oui</t>
        </is>
      </c>
    </row>
    <row r="2289">
      <c r="A2289" s="42" t="n">
        <v>226</v>
      </c>
      <c r="B2289" s="30" t="inlineStr">
        <is>
          <t>AN d21</t>
        </is>
      </c>
      <c r="C2289" s="45" t="n">
        <v>101.5876959049399</v>
      </c>
      <c r="D2289" s="30" t="inlineStr">
        <is>
          <t>102</t>
        </is>
      </c>
      <c r="E2289" s="46" t="inlineStr">
        <is>
          <t>Oui</t>
        </is>
      </c>
    </row>
    <row r="2290">
      <c r="A2290" s="42" t="n">
        <v>226</v>
      </c>
      <c r="B2290" s="28" t="inlineStr">
        <is>
          <t>AN d25</t>
        </is>
      </c>
      <c r="C2290" s="43" t="n">
        <v>2.622797716643295</v>
      </c>
      <c r="D2290" s="28" t="inlineStr">
        <is>
          <t>2,62</t>
        </is>
      </c>
      <c r="E2290" s="44" t="inlineStr">
        <is>
          <t>Oui</t>
        </is>
      </c>
    </row>
    <row r="2291">
      <c r="A2291" s="42" t="n">
        <v>227</v>
      </c>
      <c r="B2291" s="30" t="inlineStr">
        <is>
          <t>AN déc</t>
        </is>
      </c>
      <c r="C2291" s="45" t="n">
        <v>495</v>
      </c>
      <c r="D2291" s="30" t="inlineStr">
        <is>
          <t>495</t>
        </is>
      </c>
      <c r="E2291" s="46" t="inlineStr">
        <is>
          <t>Oui</t>
        </is>
      </c>
    </row>
    <row r="2292">
      <c r="A2292" s="42" t="n">
        <v>227</v>
      </c>
      <c r="B2292" s="28" t="inlineStr">
        <is>
          <t>AN ic</t>
        </is>
      </c>
      <c r="C2292" s="43" t="n">
        <v>0.08809544869519696</v>
      </c>
      <c r="D2292" s="28" t="inlineStr">
        <is>
          <t>8,81 %</t>
        </is>
      </c>
      <c r="E2292" s="44" t="inlineStr">
        <is>
          <t>Oui</t>
        </is>
      </c>
    </row>
    <row r="2293">
      <c r="A2293" s="42" t="n">
        <v>227</v>
      </c>
      <c r="B2293" s="30" t="inlineStr">
        <is>
          <t>AN déc (t)</t>
        </is>
      </c>
      <c r="C2293" s="45" t="n">
        <v>495</v>
      </c>
      <c r="D2293" s="30" t="inlineStr">
        <is>
          <t>495</t>
        </is>
      </c>
      <c r="E2293" s="46" t="inlineStr">
        <is>
          <t>Oui</t>
        </is>
      </c>
    </row>
    <row r="2294">
      <c r="A2294" s="42" t="n">
        <v>227</v>
      </c>
      <c r="B2294" s="28" t="inlineStr">
        <is>
          <t>AN ic (t)</t>
        </is>
      </c>
      <c r="C2294" s="43" t="n">
        <v>0.08809544869519696</v>
      </c>
      <c r="D2294" s="28" t="inlineStr">
        <is>
          <t>8,81 %</t>
        </is>
      </c>
      <c r="E2294" s="44" t="inlineStr">
        <is>
          <t>Oui</t>
        </is>
      </c>
    </row>
    <row r="2295">
      <c r="A2295" s="42" t="n">
        <v>228</v>
      </c>
      <c r="B2295" s="30" t="inlineStr">
        <is>
          <t>AN ret</t>
        </is>
      </c>
      <c r="C2295" s="45" t="n">
        <v>610</v>
      </c>
      <c r="D2295" s="30" t="inlineStr">
        <is>
          <t>610</t>
        </is>
      </c>
      <c r="E2295" s="46" t="inlineStr">
        <is>
          <t>Oui</t>
        </is>
      </c>
    </row>
    <row r="2296">
      <c r="A2296" s="42" t="n">
        <v>228</v>
      </c>
      <c r="B2296" s="28" t="inlineStr">
        <is>
          <t>AN ret dn</t>
        </is>
      </c>
      <c r="C2296" s="43" t="n">
        <v>105</v>
      </c>
      <c r="D2296" s="28" t="inlineStr">
        <is>
          <t>105</t>
        </is>
      </c>
      <c r="E2296" s="44" t="inlineStr">
        <is>
          <t>Oui</t>
        </is>
      </c>
    </row>
    <row r="2297">
      <c r="A2297" s="42" t="n">
        <v>228</v>
      </c>
      <c r="B2297" s="30" t="inlineStr">
        <is>
          <t>AN ret dn (t)</t>
        </is>
      </c>
      <c r="C2297" s="45" t="n">
        <v>105</v>
      </c>
      <c r="D2297" s="30" t="inlineStr">
        <is>
          <t>105</t>
        </is>
      </c>
      <c r="E2297" s="46" t="inlineStr">
        <is>
          <t>Oui</t>
        </is>
      </c>
    </row>
    <row r="2298">
      <c r="A2298" s="42" t="n">
        <v>229</v>
      </c>
      <c r="B2298" s="28" t="inlineStr">
        <is>
          <t>AN pm</t>
        </is>
      </c>
      <c r="C2298" s="43" t="n">
        <v>0.0373018983723525</v>
      </c>
      <c r="D2298" s="28" t="inlineStr">
        <is>
          <t>3,73 %</t>
        </is>
      </c>
      <c r="E2298" s="44" t="inlineStr">
        <is>
          <t>Oui</t>
        </is>
      </c>
    </row>
    <row r="2299">
      <c r="A2299" s="42" t="n">
        <v>229</v>
      </c>
      <c r="B2299" s="30" t="inlineStr">
        <is>
          <t>AN pm (t)</t>
        </is>
      </c>
      <c r="C2299" s="45" t="n">
        <v>515290922</v>
      </c>
      <c r="D2299" s="30" t="inlineStr">
        <is>
          <t>515 290 922 FCFA</t>
        </is>
      </c>
      <c r="E2299" s="46" t="inlineStr">
        <is>
          <t>Oui</t>
        </is>
      </c>
    </row>
    <row r="2300">
      <c r="A2300" s="42" t="n">
        <v>232</v>
      </c>
      <c r="B2300" s="28" t="inlineStr">
        <is>
          <t>AN tmax</t>
        </is>
      </c>
      <c r="C2300" s="43" t="n">
        <v>0.2754862799419019</v>
      </c>
      <c r="D2300" s="28" t="inlineStr">
        <is>
          <t>27,55 %</t>
        </is>
      </c>
      <c r="E2300" s="44" t="inlineStr">
        <is>
          <t>Oui</t>
        </is>
      </c>
    </row>
    <row r="2301">
      <c r="A2301" s="42" t="n">
        <v>233</v>
      </c>
      <c r="B2301" s="30" t="inlineStr">
        <is>
          <t>FS gb</t>
        </is>
      </c>
      <c r="C2301" s="45" t="n">
        <v>37</v>
      </c>
      <c r="D2301" s="30" t="inlineStr">
        <is>
          <t>37</t>
        </is>
      </c>
      <c r="E2301" s="46" t="inlineStr">
        <is>
          <t>Oui</t>
        </is>
      </c>
    </row>
    <row r="2302">
      <c r="A2302" s="42" t="n">
        <v>233</v>
      </c>
      <c r="B2302" s="28" t="inlineStr">
        <is>
          <t>FS n 936</t>
        </is>
      </c>
      <c r="C2302" s="43" t="n">
        <v>32</v>
      </c>
      <c r="D2302" s="28" t="inlineStr">
        <is>
          <t>32</t>
        </is>
      </c>
      <c r="E2302" s="44" t="inlineStr">
        <is>
          <t>Oui</t>
        </is>
      </c>
    </row>
    <row r="2303">
      <c r="A2303" s="42" t="n">
        <v>234</v>
      </c>
      <c r="B2303" s="30" t="inlineStr">
        <is>
          <t>FS n 8Z6</t>
        </is>
      </c>
      <c r="C2303" s="45" t="n">
        <v>25</v>
      </c>
      <c r="D2303" s="30" t="inlineStr">
        <is>
          <t>25</t>
        </is>
      </c>
      <c r="E2303" s="46" t="inlineStr">
        <is>
          <t>Oui</t>
        </is>
      </c>
    </row>
    <row r="2304">
      <c r="A2304" s="42" t="n">
        <v>234</v>
      </c>
      <c r="B2304" s="28" t="inlineStr">
        <is>
          <t>FS n 998</t>
        </is>
      </c>
      <c r="C2304" s="43" t="n">
        <v>106</v>
      </c>
      <c r="D2304" s="28" t="inlineStr">
        <is>
          <t>106</t>
        </is>
      </c>
      <c r="E2304" s="44" t="inlineStr">
        <is>
          <t>Oui</t>
        </is>
      </c>
    </row>
    <row r="2305">
      <c r="A2305" s="42" t="n">
        <v>234</v>
      </c>
      <c r="B2305" s="30" t="inlineStr">
        <is>
          <t>FS n 870</t>
        </is>
      </c>
      <c r="C2305" s="45" t="n">
        <v>82</v>
      </c>
      <c r="D2305" s="30" t="inlineStr">
        <is>
          <t>82</t>
        </is>
      </c>
      <c r="E2305" s="46" t="inlineStr">
        <is>
          <t>Oui</t>
        </is>
      </c>
    </row>
    <row r="2306">
      <c r="A2306" s="42" t="n">
        <v>234</v>
      </c>
      <c r="B2306" s="28" t="inlineStr">
        <is>
          <t>FS n 9X4</t>
        </is>
      </c>
      <c r="C2306" s="43" t="n">
        <v>94</v>
      </c>
      <c r="D2306" s="28" t="inlineStr">
        <is>
          <t>94</t>
        </is>
      </c>
      <c r="E2306" s="44" t="inlineStr">
        <is>
          <t>Oui</t>
        </is>
      </c>
    </row>
    <row r="2307">
      <c r="A2307" s="42" t="n">
        <v>234</v>
      </c>
      <c r="B2307" s="30" t="inlineStr">
        <is>
          <t>FS n 9W3</t>
        </is>
      </c>
      <c r="C2307" s="45" t="n">
        <v>73</v>
      </c>
      <c r="D2307" s="30" t="inlineStr">
        <is>
          <t>73</t>
        </is>
      </c>
      <c r="E2307" s="46" t="inlineStr">
        <is>
          <t>Oui</t>
        </is>
      </c>
    </row>
    <row r="2308">
      <c r="A2308" s="42" t="n">
        <v>234</v>
      </c>
      <c r="B2308" s="28" t="inlineStr">
        <is>
          <t>FS n 8Z7</t>
        </is>
      </c>
      <c r="C2308" s="43" t="n">
        <v>16</v>
      </c>
      <c r="D2308" s="28" t="inlineStr">
        <is>
          <t>16</t>
        </is>
      </c>
      <c r="E2308" s="44" t="inlineStr">
        <is>
          <t>Oui</t>
        </is>
      </c>
    </row>
    <row r="2309">
      <c r="A2309" s="42" t="n">
        <v>234</v>
      </c>
      <c r="B2309" s="30" t="inlineStr">
        <is>
          <t>FS n CGRAE</t>
        </is>
      </c>
      <c r="C2309" s="45" t="n">
        <v>64</v>
      </c>
      <c r="D2309" s="30" t="inlineStr">
        <is>
          <t>64</t>
        </is>
      </c>
      <c r="E2309" s="46" t="inlineStr">
        <is>
          <t>Oui</t>
        </is>
      </c>
    </row>
    <row r="2310">
      <c r="A2310" s="42" t="n">
        <v>11</v>
      </c>
      <c r="B2310" s="28" t="inlineStr">
        <is>
          <t>Cot (schéma)</t>
        </is>
      </c>
      <c r="C2310" s="43" t="n">
        <v>3417551722</v>
      </c>
      <c r="D2310" s="28" t="inlineStr">
        <is>
          <t>3 417 551 722 FCFA</t>
        </is>
      </c>
      <c r="E2310" s="44" t="inlineStr">
        <is>
          <t>Oui</t>
        </is>
      </c>
    </row>
    <row r="2311">
      <c r="A2311" s="42" t="n">
        <v>11</v>
      </c>
      <c r="B2311" s="30" t="inlineStr">
        <is>
          <t>Prest mal (schéma)</t>
        </is>
      </c>
      <c r="C2311" s="45" t="n">
        <v>1771635361</v>
      </c>
      <c r="D2311" s="30" t="inlineStr">
        <is>
          <t>1 771 635 361 FCFA</t>
        </is>
      </c>
      <c r="E2311" s="46" t="inlineStr">
        <is>
          <t>Oui</t>
        </is>
      </c>
    </row>
    <row r="2312">
      <c r="A2312" s="42" t="n">
        <v>11</v>
      </c>
      <c r="B2312" s="28" t="inlineStr">
        <is>
          <t>Prest déc (schéma)</t>
        </is>
      </c>
      <c r="C2312" s="43" t="n">
        <v>193136666</v>
      </c>
      <c r="D2312" s="28" t="inlineStr">
        <is>
          <t>193 136 666 FCFA</t>
        </is>
      </c>
      <c r="E2312" s="44" t="inlineStr">
        <is>
          <t>Oui</t>
        </is>
      </c>
    </row>
    <row r="2313">
      <c r="A2313" s="42" t="n">
        <v>11</v>
      </c>
      <c r="B2313" s="30" t="inlineStr">
        <is>
          <t>Épargne (schéma)</t>
        </is>
      </c>
      <c r="C2313" s="45" t="n">
        <v>15743516391</v>
      </c>
      <c r="D2313" s="30" t="inlineStr">
        <is>
          <t>15 743 516 391 FCFA</t>
        </is>
      </c>
      <c r="E2313" s="46" t="inlineStr">
        <is>
          <t>Oui</t>
        </is>
      </c>
    </row>
    <row r="2314">
      <c r="A2314" s="42" t="n">
        <v>11</v>
      </c>
      <c r="B2314" s="28" t="inlineStr">
        <is>
          <t>Grenier (schéma)</t>
        </is>
      </c>
      <c r="C2314" s="43" t="n">
        <v>915477260</v>
      </c>
      <c r="D2314" s="28" t="inlineStr">
        <is>
          <t>915 477 260 FCFA</t>
        </is>
      </c>
      <c r="E2314" s="44" t="inlineStr">
        <is>
          <t>Oui</t>
        </is>
      </c>
    </row>
    <row r="2315">
      <c r="A2315" s="42" t="n">
        <v>11</v>
      </c>
      <c r="B2315" s="30" t="inlineStr">
        <is>
          <t>CMP+terrains (schéma)</t>
        </is>
      </c>
      <c r="C2315" s="45" t="n">
        <v>12329431315</v>
      </c>
      <c r="D2315" s="30" t="inlineStr">
        <is>
          <t>12 329 431 315 FCFA</t>
        </is>
      </c>
      <c r="E2315" s="46" t="inlineStr">
        <is>
          <t>Oui</t>
        </is>
      </c>
    </row>
    <row r="2316">
      <c r="A2316" s="42" t="n">
        <v>16</v>
      </c>
      <c r="B2316" s="28" t="inlineStr">
        <is>
          <t>Couverture anneau</t>
        </is>
      </c>
      <c r="C2316" s="43" t="n">
        <v>0.1627899128345373</v>
      </c>
      <c r="D2316" s="28" t="inlineStr">
        <is>
          <t>16,28 %</t>
        </is>
      </c>
      <c r="E2316" s="44" t="inlineStr">
        <is>
          <t>Oui</t>
        </is>
      </c>
    </row>
    <row r="2317">
      <c r="A2317" s="42" t="n">
        <v>16</v>
      </c>
      <c r="B2317" s="30" t="inlineStr">
        <is>
          <t>S/C anneau</t>
        </is>
      </c>
      <c r="C2317" s="45" t="n">
        <v>0.7353377787563454</v>
      </c>
      <c r="D2317" s="30" t="inlineStr">
        <is>
          <t>73,53 %</t>
        </is>
      </c>
      <c r="E2317" s="46" t="inlineStr">
        <is>
          <t>Oui</t>
        </is>
      </c>
    </row>
    <row r="2318">
      <c r="A2318" s="42" t="n">
        <v>16</v>
      </c>
      <c r="B2318" s="28" t="inlineStr">
        <is>
          <t>Trésorerie/épargne anneau</t>
        </is>
      </c>
      <c r="C2318" s="43" t="n">
        <v>0.2133640626766379</v>
      </c>
      <c r="D2318" s="28" t="inlineStr">
        <is>
          <t>21,34 %</t>
        </is>
      </c>
      <c r="E2318" s="44" t="inlineStr">
        <is>
          <t>Oui</t>
        </is>
      </c>
    </row>
    <row r="2319">
      <c r="A2319" s="42" t="n">
        <v>16</v>
      </c>
      <c r="B2319" s="30" t="inlineStr">
        <is>
          <t>Prêts retard anneau</t>
        </is>
      </c>
      <c r="C2319" s="45" t="n">
        <v>0.05069280162216965</v>
      </c>
      <c r="D2319" s="30" t="inlineStr">
        <is>
          <t>5,07 %</t>
        </is>
      </c>
      <c r="E2319" s="46" t="inlineStr">
        <is>
          <t>Oui</t>
        </is>
      </c>
    </row>
    <row r="2320"/>
    <row r="2321">
      <c r="A2321" s="14" t="inlineStr">
        <is>
          <t>Source : rapport PowerPoint et contrôle automatique des chiffres</t>
        </is>
      </c>
    </row>
  </sheetData>
  <pageMargins left="0.75" right="0.75" top="1" bottom="1" header="0.5" footer="0.5"/>
  <pageSetup orientation="landscape" fitToHeight="0" fitToWidth="1"/>
</worksheet>
</file>

<file path=xl/worksheets/sheet52.xml><?xml version="1.0" encoding="utf-8"?>
<worksheet xmlns="http://schemas.openxmlformats.org/spreadsheetml/2006/main">
  <sheetPr>
    <outlinePr summaryBelow="1" summaryRight="1"/>
    <pageSetUpPr fitToPage="1"/>
  </sheetPr>
  <dimension ref="A1:E174"/>
  <sheetViews>
    <sheetView showGridLines="0" workbookViewId="0">
      <pane ySplit="3" topLeftCell="A4" activePane="bottomLeft" state="frozen"/>
      <selection pane="bottomLeft" activeCell="A1" sqref="A1"/>
    </sheetView>
  </sheetViews>
  <sheetFormatPr baseColWidth="8" defaultRowHeight="15"/>
  <cols>
    <col width="11.05" customWidth="1" min="1" max="1"/>
    <col width="10" customWidth="1" min="2" max="2"/>
    <col width="70" customWidth="1" min="3" max="3"/>
    <col width="13.55" customWidth="1" min="4" max="4"/>
    <col width="90" customWidth="1" min="5" max="5"/>
  </cols>
  <sheetData>
    <row r="1">
      <c r="A1" s="7" t="inlineStr">
        <is>
          <t>Tableau : Liste des figures et des tableaux du rapport</t>
        </is>
      </c>
    </row>
    <row r="2"/>
    <row r="3" ht="30" customHeight="1">
      <c r="A3" s="8" t="inlineStr">
        <is>
          <t>Type</t>
        </is>
      </c>
      <c r="B3" s="8" t="inlineStr">
        <is>
          <t>Numéro</t>
        </is>
      </c>
      <c r="C3" s="8" t="inlineStr">
        <is>
          <t>Titre</t>
        </is>
      </c>
      <c r="D3" s="8" t="inlineStr">
        <is>
          <t>Diapositive</t>
        </is>
      </c>
      <c r="E3" s="8" t="inlineStr">
        <is>
          <t>Valable pour</t>
        </is>
      </c>
    </row>
    <row r="4">
      <c r="A4" s="47" t="inlineStr">
        <is>
          <t>Figure</t>
        </is>
      </c>
      <c r="B4" s="48" t="n">
        <v>1</v>
      </c>
      <c r="C4" s="10" t="inlineStr">
        <is>
          <t>Ratio S/C maladie (prestations / cotisations)</t>
        </is>
      </c>
      <c r="D4" s="48" t="n">
        <v>13</v>
      </c>
      <c r="E4" s="10" t="inlineStr">
        <is>
          <t>S/C maladie : comptes 601, 6013, 6018 et 60800007 (prestations) et 7010 (cotisations) des balances « BALANCE FORMAT EXCEL DE 09-2020 AU 31-12-2020.xlsx » à « BALANCE FPPN DU 01-01-2026 AU 31-08-2026.xlsx », 2020 à 2025 et du 01/01 au 31/08/2026 ; épargne : comptes 41195100 et 41195200 ; actifs réservés : banques et DAT de l'épargne et FCP</t>
        </is>
      </c>
    </row>
    <row r="5">
      <c r="A5" s="47" t="inlineStr">
        <is>
          <t>Figure</t>
        </is>
      </c>
      <c r="B5" s="49" t="n">
        <v>2</v>
      </c>
      <c r="C5" s="12" t="inlineStr">
        <is>
          <t>Épargne due et actifs réservés</t>
        </is>
      </c>
      <c r="D5" s="49" t="n">
        <v>13</v>
      </c>
      <c r="E5" s="12" t="inlineStr">
        <is>
          <t>S/C maladie : comptes 601, 6013, 6018 et 60800007 (prestations) et 7010 (cotisations) des balances « BALANCE FORMAT EXCEL DE 09-2020 AU 31-12-2020.xlsx » à « BALANCE FPPN DU 01-01-2026 AU 31-08-2026.xlsx », 2020 à 2025 et du 01/01 au 31/08/2026 ; épargne : comptes 41195100 et 41195200 ; actifs réservés : banques et DAT de l'épargne et FCP</t>
        </is>
      </c>
    </row>
    <row r="6">
      <c r="A6" s="47" t="inlineStr">
        <is>
          <t>Figure</t>
        </is>
      </c>
      <c r="B6" s="48" t="n">
        <v>3</v>
      </c>
      <c r="C6" s="10" t="inlineStr">
        <is>
          <t>Fonds propres</t>
        </is>
      </c>
      <c r="D6" s="48" t="n">
        <v>14</v>
      </c>
      <c r="E6" s="10" t="inlineStr">
        <is>
          <t>fonds propres : comptes 10, 11, 12 et résultat des balances « BALANCE FORMAT EXCEL DE 09-2020 AU 31-12-2020.xlsx » à « BALANCE FPPN DU 01-01-2026 AU 31-08-2026.xlsx » ; encours du Grenier : exports « BalanceAgeeDetaille … .xls » du logiciel de prêts du Grenier, arrêtés annuels du 31/12/2021 au 31/12/2025 et au 31/08/2026</t>
        </is>
      </c>
    </row>
    <row r="7">
      <c r="A7" s="47" t="inlineStr">
        <is>
          <t>Figure</t>
        </is>
      </c>
      <c r="B7" s="49" t="n">
        <v>4</v>
      </c>
      <c r="C7" s="12" t="inlineStr">
        <is>
          <t>Encours des prêts du Grenier</t>
        </is>
      </c>
      <c r="D7" s="49" t="n">
        <v>14</v>
      </c>
      <c r="E7" s="12" t="inlineStr">
        <is>
          <t>fonds propres : comptes 10, 11, 12 et résultat des balances « BALANCE FORMAT EXCEL DE 09-2020 AU 31-12-2020.xlsx » à « BALANCE FPPN DU 01-01-2026 AU 31-08-2026.xlsx » ; encours du Grenier : exports « BalanceAgeeDetaille … .xls » du logiciel de prêts du Grenier, arrêtés annuels du 31/12/2021 au 31/12/2025 et au 31/08/2026</t>
        </is>
      </c>
    </row>
    <row r="8">
      <c r="A8" s="47" t="inlineStr">
        <is>
          <t>Figure</t>
        </is>
      </c>
      <c r="B8" s="48" t="n">
        <v>5</v>
      </c>
      <c r="C8" s="10" t="inlineStr">
        <is>
          <t>Produits, charges et résultat 2025</t>
        </is>
      </c>
      <c r="D8" s="48" t="n">
        <v>27</v>
      </c>
      <c r="E8" s="10" t="inlineStr">
        <is>
          <t>exercice 2025, classes 6 et 7 de « BALANCE FPPN 2025.xlsx » ; flux d'épargne et du Grenier exclus du résultat</t>
        </is>
      </c>
    </row>
    <row r="9">
      <c r="A9" s="47" t="inlineStr">
        <is>
          <t>Figure</t>
        </is>
      </c>
      <c r="B9" s="49" t="n">
        <v>6</v>
      </c>
      <c r="C9" s="12" t="inlineStr">
        <is>
          <t>Mois reçus par flux de données, sur 80 mois</t>
        </is>
      </c>
      <c r="D9" s="49" t="n">
        <v>36</v>
      </c>
      <c r="E9" s="12" t="inlineStr">
        <is>
          <t>fichiers de précomptes reçus le 15/10/2026, par poste et par mois, de janvier 2020 à août 2026 (80 mois) ; un mois est « reçu » si au moins un fichier lisible le couvre</t>
        </is>
      </c>
    </row>
    <row r="10">
      <c r="A10" s="47" t="inlineStr">
        <is>
          <t>Figure</t>
        </is>
      </c>
      <c r="B10" s="48" t="n">
        <v>7</v>
      </c>
      <c r="C10" s="10" t="inlineStr">
        <is>
          <t>Montant précompté rapporté au montant demandé, mois communs</t>
        </is>
      </c>
      <c r="D10" s="48" t="n">
        <v>39</v>
      </c>
      <c r="E10" s="10" t="inlineStr">
        <is>
          <t>mois pour lesquels le fichier aller et le fichier retour d'un même poste sont tous deux reçus ; montants totaux du mois, sans rapprochement agent par agent</t>
        </is>
      </c>
    </row>
    <row r="11">
      <c r="A11" s="47" t="inlineStr">
        <is>
          <t>Figure</t>
        </is>
      </c>
      <c r="B11" s="49" t="n">
        <v>8</v>
      </c>
      <c r="C11" s="12" t="inlineStr">
        <is>
          <t>Cotisants actifs précomptés (poste 936), par mois</t>
        </is>
      </c>
      <c r="D11" s="49" t="n">
        <v>48</v>
      </c>
      <c r="E11" s="12" t="inlineStr">
        <is>
          <t>agents précomptés chaque mois dans les fichiers retour du poste 936 (dossier « FPPN-SOLDE\EFFECTIF POLICE (MALADIE) »), janvier 2024 à septembre 2026 ; décembre 2024 vide ; hors retraités et civils de la Direction Générale</t>
        </is>
      </c>
    </row>
    <row r="12">
      <c r="A12" s="47" t="inlineStr">
        <is>
          <t>Figure</t>
        </is>
      </c>
      <c r="B12" s="48" t="n">
        <v>9</v>
      </c>
      <c r="C12" s="10" t="inlineStr">
        <is>
          <t>Entrées et sorties de cotisants, par mois</t>
        </is>
      </c>
      <c r="D12" s="48" t="n">
        <v>49</v>
      </c>
      <c r="E12" s="10" t="inlineStr">
        <is>
          <t>matricules présents un mois et absents le suivant (ou l'inverse) dans les fichiers retour du poste 936 (dossier « FPPN-SOLDE\EFFECTIF POLICE (MALADIE) »), janvier 2024 à septembre 2026 ; ne distingue pas retraite, décès et radiation</t>
        </is>
      </c>
    </row>
    <row r="13">
      <c r="A13" s="47" t="inlineStr">
        <is>
          <t>Figure</t>
        </is>
      </c>
      <c r="B13" s="49" t="n">
        <v>10</v>
      </c>
      <c r="C13" s="12" t="inlineStr">
        <is>
          <t>Agents par ancienneté de service, janv. 25</t>
        </is>
      </c>
      <c r="D13" s="49" t="n">
        <v>50</v>
      </c>
      <c r="E13" s="12" t="inlineStr">
        <is>
          <t>ancienneté de service calculée sur la date d'entrée des fichiers retour du poste 936 (dossier « FPPN-SOLDE\EFFECTIF POLICE (MALADIE) ») de janvier 2025 ; âge non disponible</t>
        </is>
      </c>
    </row>
    <row r="14">
      <c r="A14" s="47" t="inlineStr">
        <is>
          <t>Figure</t>
        </is>
      </c>
      <c r="B14" s="48" t="n">
        <v>11</v>
      </c>
      <c r="C14" s="10" t="inlineStr">
        <is>
          <t>Répartition du taux de 5 % selon la source</t>
        </is>
      </c>
      <c r="D14" s="48" t="n">
        <v>52</v>
      </c>
      <c r="E14" s="10" t="inlineStr">
        <is>
          <t>taux maladie : colonne du salaire de base des fichiers retour du poste 936 (dossier « FPPN-SOLDE\EFFECTIF POLICE (MALADIE) ») (huit mois détaillés) ; taux décès : fichiers retour du poste 8Z6 (dossier « FPPN-SOLDE\ALLOCATION DECES ») rapportés au 936 de mars 2024 à septembre 2026</t>
        </is>
      </c>
    </row>
    <row r="15">
      <c r="A15" s="47" t="inlineStr">
        <is>
          <t>Figure</t>
        </is>
      </c>
      <c r="B15" s="49" t="n">
        <v>12</v>
      </c>
      <c r="C15" s="12" t="inlineStr">
        <is>
          <t>Ratio S/C 2025 selon la clé de répartition</t>
        </is>
      </c>
      <c r="D15" s="49" t="n">
        <v>53</v>
      </c>
      <c r="E15" s="12" t="inlineStr">
        <is>
          <t>exercice 2025 ; cotisations des comptes 7010 et 7021 de « BALANCE FPPN 2025.xlsx » réparties entre maladie et décès selon la clé testée</t>
        </is>
      </c>
    </row>
    <row r="16">
      <c r="A16" s="47" t="inlineStr">
        <is>
          <t>Figure</t>
        </is>
      </c>
      <c r="B16" s="48" t="n">
        <v>13</v>
      </c>
      <c r="C16" s="10" t="inlineStr">
        <is>
          <t>Cotisations nominales et réelles (francs de 2020)</t>
        </is>
      </c>
      <c r="D16" s="48" t="n">
        <v>54</v>
      </c>
      <c r="E16" s="10" t="inlineStr">
        <is>
          <t>cotisations des comptes 7010 et 7021 des balances « BALANCE FORMAT EXCEL DE 09-2020 AU 31-12-2020.xlsx » à « BALANCE FPPN DU 01-01-2026 AU 31-08-2026.xlsx », 2020 à 2025 ; inflation de la Banque mondiale (FP.CPI.TOTL.ZG, Côte d'Ivoire), francs de 2020</t>
        </is>
      </c>
    </row>
    <row r="17">
      <c r="A17" s="47" t="inlineStr">
        <is>
          <t>Figure</t>
        </is>
      </c>
      <c r="B17" s="49" t="n">
        <v>14</v>
      </c>
      <c r="C17" s="12" t="inlineStr">
        <is>
          <t>Cotisations comptabilisées par garantie</t>
        </is>
      </c>
      <c r="D17" s="49" t="n">
        <v>55</v>
      </c>
      <c r="E17" s="12" t="inlineStr">
        <is>
          <t>comptes 7010 (maladie) et 7021 (décès) des balances « BALANCE FORMAT EXCEL DE 09-2020 AU 31-12-2020.xlsx » à « BALANCE FPPN DU 01-01-2026 AU 31-08-2026.xlsx », 2020 à 2025 et du 01/01 au 31/08/2026 ; 2020 = à-nouveaux au 01/09/2020 plus mouvements du 01/09 au 31/12/2020</t>
        </is>
      </c>
    </row>
    <row r="18">
      <c r="A18" s="47" t="inlineStr">
        <is>
          <t>Figure</t>
        </is>
      </c>
      <c r="B18" s="48" t="n">
        <v>15</v>
      </c>
      <c r="C18" s="10" t="inlineStr">
        <is>
          <t>Prestations comptabilisées / cotisations (S/C)</t>
        </is>
      </c>
      <c r="D18" s="48" t="n">
        <v>62</v>
      </c>
      <c r="E18" s="10" t="inlineStr">
        <is>
          <t>comptes 601, 6013, 6018, 60800007, 6021 et 6024 (prestations) et 7010, 7021 (cotisations) des balances « BALANCE FORMAT EXCEL DE 09-2020 AU 31-12-2020.xlsx » à « BALANCE FPPN DU 01-01-2026 AU 31-08-2026.xlsx », 2020 à 2025 et du 01/01 au 31/08/2026 ; sans provisions ni sinistres tardifs</t>
        </is>
      </c>
    </row>
    <row r="19">
      <c r="A19" s="47" t="inlineStr">
        <is>
          <t>Figure</t>
        </is>
      </c>
      <c r="B19" s="49" t="n">
        <v>16</v>
      </c>
      <c r="C19" s="12" t="inlineStr">
        <is>
          <t>Taux de sinistralité selon la formule, 2020 au 31/08/2026</t>
        </is>
      </c>
      <c r="D19" s="49" t="n">
        <v>64</v>
      </c>
      <c r="E19" s="12" t="inlineStr">
        <is>
          <t>comptes de prestations, de cotisations (7010, 7021) et de provisions (158) des balances « BALANCE FORMAT EXCEL DE 09-2020 AU 31-12-2020.xlsx » à « BALANCE FPPN DU 01-01-2026 AU 31-08-2026.xlsx », 2020 à 2025 et du 01/01 au 31/08/2026 ; variation de provision nulle car les provisions ne bougent pas</t>
        </is>
      </c>
    </row>
    <row r="20">
      <c r="A20" s="47" t="inlineStr">
        <is>
          <t>Figure</t>
        </is>
      </c>
      <c r="B20" s="48" t="n">
        <v>17</v>
      </c>
      <c r="C20" s="10" t="inlineStr">
        <is>
          <t>Prestations maladie comptabilisées par nature</t>
        </is>
      </c>
      <c r="D20" s="48" t="n">
        <v>70</v>
      </c>
      <c r="E20" s="10" t="inlineStr">
        <is>
          <t>comptes 601, 6013, 6018 et 60800007 des balances « BALANCE FORMAT EXCEL DE 09-2020 AU 31-12-2020.xlsx » à « BALANCE FPPN DU 01-01-2026 AU 31-08-2026.xlsx », 2020 à 2025 et du 01/01 au 31/08/2026 ; nature telle que libellée par le FPPN</t>
        </is>
      </c>
    </row>
    <row r="21">
      <c r="A21" s="47" t="inlineStr">
        <is>
          <t>Figure</t>
        </is>
      </c>
      <c r="B21" s="49" t="n">
        <v>18</v>
      </c>
      <c r="C21" s="12" t="inlineStr">
        <is>
          <t>Frais de gestion et résultat net</t>
        </is>
      </c>
      <c r="D21" s="49" t="n">
        <v>71</v>
      </c>
      <c r="E21" s="12" t="inlineStr">
        <is>
          <t>comptes 61 à 66 hors 6518 (frais) et résultat net des balances « BALANCE FORMAT EXCEL DE 09-2020 AU 31-12-2020.xlsx » à « BALANCE FPPN DU 01-01-2026 AU 31-08-2026.xlsx », 2020 à 2025 et du 01/01 au 31/08/2026</t>
        </is>
      </c>
    </row>
    <row r="22">
      <c r="A22" s="47" t="inlineStr">
        <is>
          <t>Figure</t>
        </is>
      </c>
      <c r="B22" s="48" t="n">
        <v>19</v>
      </c>
      <c r="C22" s="10" t="inlineStr">
        <is>
          <t>Taux de frais selon la formule</t>
        </is>
      </c>
      <c r="D22" s="48" t="n">
        <v>72</v>
      </c>
      <c r="E22" s="10" t="inlineStr">
        <is>
          <t>formules de la Décision n° 05/2022 (annexe, tableau 1) appliquées aux comptes 61 à 66 hors 6518 et 7010, 7021 des balances « BALANCE FORMAT EXCEL DE 09-2020 AU 31-12-2020.xlsx » à « BALANCE FPPN DU 01-01-2026 AU 31-08-2026.xlsx »</t>
        </is>
      </c>
    </row>
    <row r="23">
      <c r="A23" s="47" t="inlineStr">
        <is>
          <t>Figure</t>
        </is>
      </c>
      <c r="B23" s="49" t="n">
        <v>20</v>
      </c>
      <c r="C23" s="12" t="inlineStr">
        <is>
          <t>Épargne au passif et actifs réservés</t>
        </is>
      </c>
      <c r="D23" s="49" t="n">
        <v>77</v>
      </c>
      <c r="E23" s="12" t="inlineStr">
        <is>
          <t>comptes 41195100 et 41195200 (épargne) et comptes bancaires, DAT et FCP réservés à l'épargne des balances « BALANCE FORMAT EXCEL DE 09-2020 AU 31-12-2020.xlsx » à « BALANCE FPPN DU 01-01-2026 AU 31-08-2026.xlsx », au 31/12 de 2020 à 2025 et au 31/08/2026</t>
        </is>
      </c>
    </row>
    <row r="24">
      <c r="A24" s="47" t="inlineStr">
        <is>
          <t>Figure</t>
        </is>
      </c>
      <c r="B24" s="48" t="n">
        <v>21</v>
      </c>
      <c r="C24" s="10" t="inlineStr">
        <is>
          <t>Versements précomptés par produit d'épargne</t>
        </is>
      </c>
      <c r="D24" s="48" t="n">
        <v>78</v>
      </c>
      <c r="E24" s="10" t="inlineStr">
        <is>
          <t>versements des postes 998 (PEP) et 870 (EFC) dans les fichiers retour de la Solde, mois reçus de 2023 à 2026, comparés aux crédits des comptes 41195100 et 41195200</t>
        </is>
      </c>
    </row>
    <row r="25">
      <c r="A25" s="47" t="inlineStr">
        <is>
          <t>Figure</t>
        </is>
      </c>
      <c r="B25" s="49" t="n">
        <v>22</v>
      </c>
      <c r="C25" s="12" t="inlineStr">
        <is>
          <t>Besoin de liquidités selon le taux de retrait</t>
        </is>
      </c>
      <c r="D25" s="49" t="n">
        <v>79</v>
      </c>
      <c r="E25" s="12" t="inlineStr">
        <is>
          <t>épargne due et actifs à moins d'un an au 31/08/2026 (« BALANCE FPPN DU 01-01-2026 AU 31-08-2026.xlsx ») ; taux de retrait hypothétiques</t>
        </is>
      </c>
    </row>
    <row r="26">
      <c r="A26" s="47" t="inlineStr">
        <is>
          <t>Figure</t>
        </is>
      </c>
      <c r="B26" s="48" t="n">
        <v>23</v>
      </c>
      <c r="C26" s="10" t="inlineStr">
        <is>
          <t>Encours des prêts et financement du FPPN</t>
        </is>
      </c>
      <c r="D26" s="48" t="n">
        <v>89</v>
      </c>
      <c r="E26" s="10" t="inlineStr">
        <is>
          <t>encours des exports « BalanceAgeeDetaille … .xls » du logiciel de prêts du Grenier aux arrêtés du 31/12/2021 au 31/12/2025 et mensuels de 2026 ; financement : compte 47111102 des balances « BALANCE FORMAT EXCEL DE 09-2020 AU 31-12-2020.xlsx » à « BALANCE FPPN DU 01-01-2026 AU 31-08-2026.xlsx »</t>
        </is>
      </c>
    </row>
    <row r="27">
      <c r="A27" s="47" t="inlineStr">
        <is>
          <t>Figure</t>
        </is>
      </c>
      <c r="B27" s="49" t="n">
        <v>24</v>
      </c>
      <c r="C27" s="12" t="inlineStr">
        <is>
          <t>Montants débloqués par type de crédit</t>
        </is>
      </c>
      <c r="D27" s="49" t="n">
        <v>90</v>
      </c>
      <c r="E27" s="12" t="inlineStr">
        <is>
          <t>montants débloqués des exports « production_de_la_periode … .xls » du logiciel de prêts du Grenier, 2021 à septembre 2026, par type de crédit ; prêts non rapprochés des contrats</t>
        </is>
      </c>
    </row>
    <row r="28">
      <c r="A28" s="47" t="inlineStr">
        <is>
          <t>Figure</t>
        </is>
      </c>
      <c r="B28" s="48" t="n">
        <v>25</v>
      </c>
      <c r="C28" s="10" t="inlineStr">
        <is>
          <t>Part de l'encours en retard de plus de 30 et 90 jours</t>
        </is>
      </c>
      <c r="D28" s="48" t="n">
        <v>91</v>
      </c>
      <c r="E28" s="10" t="inlineStr">
        <is>
          <t>colonne « retard » des exports « BalanceAgeeDetaille … .xls » du logiciel de prêts du Grenier, arrêtés du 31/12/2021 au 31/08/2026 ; retard compté sur l'échéance la plus ancienne impayée</t>
        </is>
      </c>
    </row>
    <row r="29">
      <c r="A29" s="47" t="inlineStr">
        <is>
          <t>Figure</t>
        </is>
      </c>
      <c r="B29" s="49" t="n">
        <v>26</v>
      </c>
      <c r="C29" s="12" t="inlineStr">
        <is>
          <t>Échéances des prêts en cours et précomptes 9X4, 2026</t>
        </is>
      </c>
      <c r="D29" s="49" t="n">
        <v>93</v>
      </c>
      <c r="E29" s="12" t="inlineStr">
        <is>
          <t>échéances des prêts en cours des exports « BalanceAgeeDetaille … .xls » du logiciel de prêts du Grenier et précomptes du poste 9X4 (« FPPN-SOLDE\GRENIER\FICHIER ALLER RETOUR »), mois de 2026 reçus</t>
        </is>
      </c>
    </row>
    <row r="30">
      <c r="A30" s="47" t="inlineStr">
        <is>
          <t>Figure</t>
        </is>
      </c>
      <c r="B30" s="48" t="n">
        <v>27</v>
      </c>
      <c r="C30" s="10" t="inlineStr">
        <is>
          <t>Retraités précomptés par la CGRAE, par mois</t>
        </is>
      </c>
      <c r="D30" s="48" t="n">
        <v>97</v>
      </c>
      <c r="E30" s="10" t="inlineStr">
        <is>
          <t>retraités précomptés dans les fichiers retour de la CGRAE (dossier « FPPN-CGRAE\PRECOMTES\FICHIER RETOUR (CGRAE) »), février 2024 à septembre 2026 ; ne couvre pas les retraités sans quotité cessible</t>
        </is>
      </c>
    </row>
    <row r="31">
      <c r="A31" s="47" t="inlineStr">
        <is>
          <t>Figure</t>
        </is>
      </c>
      <c r="B31" s="49" t="n">
        <v>28</v>
      </c>
      <c r="C31" s="12" t="inlineStr">
        <is>
          <t>Mois de prestations couverts par les provisions</t>
        </is>
      </c>
      <c r="D31" s="49" t="n">
        <v>104</v>
      </c>
      <c r="E31" s="12" t="inlineStr">
        <is>
          <t>comptes 15801 et 15802 (19011 et 19012 avant leur reclassement) des balances « BALANCE FORMAT EXCEL DE 09-2020 AU 31-12-2020.xlsx » à « BALANCE FPPN DU 01-01-2026 AU 31-08-2026.xlsx », rapportés aux prestations de l'année ; 2026 sur huit mois</t>
        </is>
      </c>
    </row>
    <row r="32">
      <c r="A32" s="47" t="inlineStr">
        <is>
          <t>Figure</t>
        </is>
      </c>
      <c r="B32" s="48" t="n">
        <v>29</v>
      </c>
      <c r="C32" s="10" t="inlineStr">
        <is>
          <t>PSAP maladie et dettes envers les cliniques</t>
        </is>
      </c>
      <c r="D32" s="48" t="n">
        <v>106</v>
      </c>
      <c r="E32" s="10" t="inlineStr">
        <is>
          <t>compte 15801000 et compte 40110000 (dettes envers les cliniques) des balances « BALANCE FORMAT EXCEL DE 09-2020 AU 31-12-2020.xlsx » à « BALANCE FPPN DU 01-01-2026 AU 31-08-2026.xlsx », au 31/12 de 2020 à 2025 et au 31/08/2026</t>
        </is>
      </c>
    </row>
    <row r="33">
      <c r="A33" s="47" t="inlineStr">
        <is>
          <t>Figure</t>
        </is>
      </c>
      <c r="B33" s="49" t="n">
        <v>30</v>
      </c>
      <c r="C33" s="12" t="inlineStr">
        <is>
          <t>Principaux postes de l'actif</t>
        </is>
      </c>
      <c r="D33" s="49" t="n">
        <v>132</v>
      </c>
      <c r="E33" s="12" t="inlineStr">
        <is>
          <t>comptes d'actif (classes 2 à 5, 41 et 47) des balances « BALANCE FORMAT EXCEL DE 09-2020 AU 31-12-2020.xlsx » à « BALANCE FPPN DU 01-01-2026 AU 31-08-2026.xlsx », au 31/12 de 2020 à 2025 et au 31/08/2026 ; valeurs comptables non réévaluées</t>
        </is>
      </c>
    </row>
    <row r="34">
      <c r="A34" s="47" t="inlineStr">
        <is>
          <t>Figure</t>
        </is>
      </c>
      <c r="B34" s="48" t="n">
        <v>31</v>
      </c>
      <c r="C34" s="10" t="inlineStr">
        <is>
          <t>Actif par délai de mobilisation et passif par échéance</t>
        </is>
      </c>
      <c r="D34" s="48" t="n">
        <v>133</v>
      </c>
      <c r="E34" s="10" t="inlineStr">
        <is>
          <t>actifs classés par délai de mobilisation et passif par échéance d'après la nature des comptes des balances « BALANCE FORMAT EXCEL DE 09-2020 AU 31-12-2020.xlsx » à « BALANCE FPPN DU 01-01-2026 AU 31-08-2026.xlsx », au 31/12/2025 et au 31/08/2026</t>
        </is>
      </c>
    </row>
    <row r="35">
      <c r="A35" s="47" t="inlineStr">
        <is>
          <t>Figure</t>
        </is>
      </c>
      <c r="B35" s="49" t="n">
        <v>32</v>
      </c>
      <c r="C35" s="12" t="inlineStr">
        <is>
          <t>Fonds propres et résultat de l'exercice</t>
        </is>
      </c>
      <c r="D35" s="49" t="n">
        <v>145</v>
      </c>
      <c r="E35" s="12" t="inlineStr">
        <is>
          <t>comptes 10, 11, 12 et résultat des balances « BALANCE FORMAT EXCEL DE 09-2020 AU 31-12-2020.xlsx » à « BALANCE FPPN DU 01-01-2026 AU 31-08-2026.xlsx », au 31/12 de 2020 à 2025 et au 31/08/2026 ; sans retraitement des provisions</t>
        </is>
      </c>
    </row>
    <row r="36">
      <c r="A36" s="47" t="inlineStr">
        <is>
          <t>Figure</t>
        </is>
      </c>
      <c r="B36" s="48" t="n">
        <v>33</v>
      </c>
      <c r="C36" s="10" t="inlineStr">
        <is>
          <t>Taux directeur de la BCEAO</t>
        </is>
      </c>
      <c r="D36" s="48" t="n">
        <v>149</v>
      </c>
      <c r="E36" s="10" t="inlineStr">
        <is>
          <t>produits financiers (classe 77) et placements moyens (comptes 52 et 53) des balances 2021 à 2025 ; taux directeurs de la BCEAO de 2020 à 2026</t>
        </is>
      </c>
    </row>
    <row r="37">
      <c r="A37" s="47" t="inlineStr">
        <is>
          <t>Figure</t>
        </is>
      </c>
      <c r="B37" s="49" t="n">
        <v>34</v>
      </c>
      <c r="C37" s="12" t="inlineStr">
        <is>
          <t>Liquidité et équilibre stable, comme le FPPN et retraités</t>
        </is>
      </c>
      <c r="D37" s="49" t="n">
        <v>163</v>
      </c>
      <c r="E37" s="12" t="inlineStr">
        <is>
          <t>ratios de la Décision n° 05/2022 recalculés sur les balances « BALANCE FORMAT EXCEL DE 09-2020 AU 31-12-2020.xlsx » à « BALANCE FPPN DU 01-01-2026 AU 31-08-2026.xlsx », lecture comme le FPPN et lecture retraitée, 2020 au 31/08/2026</t>
        </is>
      </c>
    </row>
    <row r="38">
      <c r="A38" s="47" t="inlineStr">
        <is>
          <t>Figure</t>
        </is>
      </c>
      <c r="B38" s="48" t="n">
        <v>35</v>
      </c>
      <c r="C38" s="10" t="inlineStr">
        <is>
          <t>Excédent technique par risque, frais répartis au prorata des cotisations</t>
        </is>
      </c>
      <c r="D38" s="48" t="n">
        <v>174</v>
      </c>
      <c r="E38" s="10" t="inlineStr">
        <is>
          <t>comptes de prestations, de frais (61 à 66 hors 6518) et de cotisations (7010, 7021) des balances « BALANCE FORMAT EXCEL DE 09-2020 AU 31-12-2020.xlsx » à « BALANCE FPPN DU 01-01-2026 AU 31-08-2026.xlsx », 2020 à 2025 ; frais répartis au prorata des cotisations (choix Adenka)</t>
        </is>
      </c>
    </row>
    <row r="39">
      <c r="A39" s="47" t="inlineStr">
        <is>
          <t>Figure</t>
        </is>
      </c>
      <c r="B39" s="49" t="n">
        <v>36</v>
      </c>
      <c r="C39" s="12" t="inlineStr">
        <is>
          <t>Marge de solvabilité exigée et disponible</t>
        </is>
      </c>
      <c r="D39" s="49" t="n">
        <v>176</v>
      </c>
      <c r="E39" s="12" t="inlineStr">
        <is>
          <t>marge de la Décision n° 05/2022 (annexe, § 1.1.1) sur les balances « BALANCE FORMAT EXCEL DE 09-2020 AU 31-12-2020.xlsx » à « BALANCE FPPN DU 01-01-2026 AU 31-08-2026.xlsx », 2020 au 31/08/2026 ; pertes reportées déduites ou non selon la lecture</t>
        </is>
      </c>
    </row>
    <row r="40">
      <c r="A40" s="47" t="inlineStr">
        <is>
          <t>Figure</t>
        </is>
      </c>
      <c r="B40" s="48" t="n">
        <v>37</v>
      </c>
      <c r="C40" s="10" t="inlineStr">
        <is>
          <t>Taux de cotisation équivalent selon le ratio visé</t>
        </is>
      </c>
      <c r="D40" s="48" t="n">
        <v>187</v>
      </c>
      <c r="E40" s="10" t="inlineStr">
        <is>
          <t>exercice 2025, cotisations des comptes 7010 et 7021 de « BALANCE FPPN 2025.xlsx » ; classeur des calculs, onglets 13a à 13i</t>
        </is>
      </c>
    </row>
    <row r="41">
      <c r="A41" s="47" t="inlineStr">
        <is>
          <t>Figure</t>
        </is>
      </c>
      <c r="B41" s="49" t="n">
        <v>38</v>
      </c>
      <c r="C41" s="12" t="inlineStr">
        <is>
          <t>Variation annuelle des prix de la santé retenus et inflation pondérée du FPPN</t>
        </is>
      </c>
      <c r="D41" s="49" t="n">
        <v>191</v>
      </c>
      <c r="E41" s="12" t="inlineStr">
        <is>
          <t>IHPC santé de l'ANStat (national, extraction du 19/10/2026), 2020 à 2025, pondéré par les prestations maladie 2025 du FPPN</t>
        </is>
      </c>
    </row>
    <row r="42">
      <c r="A42" s="47" t="inlineStr">
        <is>
          <t>Figure</t>
        </is>
      </c>
      <c r="B42" s="48" t="n">
        <v>39</v>
      </c>
      <c r="C42" s="10" t="inlineStr">
        <is>
          <t>Survivants pour 100 naissances, par âge</t>
        </is>
      </c>
      <c r="D42" s="48" t="n">
        <v>198</v>
      </c>
      <c r="E42" s="10" t="inlineStr">
        <is>
          <t>colonne Lx des tables CIMA H, CIMA F, TD et TV, âges 0 à 110 ans ; population générale de la zone CIMA, non le FPPN</t>
        </is>
      </c>
    </row>
    <row r="43">
      <c r="A43" s="47" t="inlineStr">
        <is>
          <t>Figure</t>
        </is>
      </c>
      <c r="B43" s="49" t="n">
        <v>40</v>
      </c>
      <c r="C43" s="12" t="inlineStr">
        <is>
          <t>Probabilité de décès dans l'année (qx), par âge</t>
        </is>
      </c>
      <c r="D43" s="49" t="n">
        <v>199</v>
      </c>
      <c r="E43" s="12" t="inlineStr">
        <is>
          <t>colonne qx des tables CIMA H, CIMA F, TD et TV, âges 20 à 80 ans ; population générale de la zone CIMA, non le FPPN</t>
        </is>
      </c>
    </row>
    <row r="44">
      <c r="A44" s="47" t="inlineStr">
        <is>
          <t>Figure</t>
        </is>
      </c>
      <c r="B44" s="48" t="n">
        <v>41</v>
      </c>
      <c r="C44" s="10" t="inlineStr">
        <is>
          <t>Résultat technique projeté selon deux scénarios</t>
        </is>
      </c>
      <c r="D44" s="48" t="n">
        <v>205</v>
      </c>
      <c r="E44" s="10" t="inlineStr">
        <is>
          <t>mêmes données et hypothèses que la diapositive précédente</t>
        </is>
      </c>
    </row>
    <row r="45">
      <c r="A45" s="47" t="inlineStr">
        <is>
          <t>Figure</t>
        </is>
      </c>
      <c r="B45" s="49" t="n">
        <v>42</v>
      </c>
      <c r="C45" s="12" t="inlineStr">
        <is>
          <t>Extrait du script dans VS Code sous Windows (reconnaître le vrai format)</t>
        </is>
      </c>
      <c r="D45" s="49" t="n">
        <v>209</v>
      </c>
      <c r="E45" s="12" t="inlineStr"/>
    </row>
    <row r="46">
      <c r="A46" s="47" t="inlineStr">
        <is>
          <t>Figure</t>
        </is>
      </c>
      <c r="B46" s="48" t="n">
        <v>43</v>
      </c>
      <c r="C46" s="10" t="inlineStr">
        <is>
          <t>Extrait du script dans VS Code sous Windows (écarter les lignes de total)</t>
        </is>
      </c>
      <c r="D46" s="48" t="n">
        <v>210</v>
      </c>
      <c r="E46" s="10" t="inlineStr"/>
    </row>
    <row r="47">
      <c r="A47" s="47" t="inlineStr">
        <is>
          <t>Figure</t>
        </is>
      </c>
      <c r="B47" s="49" t="n">
        <v>44</v>
      </c>
      <c r="C47" s="12" t="inlineStr">
        <is>
          <t>Extrait du script dans VS Code sous Windows (corriger les montants doublés)</t>
        </is>
      </c>
      <c r="D47" s="49" t="n">
        <v>211</v>
      </c>
      <c r="E47" s="12" t="inlineStr"/>
    </row>
    <row r="48">
      <c r="A48" s="47" t="inlineStr">
        <is>
          <t>Figure</t>
        </is>
      </c>
      <c r="B48" s="48" t="n">
        <v>45</v>
      </c>
      <c r="C48" s="10" t="inlineStr">
        <is>
          <t>Extrait du script dans VS Code sous Windows (lire les montants du Grenier)</t>
        </is>
      </c>
      <c r="D48" s="48" t="n">
        <v>212</v>
      </c>
      <c r="E48" s="10" t="inlineStr"/>
    </row>
    <row r="49">
      <c r="A49" s="47" t="inlineStr">
        <is>
          <t>Figure</t>
        </is>
      </c>
      <c r="B49" s="49" t="n">
        <v>46</v>
      </c>
      <c r="C49" s="12" t="inlineStr">
        <is>
          <t>Extrait du script dans VS Code sous Windows (calculer la sinistralité)</t>
        </is>
      </c>
      <c r="D49" s="49" t="n">
        <v>213</v>
      </c>
      <c r="E49" s="12" t="inlineStr"/>
    </row>
    <row r="50">
      <c r="A50" s="47" t="inlineStr">
        <is>
          <t>Figure</t>
        </is>
      </c>
      <c r="B50" s="48" t="n">
        <v>47</v>
      </c>
      <c r="C50" s="10" t="inlineStr">
        <is>
          <t>Extrait du script dans VS Code sous Windows (intervalle de confiance)</t>
        </is>
      </c>
      <c r="D50" s="48" t="n">
        <v>214</v>
      </c>
      <c r="E50" s="10" t="inlineStr"/>
    </row>
    <row r="51">
      <c r="A51" s="47" t="inlineStr">
        <is>
          <t>Figure</t>
        </is>
      </c>
      <c r="B51" s="49" t="n">
        <v>48</v>
      </c>
      <c r="C51" s="12" t="inlineStr">
        <is>
          <t>Extrait du script dans VS Code sous Windows (statut d'un ratio prudentiel)</t>
        </is>
      </c>
      <c r="D51" s="49" t="n">
        <v>215</v>
      </c>
      <c r="E51" s="12" t="inlineStr"/>
    </row>
    <row r="52">
      <c r="A52" s="47" t="inlineStr">
        <is>
          <t>Tableau</t>
        </is>
      </c>
      <c r="B52" s="48" t="n">
        <v>1</v>
      </c>
      <c r="C52" s="10" t="inlineStr">
        <is>
          <t>Verdict sur chacune des quatre demandes</t>
        </is>
      </c>
      <c r="D52" s="48" t="n">
        <v>4</v>
      </c>
      <c r="E52" s="10" t="inlineStr">
        <is>
          <t>période du 01/01/2020 au 31/08/2026 (mission à partir du 01/09/2020), documents du FPPN reçus jusqu'au 22/10/2026</t>
        </is>
      </c>
    </row>
    <row r="53">
      <c r="A53" s="47" t="inlineStr">
        <is>
          <t>Tableau</t>
        </is>
      </c>
      <c r="B53" s="49" t="n">
        <v>2</v>
      </c>
      <c r="C53" s="12" t="inlineStr">
        <is>
          <t>Engagements envers les adhérents : chiffres qui fondent le verdict</t>
        </is>
      </c>
      <c r="D53" s="49" t="n">
        <v>5</v>
      </c>
      <c r="E53" s="12" t="inlineStr">
        <is>
          <t>épargne et dettes au 31/08/2026 (balance provisoire) ; intérêts dus calculés du 01/01/2020 au 31/08/2026 seulement ; provision du personnel au 31/12/2025</t>
        </is>
      </c>
    </row>
    <row r="54">
      <c r="A54" s="47" t="inlineStr">
        <is>
          <t>Tableau</t>
        </is>
      </c>
      <c r="B54" s="48" t="n">
        <v>3</v>
      </c>
      <c r="C54" s="10" t="inlineStr">
        <is>
          <t>Provisions du bilan et besoins mesurés : chiffres qui fondent le verdict</t>
        </is>
      </c>
      <c r="D54" s="48" t="n">
        <v>6</v>
      </c>
      <c r="E54" s="10" t="inlineStr">
        <is>
          <t>provisions au bilan du 31/08/2026 ; besoin maladie mesuré au 31/12/2024 sur les factures de cliniques du journal SIN ; dette décès au 31/08/2026</t>
        </is>
      </c>
    </row>
    <row r="55">
      <c r="A55" s="47" t="inlineStr">
        <is>
          <t>Tableau</t>
        </is>
      </c>
      <c r="B55" s="49" t="n">
        <v>4</v>
      </c>
      <c r="C55" s="12" t="inlineStr">
        <is>
          <t>Adossement actif-passif : chiffres qui fondent le verdict</t>
        </is>
      </c>
      <c r="D55" s="49" t="n">
        <v>7</v>
      </c>
      <c r="E55" s="12" t="inlineStr">
        <is>
          <t>bilans au 31/12/2025 et au 31/08/2026 (provisoire) ; sorties d'épargne observées de 2021 à 2025 ; actifs classés par nature comptable, sans échéancier contractuel</t>
        </is>
      </c>
    </row>
    <row r="56">
      <c r="A56" s="47" t="inlineStr">
        <is>
          <t>Tableau</t>
        </is>
      </c>
      <c r="B56" s="48" t="n">
        <v>5</v>
      </c>
      <c r="C56" s="10" t="inlineStr">
        <is>
          <t>Adéquation des placements : chiffres qui fondent le verdict</t>
        </is>
      </c>
      <c r="D56" s="48" t="n">
        <v>8</v>
      </c>
      <c r="E56" s="10" t="inlineStr">
        <is>
          <t>placements et produits financiers de 2021 à 2025, actifs au 31/08/2026 ; épargne due au 31/12/2025</t>
        </is>
      </c>
    </row>
    <row r="57">
      <c r="A57" s="47" t="inlineStr">
        <is>
          <t>Tableau</t>
        </is>
      </c>
      <c r="B57" s="49" t="n">
        <v>6</v>
      </c>
      <c r="C57" s="12" t="inlineStr">
        <is>
          <t>Principaux constats au 15/10/2026</t>
        </is>
      </c>
      <c r="D57" s="49" t="n">
        <v>9</v>
      </c>
      <c r="E57" s="12" t="inlineStr">
        <is>
          <t>chiffres repris des parties 4 à 10, chacun dans le domaine indiqué sur sa diapositive de détail ; situation au 31/08/2026 (provisoire) sauf mention d'une autre date</t>
        </is>
      </c>
    </row>
    <row r="58">
      <c r="A58" s="47" t="inlineStr">
        <is>
          <t>Tableau</t>
        </is>
      </c>
      <c r="B58" s="48" t="n">
        <v>7</v>
      </c>
      <c r="C58" s="10" t="inlineStr">
        <is>
          <t>Huit ratios prudentiels clés, exercice 2025</t>
        </is>
      </c>
      <c r="D58" s="48" t="n">
        <v>15</v>
      </c>
      <c r="E58" s="10" t="inlineStr">
        <is>
          <t>exercice 2025 seulement, ratios de la Décision n° 05/2022 recalculés sur les balances « BALANCE FORMAT EXCEL DE 09-2020 AU 31-12-2020.xlsx » à « BALANCE FPPN DU 01-01-2026 AU 31-08-2026.xlsx » ; ratios non calculés faute de données signalés comme tels</t>
        </is>
      </c>
    </row>
    <row r="59">
      <c r="A59" s="47" t="inlineStr">
        <is>
          <t>Tableau</t>
        </is>
      </c>
      <c r="B59" s="49" t="n">
        <v>8</v>
      </c>
      <c r="C59" s="12" t="inlineStr">
        <is>
          <t>Actions recommandées</t>
        </is>
      </c>
      <c r="D59" s="49" t="n">
        <v>18</v>
      </c>
      <c r="E59" s="12" t="inlineStr">
        <is>
          <t>constats au 22/10/2026 ; numéros de la liste des documents demandés (PBC) pointée au 22/10/2026</t>
        </is>
      </c>
    </row>
    <row r="60">
      <c r="A60" s="47" t="inlineStr">
        <is>
          <t>Tableau</t>
        </is>
      </c>
      <c r="B60" s="48" t="n">
        <v>9</v>
      </c>
      <c r="C60" s="10" t="inlineStr">
        <is>
          <t>Textes et organismes de référence</t>
        </is>
      </c>
      <c r="D60" s="48" t="n">
        <v>21</v>
      </c>
      <c r="E60" s="10" t="inlineStr">
        <is>
          <t>textes cités dans leur version fournie le 18/10/2026 (documentation publique de l'AIRMS) ; répertoire AIRMS du 15/10/2026 ; ne vaut pas avis juridique</t>
        </is>
      </c>
    </row>
    <row r="61">
      <c r="A61" s="47" t="inlineStr">
        <is>
          <t>Tableau</t>
        </is>
      </c>
      <c r="B61" s="49" t="n">
        <v>10</v>
      </c>
      <c r="C61" s="12" t="inlineStr">
        <is>
          <t>Dispositions des textes du FPPN utiles à la mission (1/2)</t>
        </is>
      </c>
      <c r="D61" s="49" t="n">
        <v>22</v>
      </c>
      <c r="E61" s="12" t="inlineStr">
        <is>
          <t>statuts et règlement intérieur du FPPN édités le 15/06/2023 (adoptés le 30/06/2021), articles cités ; leur application n'est testée que là où le rapport le dit</t>
        </is>
      </c>
    </row>
    <row r="62">
      <c r="A62" s="47" t="inlineStr">
        <is>
          <t>Tableau</t>
        </is>
      </c>
      <c r="B62" s="48" t="n">
        <v>11</v>
      </c>
      <c r="C62" s="10" t="inlineStr">
        <is>
          <t>Dispositions des textes du FPPN utiles à la mission (2/2)</t>
        </is>
      </c>
      <c r="D62" s="48" t="n">
        <v>23</v>
      </c>
      <c r="E62" s="10" t="inlineStr">
        <is>
          <t>statuts et règlement intérieur du FPPN édités le 15/06/2023, articles cités ; décrets n° 2017-210 et n° 2012-652 ; application non testée sauf mention</t>
        </is>
      </c>
    </row>
    <row r="63">
      <c r="A63" s="47" t="inlineStr">
        <is>
          <t>Tableau</t>
        </is>
      </c>
      <c r="B63" s="49" t="n">
        <v>12</v>
      </c>
      <c r="C63" s="12" t="inlineStr">
        <is>
          <t>Produits du FPPN et montants observés</t>
        </is>
      </c>
      <c r="D63" s="49" t="n">
        <v>24</v>
      </c>
      <c r="E63" s="12" t="inlineStr">
        <is>
          <t>montants précomptés par poste dans les fichiers retour de la Solde et de la CGRAE, mois reçus entre 2023 et septembre 2026 selon le poste (diapositive « Couverture de la période »)</t>
        </is>
      </c>
    </row>
    <row r="64">
      <c r="A64" s="47" t="inlineStr">
        <is>
          <t>Tableau</t>
        </is>
      </c>
      <c r="B64" s="48" t="n">
        <v>13</v>
      </c>
      <c r="C64" s="10" t="inlineStr">
        <is>
          <t>Circuit des fichiers de précomptes par produit</t>
        </is>
      </c>
      <c r="D64" s="48" t="n">
        <v>26</v>
      </c>
      <c r="E64" s="10" t="inlineStr">
        <is>
          <t>circuit déclaré par le responsable des cotisations le 19/10/2026 ; non confirmé par une procédure écrite</t>
        </is>
      </c>
    </row>
    <row r="65">
      <c r="A65" s="47" t="inlineStr">
        <is>
          <t>Tableau</t>
        </is>
      </c>
      <c r="B65" s="49" t="n">
        <v>14</v>
      </c>
      <c r="C65" s="12" t="inlineStr">
        <is>
          <t>Notions utilisées dans le rapport</t>
        </is>
      </c>
      <c r="D65" s="49" t="n">
        <v>28</v>
      </c>
      <c r="E65" s="12" t="inlineStr">
        <is>
          <t>définitions de la Décision n° 05/2022 (annexe) et du règlement d'exécution n° 004/2022 ; sans chiffre propre au FPPN</t>
        </is>
      </c>
    </row>
    <row r="66">
      <c r="A66" s="47" t="inlineStr">
        <is>
          <t>Tableau</t>
        </is>
      </c>
      <c r="B66" s="48" t="n">
        <v>15</v>
      </c>
      <c r="C66" s="10" t="inlineStr">
        <is>
          <t>Périmètre de la mission actuarielle et statistique</t>
        </is>
      </c>
      <c r="D66" s="48" t="n">
        <v>30</v>
      </c>
      <c r="E66" s="10" t="inlineStr">
        <is>
          <t>périmètre fixé par le dossier de préparation du 13/10/2026 et la demande de M. Wabi ; période du 01/01/2020 au 31/08/2026</t>
        </is>
      </c>
    </row>
    <row r="67">
      <c r="A67" s="47" t="inlineStr">
        <is>
          <t>Tableau</t>
        </is>
      </c>
      <c r="B67" s="49" t="n">
        <v>16</v>
      </c>
      <c r="C67" s="12" t="inlineStr">
        <is>
          <t>Périmètre, domaine et période de validité des analyses</t>
        </is>
      </c>
      <c r="D67" s="49" t="n">
        <v>31</v>
      </c>
      <c r="E67" s="12" t="inlineStr">
        <is>
          <t>les familles d'analyses du rapport, sur les documents reçus jusqu'au 22/10/2026</t>
        </is>
      </c>
    </row>
    <row r="68">
      <c r="A68" s="47" t="inlineStr">
        <is>
          <t>Tableau</t>
        </is>
      </c>
      <c r="B68" s="48" t="n">
        <v>17</v>
      </c>
      <c r="C68" s="10" t="inlineStr">
        <is>
          <t>Documents reçus le 22/10/2026 et usage dans le rapport</t>
        </is>
      </c>
      <c r="D68" s="48" t="n">
        <v>32</v>
      </c>
      <c r="E68" s="10" t="inlineStr">
        <is>
          <t>fichiers reçus le 22/10/2026 dans les dossiers transmis par le FPPN ; les documents reçus le 15/10/2026 et le 18/10/2026 sont décrits en partie 2 et en partie 3</t>
        </is>
      </c>
    </row>
    <row r="69">
      <c r="A69" s="47" t="inlineStr">
        <is>
          <t>Tableau</t>
        </is>
      </c>
      <c r="B69" s="49" t="n">
        <v>18</v>
      </c>
      <c r="C69" s="12" t="inlineStr">
        <is>
          <t>Fichiers à renvoyer ou à corriger</t>
        </is>
      </c>
      <c r="D69" s="49" t="n">
        <v>41</v>
      </c>
      <c r="E69" s="12" t="inlineStr">
        <is>
          <t>fichiers reçus le 15/10/2026 et le 22/10/2026 dont la lecture a échoué ou qui ne contiennent aucune ligne de données ; liste arrêtée au 22/10/2026</t>
        </is>
      </c>
    </row>
    <row r="70">
      <c r="A70" s="47" t="inlineStr">
        <is>
          <t>Tableau</t>
        </is>
      </c>
      <c r="B70" s="48" t="n">
        <v>19</v>
      </c>
      <c r="C70" s="10" t="inlineStr">
        <is>
          <t>États financiers et balances : actif brut, résultat, trésorerie</t>
        </is>
      </c>
      <c r="D70" s="48" t="n">
        <v>43</v>
      </c>
      <c r="E70" s="10" t="inlineStr">
        <is>
          <t>exercices 2020 à 2025 et situation au 31/08/2026, totaux du bilan et résultat ; les rubriques détaillées n'ont pas été comparées</t>
        </is>
      </c>
    </row>
    <row r="71">
      <c r="A71" s="47" t="inlineStr">
        <is>
          <t>Tableau</t>
        </is>
      </c>
      <c r="B71" s="49" t="n">
        <v>20</v>
      </c>
      <c r="C71" s="12" t="inlineStr">
        <is>
          <t>Adhérents du FPPN, lignes 8Z6 et rapport 8Z6 / 936</t>
        </is>
      </c>
      <c r="D71" s="49" t="n">
        <v>44</v>
      </c>
      <c r="E71" s="12" t="inlineStr">
        <is>
          <t>mois cités, policiers précomptés par la Solde (8Z6 et 936) ; les mois de 2024 sans fichier 8Z6 ne sont pas couverts</t>
        </is>
      </c>
    </row>
    <row r="72">
      <c r="A72" s="47" t="inlineStr">
        <is>
          <t>Tableau</t>
        </is>
      </c>
      <c r="B72" s="48" t="n">
        <v>21</v>
      </c>
      <c r="C72" s="10" t="inlineStr">
        <is>
          <t>Rapprochements bancaires au 31 décembre</t>
        </is>
      </c>
      <c r="D72" s="48" t="n">
        <v>45</v>
      </c>
      <c r="E72" s="10" t="inlineStr">
        <is>
          <t>comptes bancaires présents dans les états de rapprochement (BOA, Banque Atlantique, Orabank), au 31/12 de 2020 à 2025 ; les DAT, le FCP et la caisse ne sont pas couverts</t>
        </is>
      </c>
    </row>
    <row r="73">
      <c r="A73" s="47" t="inlineStr">
        <is>
          <t>Tableau</t>
        </is>
      </c>
      <c r="B73" s="49" t="n">
        <v>22</v>
      </c>
      <c r="C73" s="12" t="inlineStr">
        <is>
          <t>Règles des produits déclarées et confrontées aux fichiers de précomptes</t>
        </is>
      </c>
      <c r="D73" s="49" t="n">
        <v>56</v>
      </c>
      <c r="E73" s="12" t="inlineStr">
        <is>
          <t>déclarations du 19/10/2026 confrontées aux montants des fichiers de précomptes reçus le 15/10/2026, postes 870, 998, 9X4, 9W3 et 8Z7, mois reçus</t>
        </is>
      </c>
    </row>
    <row r="74">
      <c r="A74" s="47" t="inlineStr">
        <is>
          <t>Tableau</t>
        </is>
      </c>
      <c r="B74" s="48" t="n">
        <v>23</v>
      </c>
      <c r="C74" s="10" t="inlineStr">
        <is>
          <t>Formules du taux de sinistralité comparées</t>
        </is>
      </c>
      <c r="D74" s="48" t="n">
        <v>63</v>
      </c>
      <c r="E74" s="10" t="inlineStr">
        <is>
          <t>formules de la Décision n° 05/2022 (annexe, § 1.1.1 et § 1.2.1.2.5) appliquées aux comptes de prestations (601 à 6024), de cotisations (7010, 7021) et de provisions (158) des balances « BALANCE FORMAT EXCEL DE 09-2020 AU 31-12-2020.xlsx » à « BALANCE FPPN DU 01-01-2026 AU 31-08-2026.xlsx »</t>
        </is>
      </c>
    </row>
    <row r="75">
      <c r="A75" s="47" t="inlineStr">
        <is>
          <t>Tableau</t>
        </is>
      </c>
      <c r="B75" s="49" t="n">
        <v>24</v>
      </c>
      <c r="C75" s="12" t="inlineStr">
        <is>
          <t>Méthode du FPPN et méthode réglementaire au 30/06/2026</t>
        </is>
      </c>
      <c r="D75" s="49" t="n">
        <v>65</v>
      </c>
      <c r="E75" s="12" t="inlineStr">
        <is>
          <t>période du 01/01 au 30/06/2026 pour les taux du FPPN, du 01/01 au 31/08/2026 pour le taux réglementaire</t>
        </is>
      </c>
    </row>
    <row r="76">
      <c r="A76" s="47" t="inlineStr">
        <is>
          <t>Tableau</t>
        </is>
      </c>
      <c r="B76" s="48" t="n">
        <v>25</v>
      </c>
      <c r="C76" s="10" t="inlineStr">
        <is>
          <t>Sinistralité décès selon le FPPN et selon les comptes</t>
        </is>
      </c>
      <c r="D76" s="48" t="n">
        <v>66</v>
      </c>
      <c r="E76" s="10" t="inlineStr">
        <is>
          <t>garantie décès-invalidité, exercices 2020 à 2025</t>
        </is>
      </c>
    </row>
    <row r="77">
      <c r="A77" s="47" t="inlineStr">
        <is>
          <t>Tableau</t>
        </is>
      </c>
      <c r="B77" s="49" t="n">
        <v>26</v>
      </c>
      <c r="C77" s="12" t="inlineStr">
        <is>
          <t>Décès et taux brut de mortalité des membres participants</t>
        </is>
      </c>
      <c r="D77" s="49" t="n">
        <v>67</v>
      </c>
      <c r="E77" s="12" t="inlineStr">
        <is>
          <t>membres participants recensés par le FPPN, années 2015 à 2025 ; ne vaut ni par âge, ni par grade, ni pour les ayants droit</t>
        </is>
      </c>
    </row>
    <row r="78">
      <c r="A78" s="47" t="inlineStr">
        <is>
          <t>Tableau</t>
        </is>
      </c>
      <c r="B78" s="48" t="n">
        <v>27</v>
      </c>
      <c r="C78" s="10" t="inlineStr">
        <is>
          <t>Nature des risques par garantie et provisions attendues</t>
        </is>
      </c>
      <c r="D78" s="48" t="n">
        <v>68</v>
      </c>
      <c r="E78" s="10" t="inlineStr">
        <is>
          <t>garanties décrites par les statuts du 15/06/2023 et le règlement d'exécution n° 004/2022, art. 8 à 15 ; qualification sans chiffre</t>
        </is>
      </c>
    </row>
    <row r="79">
      <c r="A79" s="47" t="inlineStr">
        <is>
          <t>Tableau</t>
        </is>
      </c>
      <c r="B79" s="49" t="n">
        <v>28</v>
      </c>
      <c r="C79" s="12" t="inlineStr">
        <is>
          <t>Taux de croissance annuels moyens</t>
        </is>
      </c>
      <c r="D79" s="49" t="n">
        <v>69</v>
      </c>
      <c r="E79" s="12" t="inlineStr">
        <is>
          <t>taux annuels moyens des comptes de prestations et de cotisations (7010, 7021) des balances « BALANCE FORMAT EXCEL DE 09-2020 AU 31-12-2020.xlsx » à « BALANCE FPPN DU 01-01-2026 AU 31-08-2026.xlsx » et des fichiers de précomptes ; périodes indiquées ligne par ligne</t>
        </is>
      </c>
    </row>
    <row r="80">
      <c r="A80" s="47" t="inlineStr">
        <is>
          <t>Tableau</t>
        </is>
      </c>
      <c r="B80" s="48" t="n">
        <v>29</v>
      </c>
      <c r="C80" s="10" t="inlineStr">
        <is>
          <t>Références du poste 998, 2020 à août 2026</t>
        </is>
      </c>
      <c r="D80" s="48" t="n">
        <v>80</v>
      </c>
      <c r="E80" s="10" t="inlineStr">
        <is>
          <t>références du poste 998 dans les fichiers retour « FPPN-SOLDE\PEP\FICHIER RETOUR », de 2020 à août 2026 ; 2001 à 2019 non retenus</t>
        </is>
      </c>
    </row>
    <row r="81">
      <c r="A81" s="47" t="inlineStr">
        <is>
          <t>Tableau</t>
        </is>
      </c>
      <c r="B81" s="49" t="n">
        <v>30</v>
      </c>
      <c r="C81" s="12" t="inlineStr">
        <is>
          <t>Taux servis sur l'épargne selon les documents du FPPN</t>
        </is>
      </c>
      <c r="D81" s="49" t="n">
        <v>82</v>
      </c>
      <c r="E81" s="12" t="inlineStr">
        <is>
          <t>documents du FPPN reçus le 22/10/2026 et entretien du 19/10/2026 ; le taux réellement appliqué aux mutualistes n'est pas connu</t>
        </is>
      </c>
    </row>
    <row r="82">
      <c r="A82" s="47" t="inlineStr">
        <is>
          <t>Tableau</t>
        </is>
      </c>
      <c r="B82" s="48" t="n">
        <v>31</v>
      </c>
      <c r="C82" s="10" t="inlineStr">
        <is>
          <t>Écritures 2024 des comptes d'épargne par nature</t>
        </is>
      </c>
      <c r="D82" s="48" t="n">
        <v>83</v>
      </c>
      <c r="E82" s="10" t="inlineStr">
        <is>
          <t>grand livre 2024 pour le détail des écritures ; balances de 2020 au 31/08/2026 pour l'absence de charge d'intérêts</t>
        </is>
      </c>
    </row>
    <row r="83">
      <c r="A83" s="47" t="inlineStr">
        <is>
          <t>Tableau</t>
        </is>
      </c>
      <c r="B83" s="49" t="n">
        <v>32</v>
      </c>
      <c r="C83" s="12" t="inlineStr">
        <is>
          <t>Intérêts d'une année sur l'encours EFC selon le taux servi</t>
        </is>
      </c>
      <c r="D83" s="49" t="n">
        <v>84</v>
      </c>
      <c r="E83" s="12" t="inlineStr">
        <is>
          <t>encours EFC comptable au 31/12 de 2020 à 2025 et au 31/08/2026, une année d'intérêts, sans projection ni capitalisation</t>
        </is>
      </c>
    </row>
    <row r="84">
      <c r="A84" s="47" t="inlineStr">
        <is>
          <t>Tableau</t>
        </is>
      </c>
      <c r="B84" s="48" t="n">
        <v>33</v>
      </c>
      <c r="C84" s="10" t="inlineStr">
        <is>
          <t>Intérêts dus sur l'épargne, par exercice</t>
        </is>
      </c>
      <c r="D84" s="48" t="n">
        <v>85</v>
      </c>
      <c r="E84" s="10" t="inlineStr">
        <is>
          <t>soldes des comptes 41195100 (PEP) et 41195200 (EFC) du 01/09/2020 au 31/08/2026 (balances 2020 à 2025 et provisoire 2026), 2020 approché par les soldes du 01/09 et du 31/12 ; taux du manuel d'épargne ; intérêts antérieurs au 01/01/2020 et capitalisation non comptés</t>
        </is>
      </c>
    </row>
    <row r="85">
      <c r="A85" s="47" t="inlineStr">
        <is>
          <t>Tableau</t>
        </is>
      </c>
      <c r="B85" s="49" t="n">
        <v>34</v>
      </c>
      <c r="C85" s="12" t="inlineStr">
        <is>
          <t>Épargne au 31/12/2025 : rapport de gestion et balance</t>
        </is>
      </c>
      <c r="D85" s="49" t="n">
        <v>86</v>
      </c>
      <c r="E85" s="12" t="inlineStr">
        <is>
          <t>exercice 2025 ; les rapports de gestion des autres années n'ont pas été contrôlés sur ce point</t>
        </is>
      </c>
    </row>
    <row r="86">
      <c r="A86" s="47" t="inlineStr">
        <is>
          <t>Tableau</t>
        </is>
      </c>
      <c r="B86" s="48" t="n">
        <v>35</v>
      </c>
      <c r="C86" s="10" t="inlineStr">
        <is>
          <t>Provision selon le taux de perte</t>
        </is>
      </c>
      <c r="D86" s="48" t="n">
        <v>94</v>
      </c>
      <c r="E86" s="10" t="inlineStr">
        <is>
          <t>encours au 31/08/2026 des exports « BalanceAgeeDetaille … .xls » du logiciel de prêts du Grenier ; taux de perte hypothétiques (la politique de crédit est appliquée en partie 9)</t>
        </is>
      </c>
    </row>
    <row r="87">
      <c r="A87" s="47" t="inlineStr">
        <is>
          <t>Tableau</t>
        </is>
      </c>
      <c r="B87" s="49" t="n">
        <v>36</v>
      </c>
      <c r="C87" s="12" t="inlineStr">
        <is>
          <t>Clauses de la convention IPS-CGRAE utiles à la mission</t>
        </is>
      </c>
      <c r="D87" s="49" t="n">
        <v>98</v>
      </c>
      <c r="E87" s="12" t="inlineStr">
        <is>
          <t>texte de la convention reçu le 22/10/2026 ; son application (nombre de retraités, montants précomptés) est mesurée en partie 8 de février 2024 à septembre 2026</t>
        </is>
      </c>
    </row>
    <row r="88">
      <c r="A88" s="47" t="inlineStr">
        <is>
          <t>Tableau</t>
        </is>
      </c>
      <c r="B88" s="48" t="n">
        <v>37</v>
      </c>
      <c r="C88" s="10" t="inlineStr">
        <is>
          <t>Retraités précomptés par la CGRAE</t>
        </is>
      </c>
      <c r="D88" s="48" t="n">
        <v>99</v>
      </c>
      <c r="E88" s="10" t="inlineStr">
        <is>
          <t>fichiers retour de la CGRAE reçus le 15/10/2026, févr. 24 à août 26 (un mois sur quatre affiché, tous les mois dans le classeur) ; ne couvre pas les retraités non précomptés</t>
        </is>
      </c>
    </row>
    <row r="89">
      <c r="A89" s="47" t="inlineStr">
        <is>
          <t>Tableau</t>
        </is>
      </c>
      <c r="B89" s="49" t="n">
        <v>38</v>
      </c>
      <c r="C89" s="12" t="inlineStr">
        <is>
          <t>Produits annexes et points à clarifier</t>
        </is>
      </c>
      <c r="D89" s="49" t="n">
        <v>100</v>
      </c>
      <c r="E89" s="12" t="inlineStr">
        <is>
          <t>postes 9W3 (GNA) et 8Z7 (MEDOC) des fichiers « FPPN-GNA » et « FPPN-SOLDE\MEDOC », mois reçus de 2023 à 2026 ; compte 71800000 des balances « BALANCE FORMAT EXCEL DE 09-2020 AU 31-12-2020.xlsx » à « BALANCE FPPN DU 01-01-2026 AU 31-08-2026.xlsx »</t>
        </is>
      </c>
    </row>
    <row r="90">
      <c r="A90" s="47" t="inlineStr">
        <is>
          <t>Tableau</t>
        </is>
      </c>
      <c r="B90" s="48" t="n">
        <v>39</v>
      </c>
      <c r="C90" s="10" t="inlineStr">
        <is>
          <t>Provisions exigées et provisions au bilan, par produit</t>
        </is>
      </c>
      <c r="D90" s="48" t="n">
        <v>105</v>
      </c>
      <c r="E90" s="10" t="inlineStr">
        <is>
          <t>provisions au 31/12/2025 des comptes 158 et 196 de « BALANCE FPPN 2025.xlsx » ; besoins mesurés dans les diapositives suivantes de la partie 9</t>
        </is>
      </c>
    </row>
    <row r="91">
      <c r="A91" s="47" t="inlineStr">
        <is>
          <t>Tableau</t>
        </is>
      </c>
      <c r="B91" s="49" t="n">
        <v>40</v>
      </c>
      <c r="C91" s="12" t="inlineStr">
        <is>
          <t>Factures de cliniques (compte 40110000) et délai moyen de paiement</t>
        </is>
      </c>
      <c r="D91" s="49" t="n">
        <v>107</v>
      </c>
      <c r="E91" s="12" t="inlineStr">
        <is>
          <t>factures de cliniques enregistrées au compte 40110000, exercices 2020 à 2025 et du 01/01 au 31/08/2026 ; ne couvre pas les remboursements aux mutualistes ni les bons payés hors de ce compte</t>
        </is>
      </c>
    </row>
    <row r="92">
      <c r="A92" s="47" t="inlineStr">
        <is>
          <t>Tableau</t>
        </is>
      </c>
      <c r="B92" s="48" t="n">
        <v>41</v>
      </c>
      <c r="C92" s="10" t="inlineStr">
        <is>
          <t>Factures de cliniques d'une année enregistrées l'année suivante</t>
        </is>
      </c>
      <c r="D92" s="48" t="n">
        <v>108</v>
      </c>
      <c r="E92" s="10" t="inlineStr">
        <is>
          <t>factures de cliniques enregistrées au journal SIN en 2023, 2024 et 2025, dont l'année figure dans le numéro ; ne couvre pas les factures sans année lisible</t>
        </is>
      </c>
    </row>
    <row r="93">
      <c r="A93" s="47" t="inlineStr">
        <is>
          <t>Tableau</t>
        </is>
      </c>
      <c r="B93" s="49" t="n">
        <v>42</v>
      </c>
      <c r="C93" s="12" t="inlineStr">
        <is>
          <t>Provision maladie nécessaire et provision du bilan</t>
        </is>
      </c>
      <c r="D93" s="49" t="n">
        <v>109</v>
      </c>
      <c r="E93" s="12" t="inlineStr">
        <is>
          <t>clôtures 2022, 2023 et 2024 ; prestations maladie des balances ; factures de cliniques du journal SIN</t>
        </is>
      </c>
    </row>
    <row r="94">
      <c r="A94" s="47" t="inlineStr">
        <is>
          <t>Tableau</t>
        </is>
      </c>
      <c r="B94" s="48" t="n">
        <v>43</v>
      </c>
      <c r="C94" s="10" t="inlineStr">
        <is>
          <t>États de fin d'année des allocations décès et crédits du compte 41591000</t>
        </is>
      </c>
      <c r="D94" s="48" t="n">
        <v>111</v>
      </c>
      <c r="E94" s="10" t="inlineStr">
        <is>
          <t>états de fin d'année 2021 à 2025 tels que reçus le 22/10/2026 ; crédits du compte 41591000 des balances 2021 à 2025</t>
        </is>
      </c>
    </row>
    <row r="95">
      <c r="A95" s="47" t="inlineStr">
        <is>
          <t>Tableau</t>
        </is>
      </c>
      <c r="B95" s="49" t="n">
        <v>44</v>
      </c>
      <c r="C95" s="12" t="inlineStr">
        <is>
          <t>Dette décès du FPPN et provision obsèques</t>
        </is>
      </c>
      <c r="D95" s="49" t="n">
        <v>112</v>
      </c>
      <c r="E95" s="12" t="inlineStr">
        <is>
          <t>comptes 41591000, 41592000, 19012000 et 15802000, exercices 2021 à 2025 et du 01/01 au 31/08/2026 (provisoire) ; paiements par banque d'après le grand livre 2024 seulement</t>
        </is>
      </c>
    </row>
    <row r="96">
      <c r="A96" s="47" t="inlineStr">
        <is>
          <t>Tableau</t>
        </is>
      </c>
      <c r="B96" s="48" t="n">
        <v>45</v>
      </c>
      <c r="C96" s="10" t="inlineStr">
        <is>
          <t>Décès enregistrés l'année suivant le décès</t>
        </is>
      </c>
      <c r="D96" s="48" t="n">
        <v>113</v>
      </c>
      <c r="E96" s="10" t="inlineStr">
        <is>
          <t>états de fin d'année 2021 et 2023, seuls à porter la date d'enregistrement ; dossiers de membres et d'ayants droit valorisés</t>
        </is>
      </c>
    </row>
    <row r="97">
      <c r="A97" s="47" t="inlineStr">
        <is>
          <t>Tableau</t>
        </is>
      </c>
      <c r="B97" s="49" t="n">
        <v>46</v>
      </c>
      <c r="C97" s="12" t="inlineStr">
        <is>
          <t>Provision pour risques courts au 31 décembre</t>
        </is>
      </c>
      <c r="D97" s="49" t="n">
        <v>114</v>
      </c>
      <c r="E97" s="12" t="inlineStr">
        <is>
          <t>cotisations maladie et décès précomptées par la Solde (postes 936 et 8Z6, janvier 2024 à septembre 2026) et par la CGRAE (février 2024 à septembre 2026)</t>
        </is>
      </c>
    </row>
    <row r="98">
      <c r="A98" s="47" t="inlineStr">
        <is>
          <t>Tableau</t>
        </is>
      </c>
      <c r="B98" s="48" t="n">
        <v>47</v>
      </c>
      <c r="C98" s="10" t="inlineStr">
        <is>
          <t>Dépréciation des prêts du Grenier selon sa politique de crédit</t>
        </is>
      </c>
      <c r="D98" s="48" t="n">
        <v>115</v>
      </c>
      <c r="E98" s="10" t="inlineStr">
        <is>
          <t>prêts du Grenier aux arrêtés du 31/12/2025 et du 31/08/2026, tranches de retard du logiciel de prêts</t>
        </is>
      </c>
    </row>
    <row r="99">
      <c r="A99" s="47" t="inlineStr">
        <is>
          <t>Tableau</t>
        </is>
      </c>
      <c r="B99" s="49" t="n">
        <v>48</v>
      </c>
      <c r="C99" s="12" t="inlineStr">
        <is>
          <t>Compte GNA (47111106) et produits des activités annexes (71800000)</t>
        </is>
      </c>
      <c r="D99" s="49" t="n">
        <v>116</v>
      </c>
      <c r="E99" s="12" t="inlineStr">
        <is>
          <t>compte 47111106 (GNA) et compte 71800000 des balances 2023 à 2026 ; précomptes 9W3 de 2024 ; convention avec GNA non reçue</t>
        </is>
      </c>
    </row>
    <row r="100">
      <c r="A100" s="47" t="inlineStr">
        <is>
          <t>Tableau</t>
        </is>
      </c>
      <c r="B100" s="48" t="n">
        <v>49</v>
      </c>
      <c r="C100" s="10" t="inlineStr">
        <is>
          <t>Provision pour départ à la retraite du personnel</t>
        </is>
      </c>
      <c r="D100" s="48" t="n">
        <v>117</v>
      </c>
      <c r="E100" s="10" t="inlineStr">
        <is>
          <t>comptes 196, 6911 et 7911 des balances « BALANCE FORMAT EXCEL DE 09-2020 AU 31-12-2020.xlsx » à « BALANCE FPPN DU 01-01-2026 AU 31-08-2026.xlsx », exercices 2020 à 2025</t>
        </is>
      </c>
    </row>
    <row r="101">
      <c r="A101" s="47" t="inlineStr">
        <is>
          <t>Tableau</t>
        </is>
      </c>
      <c r="B101" s="49" t="n">
        <v>50</v>
      </c>
      <c r="C101" s="12" t="inlineStr">
        <is>
          <t>Paramètres de la provision du personnel au 31/12/2025</t>
        </is>
      </c>
      <c r="D101" s="49" t="n">
        <v>118</v>
      </c>
      <c r="E101" s="12" t="inlineStr">
        <is>
          <t>personnel civil déclaré à la CNPS (DISA), hors travailleurs occasionnels et fonctionnaires de police détachés, évaluation au 31/12</t>
        </is>
      </c>
    </row>
    <row r="102">
      <c r="A102" s="47" t="inlineStr">
        <is>
          <t>Tableau</t>
        </is>
      </c>
      <c r="B102" s="48" t="n">
        <v>51</v>
      </c>
      <c r="C102" s="10" t="inlineStr">
        <is>
          <t>Provision du personnel par entité, droits acquis et compte 196</t>
        </is>
      </c>
      <c r="D102" s="48" t="n">
        <v>119</v>
      </c>
      <c r="E102" s="10" t="inlineStr">
        <is>
          <t>agents des DISA 2021, 2022, 2023 et 2025 (« DISA_256927_&lt;année&gt;.xls »), au 31/12 de chaque année ; 2024 non calculé (DISA scannée) ; hors policiers détachés</t>
        </is>
      </c>
    </row>
    <row r="103">
      <c r="A103" s="47" t="inlineStr">
        <is>
          <t>Tableau</t>
        </is>
      </c>
      <c r="B103" s="49" t="n">
        <v>52</v>
      </c>
      <c r="C103" s="12" t="inlineStr">
        <is>
          <t>Provision du personnel au 31/12/2025 : Direction Générale (1/2)</t>
        </is>
      </c>
      <c r="D103" s="49" t="n">
        <v>120</v>
      </c>
      <c r="E103" s="12" t="inlineStr">
        <is>
          <t>agents déclarés dans la DISA 2025, évaluation au 31/12/2025 ; paramètres de l'onglet 14a</t>
        </is>
      </c>
    </row>
    <row r="104">
      <c r="A104" s="47" t="inlineStr">
        <is>
          <t>Tableau</t>
        </is>
      </c>
      <c r="B104" s="48" t="n">
        <v>53</v>
      </c>
      <c r="C104" s="10" t="inlineStr">
        <is>
          <t>Provision du personnel au 31/12/2025 : Direction Générale (2/2)</t>
        </is>
      </c>
      <c r="D104" s="48" t="n">
        <v>121</v>
      </c>
      <c r="E104" s="10" t="inlineStr">
        <is>
          <t>agents déclarés dans la DISA 2025, évaluation au 31/12/2025 ; paramètres de l'onglet 14a</t>
        </is>
      </c>
    </row>
    <row r="105">
      <c r="A105" s="47" t="inlineStr">
        <is>
          <t>Tableau</t>
        </is>
      </c>
      <c r="B105" s="49" t="n">
        <v>54</v>
      </c>
      <c r="C105" s="12" t="inlineStr">
        <is>
          <t>Provision du personnel au 31/12/2025 : CMP (1/3)</t>
        </is>
      </c>
      <c r="D105" s="49" t="n">
        <v>122</v>
      </c>
      <c r="E105" s="12" t="inlineStr">
        <is>
          <t>agents déclarés dans la DISA 2025, évaluation au 31/12/2025 ; paramètres de l'onglet 14a</t>
        </is>
      </c>
    </row>
    <row r="106">
      <c r="A106" s="47" t="inlineStr">
        <is>
          <t>Tableau</t>
        </is>
      </c>
      <c r="B106" s="48" t="n">
        <v>55</v>
      </c>
      <c r="C106" s="10" t="inlineStr">
        <is>
          <t>Provision du personnel au 31/12/2025 : CMP (2/3)</t>
        </is>
      </c>
      <c r="D106" s="48" t="n">
        <v>123</v>
      </c>
      <c r="E106" s="10" t="inlineStr">
        <is>
          <t>agents déclarés dans la DISA 2025, évaluation au 31/12/2025 ; paramètres de l'onglet 14a</t>
        </is>
      </c>
    </row>
    <row r="107">
      <c r="A107" s="47" t="inlineStr">
        <is>
          <t>Tableau</t>
        </is>
      </c>
      <c r="B107" s="49" t="n">
        <v>56</v>
      </c>
      <c r="C107" s="12" t="inlineStr">
        <is>
          <t>Provision du personnel au 31/12/2025 : CMP (3/3)</t>
        </is>
      </c>
      <c r="D107" s="49" t="n">
        <v>124</v>
      </c>
      <c r="E107" s="12" t="inlineStr">
        <is>
          <t>agents déclarés dans la DISA 2025, évaluation au 31/12/2025 ; paramètres de l'onglet 14a</t>
        </is>
      </c>
    </row>
    <row r="108">
      <c r="A108" s="47" t="inlineStr">
        <is>
          <t>Tableau</t>
        </is>
      </c>
      <c r="B108" s="48" t="n">
        <v>57</v>
      </c>
      <c r="C108" s="10" t="inlineStr">
        <is>
          <t>Provision du personnel au 31/12/2025 : Grenier</t>
        </is>
      </c>
      <c r="D108" s="48" t="n">
        <v>125</v>
      </c>
      <c r="E108" s="10" t="inlineStr">
        <is>
          <t>agents déclarés dans la DISA 2025, évaluation au 31/12/2025 ; paramètres de l'onglet 14a</t>
        </is>
      </c>
    </row>
    <row r="109">
      <c r="A109" s="47" t="inlineStr">
        <is>
          <t>Tableau</t>
        </is>
      </c>
      <c r="B109" s="49" t="n">
        <v>58</v>
      </c>
      <c r="C109" s="12" t="inlineStr">
        <is>
          <t>Provision du personnel au 31/12/2025 : Non documentée (1/2)</t>
        </is>
      </c>
      <c r="D109" s="49" t="n">
        <v>126</v>
      </c>
      <c r="E109" s="12" t="inlineStr">
        <is>
          <t>agents déclarés dans la DISA 2025, évaluation au 31/12/2025 ; paramètres de l'onglet 14a</t>
        </is>
      </c>
    </row>
    <row r="110">
      <c r="A110" s="47" t="inlineStr">
        <is>
          <t>Tableau</t>
        </is>
      </c>
      <c r="B110" s="48" t="n">
        <v>59</v>
      </c>
      <c r="C110" s="10" t="inlineStr">
        <is>
          <t>Provision du personnel au 31/12/2025 : Non documentée (2/2)</t>
        </is>
      </c>
      <c r="D110" s="48" t="n">
        <v>127</v>
      </c>
      <c r="E110" s="10" t="inlineStr">
        <is>
          <t>agents déclarés dans la DISA 2025, évaluation au 31/12/2025 ; paramètres de l'onglet 14a</t>
        </is>
      </c>
    </row>
    <row r="111">
      <c r="A111" s="47" t="inlineStr">
        <is>
          <t>Tableau</t>
        </is>
      </c>
      <c r="B111" s="49" t="n">
        <v>60</v>
      </c>
      <c r="C111" s="12" t="inlineStr">
        <is>
          <t>Sensibilité de la provision du personnel au 31/12/2025</t>
        </is>
      </c>
      <c r="D111" s="49" t="n">
        <v>128</v>
      </c>
      <c r="E111" s="12" t="inlineStr">
        <is>
          <t>personnel civil de la DISA 2025, évaluation au 31/12/2025 ; plafond conventionnel non appliqué</t>
        </is>
      </c>
    </row>
    <row r="112">
      <c r="A112" s="47" t="inlineStr">
        <is>
          <t>Tableau</t>
        </is>
      </c>
      <c r="B112" s="48" t="n">
        <v>61</v>
      </c>
      <c r="C112" s="10" t="inlineStr">
        <is>
          <t>Engagements envers les adhérents et ayants droit : méthode et résultat</t>
        </is>
      </c>
      <c r="D112" s="48" t="n">
        <v>129</v>
      </c>
      <c r="E112" s="10" t="inlineStr">
        <is>
          <t>balance provisoire au 31/08/2026 ; états de fin d'année des allocations décès 2021 à 2025 ; factures de cliniques du journal SIN 2023 à 2025 ; DISA 2021 à 2025</t>
        </is>
      </c>
    </row>
    <row r="113">
      <c r="A113" s="47" t="inlineStr">
        <is>
          <t>Tableau</t>
        </is>
      </c>
      <c r="B113" s="49" t="n">
        <v>62</v>
      </c>
      <c r="C113" s="12" t="inlineStr">
        <is>
          <t>Provisions : méthode annuelle proposée et montants</t>
        </is>
      </c>
      <c r="D113" s="49" t="n">
        <v>130</v>
      </c>
      <c r="E113" s="12" t="inlineStr">
        <is>
          <t>provisions au bilan du 31/08/2026 ; besoins mesurés aux dates indiquées dans les diapositives de détail</t>
        </is>
      </c>
    </row>
    <row r="114">
      <c r="A114" s="47" t="inlineStr">
        <is>
          <t>Tableau</t>
        </is>
      </c>
      <c r="B114" s="48" t="n">
        <v>63</v>
      </c>
      <c r="C114" s="10" t="inlineStr">
        <is>
          <t>Corrections attendues et sens de leur effet sur l'adossement</t>
        </is>
      </c>
      <c r="D114" s="48" t="n">
        <v>134</v>
      </c>
      <c r="E114" s="10" t="inlineStr">
        <is>
          <t>corrections attendues tirées des textes cités et des constats du rapport ; sens de l'effet seulement, sans montant</t>
        </is>
      </c>
    </row>
    <row r="115">
      <c r="A115" s="47" t="inlineStr">
        <is>
          <t>Tableau</t>
        </is>
      </c>
      <c r="B115" s="49" t="n">
        <v>64</v>
      </c>
      <c r="C115" s="12" t="inlineStr">
        <is>
          <t>Règles de valorisation retenues dans chaque scénario</t>
        </is>
      </c>
      <c r="D115" s="49" t="n">
        <v>135</v>
      </c>
      <c r="E115" s="12" t="inlineStr">
        <is>
          <t>règles du règlement d'exécution n° 004/2022 (art. 17, 19 à 21, 27), de la Décision n° 05/2022 et du PCMS ; liste ivoirienne des actifs admis non reçue</t>
        </is>
      </c>
    </row>
    <row r="116">
      <c r="A116" s="47" t="inlineStr">
        <is>
          <t>Tableau</t>
        </is>
      </c>
      <c r="B116" s="48" t="n">
        <v>65</v>
      </c>
      <c r="C116" s="10" t="inlineStr">
        <is>
          <t>Couverture des engagements connus selon le scénario</t>
        </is>
      </c>
      <c r="D116" s="48" t="n">
        <v>136</v>
      </c>
      <c r="E116" s="10" t="inlineStr">
        <is>
          <t>actifs et engagements au 31/12/2025 et au 31/08/2026 des balances « BALANCE FORMAT EXCEL DE 09-2020 AU 31-12-2020.xlsx » à « BALANCE FPPN DU 01-01-2026 AU 31-08-2026.xlsx » ; valorisation selon les règles de la diapositive précédente</t>
        </is>
      </c>
    </row>
    <row r="117">
      <c r="A117" s="47" t="inlineStr">
        <is>
          <t>Tableau</t>
        </is>
      </c>
      <c r="B117" s="49" t="n">
        <v>66</v>
      </c>
      <c r="C117" s="12" t="inlineStr">
        <is>
          <t>Méthodes d'adossement retenues et justification</t>
        </is>
      </c>
      <c r="D117" s="49" t="n">
        <v>137</v>
      </c>
      <c r="E117" s="12" t="inlineStr">
        <is>
          <t>choix de méthode fondé sur les documents de référence cités et sur les données du FPPN de 2020 au 31/08/2026</t>
        </is>
      </c>
    </row>
    <row r="118">
      <c r="A118" s="47" t="inlineStr">
        <is>
          <t>Tableau</t>
        </is>
      </c>
      <c r="B118" s="48" t="n">
        <v>67</v>
      </c>
      <c r="C118" s="10" t="inlineStr">
        <is>
          <t>Sorties annuelles de l'épargne et taux de sortie</t>
        </is>
      </c>
      <c r="D118" s="48" t="n">
        <v>138</v>
      </c>
      <c r="E118" s="10" t="inlineStr">
        <is>
          <t>débits et soldes des comptes 41195100 et 41195200, balances 2020 à 2025 ; l'année 2020 sert de point de départ ; 2026 non retenue (huit mois)</t>
        </is>
      </c>
    </row>
    <row r="119">
      <c r="A119" s="47" t="inlineStr">
        <is>
          <t>Tableau</t>
        </is>
      </c>
      <c r="B119" s="49" t="n">
        <v>68</v>
      </c>
      <c r="C119" s="12" t="inlineStr">
        <is>
          <t>Écarts de liquidité au 31/08/2026, scénario central</t>
        </is>
      </c>
      <c r="D119" s="49" t="n">
        <v>139</v>
      </c>
      <c r="E119" s="12" t="inlineStr">
        <is>
          <t>bilan provisoire au 31/08/2026, actifs classés par nature comptable ; taux de sortie moyen 2021 à 2025 ; sans nouveaux versements ni intérêts dus</t>
        </is>
      </c>
    </row>
    <row r="120">
      <c r="A120" s="47" t="inlineStr">
        <is>
          <t>Tableau</t>
        </is>
      </c>
      <c r="B120" s="48" t="n">
        <v>69</v>
      </c>
      <c r="C120" s="10" t="inlineStr">
        <is>
          <t>Couverture des paiements de l'année selon trois scénarios</t>
        </is>
      </c>
      <c r="D120" s="48" t="n">
        <v>140</v>
      </c>
      <c r="E120" s="10" t="inlineStr">
        <is>
          <t>bilans au 31/12/2025 et au 31/08/2026 (provisoire) ; taux de sortie 2021 à 2025 ; prestations maladie 2023 à 2025</t>
        </is>
      </c>
    </row>
    <row r="121">
      <c r="A121" s="47" t="inlineStr">
        <is>
          <t>Tableau</t>
        </is>
      </c>
      <c r="B121" s="49" t="n">
        <v>70</v>
      </c>
      <c r="C121" s="12" t="inlineStr">
        <is>
          <t>Gouvernance actif-passif : pratiques de référence et situation du FPPN</t>
        </is>
      </c>
      <c r="D121" s="49" t="n">
        <v>141</v>
      </c>
      <c r="E121" s="12" t="inlineStr">
        <is>
          <t>pratiques des documents de référence cités ; situation du FPPN constatée en entretien le 19/10/2026 et sur les documents reçus jusqu'au 22/10/2026</t>
        </is>
      </c>
    </row>
    <row r="122">
      <c r="A122" s="47" t="inlineStr">
        <is>
          <t>Tableau</t>
        </is>
      </c>
      <c r="B122" s="48" t="n">
        <v>71</v>
      </c>
      <c r="C122" s="10" t="inlineStr">
        <is>
          <t>Adossement actif-passif : réponse et niveau de preuve</t>
        </is>
      </c>
      <c r="D122" s="48" t="n">
        <v>142</v>
      </c>
      <c r="E122" s="10" t="inlineStr">
        <is>
          <t>bilans au 31/12/2025 et au 31/08/2026 (provisoire) ; comportements de sortie observés de 2021 à 2025</t>
        </is>
      </c>
    </row>
    <row r="123">
      <c r="A123" s="47" t="inlineStr">
        <is>
          <t>Tableau</t>
        </is>
      </c>
      <c r="B123" s="49" t="n">
        <v>72</v>
      </c>
      <c r="C123" s="12" t="inlineStr">
        <is>
          <t>Mouvements annuels du DAT BOA (comptes 52210200 et 52210201)</t>
        </is>
      </c>
      <c r="D123" s="49" t="n">
        <v>146</v>
      </c>
      <c r="E123" s="12" t="inlineStr">
        <is>
          <t>comptes 52210200 et 52210201 (DAT BOA) et 53300001 (FCP) des balances 2021 à 2026 ; décision de placement selon l'entretien du 19/10/2026</t>
        </is>
      </c>
    </row>
    <row r="124">
      <c r="A124" s="47" t="inlineStr">
        <is>
          <t>Tableau</t>
        </is>
      </c>
      <c r="B124" s="48" t="n">
        <v>73</v>
      </c>
      <c r="C124" s="10" t="inlineStr">
        <is>
          <t>Documents sur les actifs immobilisés et la gouvernance</t>
        </is>
      </c>
      <c r="D124" s="48" t="n">
        <v>148</v>
      </c>
      <c r="E124" s="10" t="inlineStr">
        <is>
          <t>documents reçus le 22/10/2026 (scans lus par reconnaissance de caractères) ; montants des comptes 222, 47111101, 47111104, 47111105 et 47111100 au 31/08/2026 (provisoire)</t>
        </is>
      </c>
    </row>
    <row r="125">
      <c r="A125" s="47" t="inlineStr">
        <is>
          <t>Tableau</t>
        </is>
      </c>
      <c r="B125" s="49" t="n">
        <v>74</v>
      </c>
      <c r="C125" s="12" t="inlineStr">
        <is>
          <t>Placements et emplois du FPPN confrontés aux conditions de l'article 17</t>
        </is>
      </c>
      <c r="D125" s="49" t="n">
        <v>150</v>
      </c>
      <c r="E125" s="12" t="inlineStr">
        <is>
          <t>placements et produits financiers de 2021 à 2025 ; actifs et épargne au 31/08/2026 (provisoire) ; intérêts dus aux taux du manuel d'épargne</t>
        </is>
      </c>
    </row>
    <row r="126">
      <c r="A126" s="47" t="inlineStr">
        <is>
          <t>Tableau</t>
        </is>
      </c>
      <c r="B126" s="48" t="n">
        <v>75</v>
      </c>
      <c r="C126" s="10" t="inlineStr">
        <is>
          <t>Textes de la mutualité sociale appliqués au FPPN</t>
        </is>
      </c>
      <c r="D126" s="48" t="n">
        <v>153</v>
      </c>
      <c r="E126" s="10" t="inlineStr">
        <is>
          <t>textes de la mutualité sociale UEMOA et ivoirienne fournis le 18/10/2026 ; versions en vigueur au 22/10/2026</t>
        </is>
      </c>
    </row>
    <row r="127">
      <c r="A127" s="47" t="inlineStr">
        <is>
          <t>Tableau</t>
        </is>
      </c>
      <c r="B127" s="49" t="n">
        <v>76</v>
      </c>
      <c r="C127" s="12" t="inlineStr">
        <is>
          <t>Qualification des garanties du FPPN</t>
        </is>
      </c>
      <c r="D127" s="49" t="n">
        <v>154</v>
      </c>
      <c r="E127" s="12" t="inlineStr">
        <is>
          <t>garanties du FPPN qualifiées selon le règlement d'exécution n° 004/2022 (art. 1, 3, 12 à 15), sur les fichiers de précomptes et les balances « BALANCE FORMAT EXCEL DE 09-2020 AU 31-12-2020.xlsx » à « BALANCE FPPN DU 01-01-2026 AU 31-08-2026.xlsx »</t>
        </is>
      </c>
    </row>
    <row r="128">
      <c r="A128" s="47" t="inlineStr">
        <is>
          <t>Tableau</t>
        </is>
      </c>
      <c r="B128" s="48" t="n">
        <v>77</v>
      </c>
      <c r="C128" s="10" t="inlineStr">
        <is>
          <t>Reclassements de la lecture retraitée</t>
        </is>
      </c>
      <c r="D128" s="48" t="n">
        <v>156</v>
      </c>
      <c r="E128" s="10" t="inlineStr">
        <is>
          <t>reclassements de comptes selon le PCMS (fiches 1 et 25) appliqués aux balances « BALANCE FORMAT EXCEL DE 09-2020 AU 31-12-2020.xlsx » à « BALANCE FPPN DU 01-01-2026 AU 31-08-2026.xlsx »</t>
        </is>
      </c>
    </row>
    <row r="129">
      <c r="A129" s="47" t="inlineStr">
        <is>
          <t>Tableau</t>
        </is>
      </c>
      <c r="B129" s="49" t="n">
        <v>78</v>
      </c>
      <c r="C129" s="12" t="inlineStr">
        <is>
          <t>Tableau de bord des ratios prudentiels, priorités 1 à 9</t>
        </is>
      </c>
      <c r="D129" s="49" t="n">
        <v>159</v>
      </c>
      <c r="E129" s="12" t="inlineStr">
        <is>
          <t>ratios de la Décision n° 05/2022 recalculés sur les balances « BALANCE FORMAT EXCEL DE 09-2020 AU 31-12-2020.xlsx » à « BALANCE FPPN DU 01-01-2026 AU 31-08-2026.xlsx », 2020 au 31/08/2026 ; statut opposable de 2022 à 2025, indicatif en 2020, 2021 et 2026</t>
        </is>
      </c>
    </row>
    <row r="130">
      <c r="A130" s="47" t="inlineStr">
        <is>
          <t>Tableau</t>
        </is>
      </c>
      <c r="B130" s="48" t="n">
        <v>79</v>
      </c>
      <c r="C130" s="10" t="inlineStr">
        <is>
          <t>Tableau de bord des ratios des risques longs, priorités 10 à 16</t>
        </is>
      </c>
      <c r="D130" s="48" t="n">
        <v>160</v>
      </c>
      <c r="E130" s="10" t="inlineStr">
        <is>
          <t>ratios de la Décision n° 05/2022 recalculés sur les balances « BALANCE FORMAT EXCEL DE 09-2020 AU 31-12-2020.xlsx » à « BALANCE FPPN DU 01-01-2026 AU 31-08-2026.xlsx », 2020 au 31/08/2026 ; épargne traitée comme risque long ; statut opposable de 2022 à 2025</t>
        </is>
      </c>
    </row>
    <row r="131">
      <c r="A131" s="47" t="inlineStr">
        <is>
          <t>Tableau</t>
        </is>
      </c>
      <c r="B131" s="49" t="n">
        <v>80</v>
      </c>
      <c r="C131" s="12" t="inlineStr">
        <is>
          <t>Tableau de bord des ratios de gestion, priorités 17 à 25</t>
        </is>
      </c>
      <c r="D131" s="49" t="n">
        <v>161</v>
      </c>
      <c r="E131" s="12" t="inlineStr">
        <is>
          <t>ratios de la Décision n° 05/2022 recalculés sur les balances « BALANCE FORMAT EXCEL DE 09-2020 AU 31-12-2020.xlsx » à « BALANCE FPPN DU 01-01-2026 AU 31-08-2026.xlsx » et des fichiers de précomptes (mois reçus) ; statut opposable de 2022 à 2025</t>
        </is>
      </c>
    </row>
    <row r="132">
      <c r="A132" s="47" t="inlineStr">
        <is>
          <t>Tableau</t>
        </is>
      </c>
      <c r="B132" s="48" t="n">
        <v>81</v>
      </c>
      <c r="C132" s="10" t="inlineStr">
        <is>
          <t>Indicateurs en attente de documents, priorités 26 à 36</t>
        </is>
      </c>
      <c r="D132" s="48" t="n">
        <v>162</v>
      </c>
      <c r="E132" s="10" t="inlineStr">
        <is>
          <t>indicateurs de la Décision n° 05/2022 non calculables avec les documents reçus au 22/10/2026 ; numéros de la PBC</t>
        </is>
      </c>
    </row>
    <row r="133">
      <c r="A133" s="47" t="inlineStr">
        <is>
          <t>Tableau</t>
        </is>
      </c>
      <c r="B133" s="49" t="n">
        <v>82</v>
      </c>
      <c r="C133" s="12" t="inlineStr">
        <is>
          <t>Dotation de la réserve obligatoire et normes</t>
        </is>
      </c>
      <c r="D133" s="49" t="n">
        <v>175</v>
      </c>
      <c r="E133" s="12" t="inlineStr">
        <is>
          <t>résultats et réserves (comptes 10 à 13) des balances « BALANCE FORMAT EXCEL DE 09-2020 AU 31-12-2020.xlsx » à « BALANCE FPPN DU 01-01-2026 AU 31-08-2026.xlsx », affectations de 2021 à 2025</t>
        </is>
      </c>
    </row>
    <row r="134">
      <c r="A134" s="47" t="inlineStr">
        <is>
          <t>Tableau</t>
        </is>
      </c>
      <c r="B134" s="48" t="n">
        <v>83</v>
      </c>
      <c r="C134" s="10" t="inlineStr">
        <is>
          <t>Contrôle du classement des comptes selon le PCMS</t>
        </is>
      </c>
      <c r="D134" s="48" t="n">
        <v>177</v>
      </c>
      <c r="E134" s="10" t="inlineStr">
        <is>
          <t>comptes des balances « BALANCE FORMAT EXCEL DE 09-2020 AU 31-12-2020.xlsx » à « BALANCE FPPN DU 01-01-2026 AU 31-08-2026.xlsx » comparés à la liste des comptes du PCMS (mai 2012, fiches 1, 2, 6 et 25)</t>
        </is>
      </c>
    </row>
    <row r="135">
      <c r="A135" s="47" t="inlineStr">
        <is>
          <t>Tableau</t>
        </is>
      </c>
      <c r="B135" s="49" t="n">
        <v>84</v>
      </c>
      <c r="C135" s="12" t="inlineStr">
        <is>
          <t>Exigences non chiffrées et situation du FPPN</t>
        </is>
      </c>
      <c r="D135" s="49" t="n">
        <v>178</v>
      </c>
      <c r="E135" s="12" t="inlineStr">
        <is>
          <t>exigences des textes cités confrontées aux documents reçus jusqu'au 22/10/2026</t>
        </is>
      </c>
    </row>
    <row r="136">
      <c r="A136" s="47" t="inlineStr">
        <is>
          <t>Tableau</t>
        </is>
      </c>
      <c r="B136" s="48" t="n">
        <v>85</v>
      </c>
      <c r="C136" s="10" t="inlineStr">
        <is>
          <t>Manquements liés aux constats du rapport et sanctions prévues</t>
        </is>
      </c>
      <c r="D136" s="48" t="n">
        <v>179</v>
      </c>
      <c r="E136" s="10" t="inlineStr">
        <is>
          <t>sanctions de l'arrêté n° 00115/MEPS/CAB du 12/12/2023 et du règlement n° 07/2009 rapprochées des constats du rapport ; ne vaut pas avis juridique</t>
        </is>
      </c>
    </row>
    <row r="137">
      <c r="A137" s="47" t="inlineStr">
        <is>
          <t>Tableau</t>
        </is>
      </c>
      <c r="B137" s="49" t="n">
        <v>86</v>
      </c>
      <c r="C137" s="12" t="inlineStr">
        <is>
          <t>Étapes des analyses de sensibilité et références</t>
        </is>
      </c>
      <c r="D137" s="49" t="n">
        <v>181</v>
      </c>
      <c r="E137" s="12" t="inlineStr">
        <is>
          <t>méthode appliquée dans les classeur des calculs, onglets 13a à 13i ; références ISAP 1, IAS 19, IFRS 17 et IFRS 7</t>
        </is>
      </c>
    </row>
    <row r="138">
      <c r="A138" s="47" t="inlineStr">
        <is>
          <t>Tableau</t>
        </is>
      </c>
      <c r="B138" s="48" t="n">
        <v>87</v>
      </c>
      <c r="C138" s="10" t="inlineStr">
        <is>
          <t>Conformité de chaque ratio, année par année</t>
        </is>
      </c>
      <c r="D138" s="48" t="n">
        <v>182</v>
      </c>
      <c r="E138" s="10" t="inlineStr">
        <is>
          <t>ratios de la Décision n° 05/2022 recalculés sur les balances « BALANCE FORMAT EXCEL DE 09-2020 AU 31-12-2020.xlsx » à « BALANCE FPPN DU 01-01-2026 AU 31-08-2026.xlsx », 2020 au 31/08/2026, recalculés par formules dans les classeur des calculs, onglets 13a à 13i</t>
        </is>
      </c>
    </row>
    <row r="139">
      <c r="A139" s="47" t="inlineStr">
        <is>
          <t>Tableau</t>
        </is>
      </c>
      <c r="B139" s="49" t="n">
        <v>88</v>
      </c>
      <c r="C139" s="12" t="inlineStr">
        <is>
          <t>Facteurs récurrents, comptes en cause et preuves</t>
        </is>
      </c>
      <c r="D139" s="49" t="n">
        <v>183</v>
      </c>
      <c r="E139" s="12" t="inlineStr">
        <is>
          <t>comptes en cause des balances « BALANCE FORMAT EXCEL DE 09-2020 AU 31-12-2020.xlsx » à « BALANCE FPPN DU 01-01-2026 AU 31-08-2026.xlsx », 2020 au 31/08/2026 ; classeur des calculs, onglets 13a à 13i</t>
        </is>
      </c>
    </row>
    <row r="140">
      <c r="A140" s="47" t="inlineStr">
        <is>
          <t>Tableau</t>
        </is>
      </c>
      <c r="B140" s="48" t="n">
        <v>89</v>
      </c>
      <c r="C140" s="10" t="inlineStr">
        <is>
          <t>Montant à combler par ratio (FCFA)</t>
        </is>
      </c>
      <c r="D140" s="48" t="n">
        <v>184</v>
      </c>
      <c r="E140" s="10" t="inlineStr">
        <is>
          <t>écarts aux normes de la Décision n° 05/2022 calculés dans les classeur des calculs, onglets 13a à 13i, 2020 au 31/08/2026</t>
        </is>
      </c>
    </row>
    <row r="141">
      <c r="A141" s="47" t="inlineStr">
        <is>
          <t>Tableau</t>
        </is>
      </c>
      <c r="B141" s="49" t="n">
        <v>90</v>
      </c>
      <c r="C141" s="12" t="inlineStr">
        <is>
          <t>Sens de l'effet d'un choc de 100 000 000 FCFA (exercice 2025)</t>
        </is>
      </c>
      <c r="D141" s="49" t="n">
        <v>185</v>
      </c>
      <c r="E141" s="12" t="inlineStr">
        <is>
          <t>choc de 100 000 000 FCFA appliqué à l'exercice 2025 dans les classeur des calculs, onglets 13a à 13i ; effets de premier ordre seulement</t>
        </is>
      </c>
    </row>
    <row r="142">
      <c r="A142" s="47" t="inlineStr">
        <is>
          <t>Tableau</t>
        </is>
      </c>
      <c r="B142" s="48" t="n">
        <v>91</v>
      </c>
      <c r="C142" s="10" t="inlineStr">
        <is>
          <t>Montants d'équilibre 2025 par levier et par ratio</t>
        </is>
      </c>
      <c r="D142" s="48" t="n">
        <v>186</v>
      </c>
      <c r="E142" s="10" t="inlineStr">
        <is>
          <t>exercice 2025, classeur des calculs, onglets 13a à 13i ; un levier à la fois, sans interaction</t>
        </is>
      </c>
    </row>
    <row r="143">
      <c r="A143" s="47" t="inlineStr">
        <is>
          <t>Tableau</t>
        </is>
      </c>
      <c r="B143" s="49" t="n">
        <v>92</v>
      </c>
      <c r="C143" s="12" t="inlineStr">
        <is>
          <t>Liquidité : écart, plafond de réallocation et lecture hors épargne</t>
        </is>
      </c>
      <c r="D143" s="49" t="n">
        <v>188</v>
      </c>
      <c r="E143" s="12" t="inlineStr">
        <is>
          <t>bilan au 31/12/2025 de « BALANCE FPPN 2025.xlsx » ; plafonds de réallocation des classeur des calculs, onglets 13a à 13i</t>
        </is>
      </c>
    </row>
    <row r="144">
      <c r="A144" s="47" t="inlineStr">
        <is>
          <t>Tableau</t>
        </is>
      </c>
      <c r="B144" s="48" t="n">
        <v>93</v>
      </c>
      <c r="C144" s="10" t="inlineStr">
        <is>
          <t>Réserve obligatoire selon la dotation statutaire, et horizon des fonds propres</t>
        </is>
      </c>
      <c r="D144" s="48" t="n">
        <v>189</v>
      </c>
      <c r="E144" s="10" t="inlineStr">
        <is>
          <t>dotation statutaire (statuts, art. 81 et 90) appliquée aux excédents de 2020 à 2025 des balances « BALANCE FORMAT EXCEL DE 09-2020 AU 31-12-2020.xlsx » à « BALANCE FPPN DU 01-01-2026 AU 31-08-2026.xlsx »</t>
        </is>
      </c>
    </row>
    <row r="145">
      <c r="A145" s="47" t="inlineStr">
        <is>
          <t>Tableau</t>
        </is>
      </c>
      <c r="B145" s="49" t="n">
        <v>94</v>
      </c>
      <c r="C145" s="12" t="inlineStr">
        <is>
          <t>Condition de faisabilité conjointe des normes de flux</t>
        </is>
      </c>
      <c r="D145" s="49" t="n">
        <v>190</v>
      </c>
      <c r="E145" s="12" t="inlineStr">
        <is>
          <t>normes du tableau 1 (lignes 2 et 5) et du tableau 2 de la Décision n° 05/2022, exercice 2025</t>
        </is>
      </c>
    </row>
    <row r="146">
      <c r="A146" s="47" t="inlineStr">
        <is>
          <t>Tableau</t>
        </is>
      </c>
      <c r="B146" s="48" t="n">
        <v>95</v>
      </c>
      <c r="C146" s="10" t="inlineStr">
        <is>
          <t>Sinistralité selon la hausse des prestations</t>
        </is>
      </c>
      <c r="D146" s="48" t="n">
        <v>192</v>
      </c>
      <c r="E146" s="10" t="inlineStr">
        <is>
          <t>exercice 2025 ; hausses de prestations hypothétiques appliquées aux prestations de « BALANCE FPPN 2025.xlsx »</t>
        </is>
      </c>
    </row>
    <row r="147">
      <c r="A147" s="47" t="inlineStr">
        <is>
          <t>Tableau</t>
        </is>
      </c>
      <c r="B147" s="49" t="n">
        <v>96</v>
      </c>
      <c r="C147" s="12" t="inlineStr">
        <is>
          <t>Rendement du FPPN et taux du marché, 2021 à 2025</t>
        </is>
      </c>
      <c r="D147" s="49" t="n">
        <v>193</v>
      </c>
      <c r="E147" s="12" t="inlineStr">
        <is>
          <t>rendement du FPPN de 2021 à 2025 (classe 77 et comptes 52 et 53) ; taux de la BCEAO et obligations ivoiriennes à 5 et 10 ans</t>
        </is>
      </c>
    </row>
    <row r="148">
      <c r="A148" s="47" t="inlineStr">
        <is>
          <t>Tableau</t>
        </is>
      </c>
      <c r="B148" s="48" t="n">
        <v>97</v>
      </c>
      <c r="C148" s="10" t="inlineStr">
        <is>
          <t>Tables de mortalité CIMA et usage retenu</t>
        </is>
      </c>
      <c r="D148" s="48" t="n">
        <v>197</v>
      </c>
      <c r="E148" s="10" t="inlineStr">
        <is>
          <t>tables « CIMA_H.xlsx », « CIMA_F.xlsx », « TD_CIMA.xlsx », « TV_CIMA.xlsx » fournies le 18/10/2026 ; non comparées à la mortalité des policiers</t>
        </is>
      </c>
    </row>
    <row r="149">
      <c r="A149" s="47" t="inlineStr">
        <is>
          <t>Tableau</t>
        </is>
      </c>
      <c r="B149" s="49" t="n">
        <v>98</v>
      </c>
      <c r="C149" s="12" t="inlineStr">
        <is>
          <t>Espérance de vie et valeur de la rente viagère (taux de 3,5 %)</t>
        </is>
      </c>
      <c r="D149" s="49" t="n">
        <v>200</v>
      </c>
      <c r="E149" s="12" t="inlineStr">
        <is>
          <t>tables CIMA H, CIMA F, TD et TV, taux technique de 3,5 % ; valeurs de référence, non engagements du FPPN</t>
        </is>
      </c>
    </row>
    <row r="150">
      <c r="A150" s="47" t="inlineStr">
        <is>
          <t>Tableau</t>
        </is>
      </c>
      <c r="B150" s="48" t="n">
        <v>99</v>
      </c>
      <c r="C150" s="10" t="inlineStr">
        <is>
          <t>Étapes d'une projection actuarielle et point de blocage</t>
        </is>
      </c>
      <c r="D150" s="48" t="n">
        <v>203</v>
      </c>
      <c r="E150" s="10" t="inlineStr">
        <is>
          <t>fichiers reçus jusqu'au 22/10/2026 : précomptes de la Solde (postes 936, 8Z6, 998, 870), fichier des effectifs du FPPN, fichiers retour de la CGRAE (dates de naissance de février à avril 2024 seulement)</t>
        </is>
      </c>
    </row>
    <row r="151">
      <c r="A151" s="47" t="inlineStr">
        <is>
          <t>Tableau</t>
        </is>
      </c>
      <c r="B151" s="49" t="n">
        <v>100</v>
      </c>
      <c r="C151" s="12" t="inlineStr">
        <is>
          <t>Projection agrégée du résultat technique, maladie et décès</t>
        </is>
      </c>
      <c r="D151" s="49" t="n">
        <v>204</v>
      </c>
      <c r="E151" s="12" t="inlineStr">
        <is>
          <t>cotisations, prestations et frais de gestion des comptes 2023 à 2025, garanties maladie et décès prises ensemble ; hors épargne, Grenier et produits financiers</t>
        </is>
      </c>
    </row>
    <row r="152">
      <c r="A152" s="47" t="inlineStr">
        <is>
          <t>Tableau</t>
        </is>
      </c>
      <c r="B152" s="48" t="n">
        <v>101</v>
      </c>
      <c r="C152" s="10" t="inlineStr">
        <is>
          <t>Scripts de la mission</t>
        </is>
      </c>
      <c r="D152" s="48" t="n">
        <v>207</v>
      </c>
      <c r="E152" s="10" t="inlineStr">
        <is>
          <t>scripts du dossier de la mission tels qu'utilisés pour ce rapport</t>
        </is>
      </c>
    </row>
    <row r="153">
      <c r="A153" s="47" t="inlineStr">
        <is>
          <t>Tableau</t>
        </is>
      </c>
      <c r="B153" s="49" t="n">
        <v>102</v>
      </c>
      <c r="C153" s="12" t="inlineStr">
        <is>
          <t>Entrée, traitement, contrôle et sortie de chaque étape</t>
        </is>
      </c>
      <c r="D153" s="49" t="n">
        <v>208</v>
      </c>
      <c r="E153" s="12" t="inlineStr">
        <is>
          <t>traitements des fichiers reçus jusqu'au 22/10/2026</t>
        </is>
      </c>
    </row>
    <row r="154">
      <c r="A154" s="47" t="inlineStr">
        <is>
          <t>Tableau</t>
        </is>
      </c>
      <c r="B154" s="48" t="n">
        <v>103</v>
      </c>
      <c r="C154" s="10" t="inlineStr">
        <is>
          <t>Analyses en attente et documents nécessaires</t>
        </is>
      </c>
      <c r="D154" s="48" t="n">
        <v>218</v>
      </c>
      <c r="E154" s="10" t="inlineStr">
        <is>
          <t>documents demandés non reçus au 22/10/2026 (PBC pointée)</t>
        </is>
      </c>
    </row>
    <row r="155">
      <c r="A155" s="47" t="inlineStr">
        <is>
          <t>Tableau</t>
        </is>
      </c>
      <c r="B155" s="49" t="n">
        <v>104</v>
      </c>
      <c r="C155" s="12" t="inlineStr">
        <is>
          <t>Points à clarifier avec le FPPN</t>
        </is>
      </c>
      <c r="D155" s="49" t="n">
        <v>219</v>
      </c>
      <c r="E155" s="12" t="inlineStr">
        <is>
          <t>questions ouvertes au 22/10/2026</t>
        </is>
      </c>
    </row>
    <row r="156">
      <c r="A156" s="47" t="inlineStr">
        <is>
          <t>Tableau</t>
        </is>
      </c>
      <c r="B156" s="48" t="n">
        <v>105</v>
      </c>
      <c r="C156" s="10" t="inlineStr">
        <is>
          <t>Points à clarifier issus de l'entretien du 19/10/2026</t>
        </is>
      </c>
      <c r="D156" s="48" t="n">
        <v>220</v>
      </c>
      <c r="E156" s="10" t="inlineStr">
        <is>
          <t>déclarations du responsable des cotisations le 19/10/2026, non confirmées par document sauf mention</t>
        </is>
      </c>
    </row>
    <row r="157">
      <c r="A157" s="47" t="inlineStr">
        <is>
          <t>Tableau</t>
        </is>
      </c>
      <c r="B157" s="49" t="n">
        <v>106</v>
      </c>
      <c r="C157" s="12" t="inlineStr">
        <is>
          <t>Analyses de provisions en attente et documents nécessaires</t>
        </is>
      </c>
      <c r="D157" s="49" t="n">
        <v>221</v>
      </c>
      <c r="E157" s="12" t="inlineStr">
        <is>
          <t>documents de provisions demandés et non reçus au 22/10/2026 (PBC pointée)</t>
        </is>
      </c>
    </row>
    <row r="158">
      <c r="A158" s="47" t="inlineStr">
        <is>
          <t>Tableau</t>
        </is>
      </c>
      <c r="B158" s="48" t="n">
        <v>107</v>
      </c>
      <c r="C158" s="10" t="inlineStr">
        <is>
          <t>Points à clarifier issus des entretiens du 19/10/2026 avec le chef comptable</t>
        </is>
      </c>
      <c r="D158" s="48" t="n">
        <v>222</v>
      </c>
      <c r="E158" s="10" t="inlineStr">
        <is>
          <t>déclarations du chef comptable le 19/10/2026 (14h et 16h), non confirmées par document sauf mention</t>
        </is>
      </c>
    </row>
    <row r="159">
      <c r="A159" s="47" t="inlineStr">
        <is>
          <t>Tableau</t>
        </is>
      </c>
      <c r="B159" s="49" t="n">
        <v>108</v>
      </c>
      <c r="C159" s="12" t="inlineStr">
        <is>
          <t>Points à clarifier issus des documents du 22/10/2026</t>
        </is>
      </c>
      <c r="D159" s="49" t="n">
        <v>223</v>
      </c>
      <c r="E159" s="12" t="inlineStr">
        <is>
          <t>documents reçus le 22/10/2026</t>
        </is>
      </c>
    </row>
    <row r="160">
      <c r="A160" s="47" t="inlineStr">
        <is>
          <t>Tableau</t>
        </is>
      </c>
      <c r="B160" s="48" t="n">
        <v>109</v>
      </c>
      <c r="C160" s="10" t="inlineStr">
        <is>
          <t>Méthodes non retenues et méthodes appliquées à la place</t>
        </is>
      </c>
      <c r="D160" s="48" t="n">
        <v>225</v>
      </c>
      <c r="E160" s="10" t="inlineStr">
        <is>
          <t>données reçues jusqu'au 22/10/2026</t>
        </is>
      </c>
    </row>
    <row r="161">
      <c r="A161" s="47" t="inlineStr">
        <is>
          <t>Tableau</t>
        </is>
      </c>
      <c r="B161" s="49" t="n">
        <v>110</v>
      </c>
      <c r="C161" s="12" t="inlineStr">
        <is>
          <t>Conditions d'emploi de la méthode et données du FPPN</t>
        </is>
      </c>
      <c r="D161" s="49" t="n">
        <v>226</v>
      </c>
      <c r="E161" s="12" t="inlineStr">
        <is>
          <t>factures de cliniques du journal SIN 2023 à 2025 ; délais calculés sur le compte 40110000 de 2020 au 31/08/2026</t>
        </is>
      </c>
    </row>
    <row r="162">
      <c r="A162" s="47" t="inlineStr">
        <is>
          <t>Tableau</t>
        </is>
      </c>
      <c r="B162" s="48" t="n">
        <v>111</v>
      </c>
      <c r="C162" s="10" t="inlineStr">
        <is>
          <t>Conditions d'emploi de la méthode et données du FPPN</t>
        </is>
      </c>
      <c r="D162" s="48" t="n">
        <v>227</v>
      </c>
      <c r="E162" s="10" t="inlineStr">
        <is>
          <t>décès de membres recensés par le FPPN de 2021 à 2025</t>
        </is>
      </c>
    </row>
    <row r="163">
      <c r="A163" s="47" t="inlineStr">
        <is>
          <t>Tableau</t>
        </is>
      </c>
      <c r="B163" s="49" t="n">
        <v>112</v>
      </c>
      <c r="C163" s="12" t="inlineStr">
        <is>
          <t>Conditions d'emploi de la méthode et données du FPPN</t>
        </is>
      </c>
      <c r="D163" s="49" t="n">
        <v>228</v>
      </c>
      <c r="E163" s="12" t="inlineStr">
        <is>
          <t>retraités précomptés par la CGRAE de févr. 24 à août 26 ; dates de naissance des fichiers retour de février à avril 2024</t>
        </is>
      </c>
    </row>
    <row r="164">
      <c r="A164" s="47" t="inlineStr">
        <is>
          <t>Tableau</t>
        </is>
      </c>
      <c r="B164" s="48" t="n">
        <v>113</v>
      </c>
      <c r="C164" s="10" t="inlineStr">
        <is>
          <t>Conditions d'emploi de la méthode et données du FPPN</t>
        </is>
      </c>
      <c r="D164" s="48" t="n">
        <v>229</v>
      </c>
      <c r="E164" s="10" t="inlineStr">
        <is>
          <t>bilans au 31/12/2025 et au 31/08/2026</t>
        </is>
      </c>
    </row>
    <row r="165">
      <c r="A165" s="47" t="inlineStr">
        <is>
          <t>Tableau</t>
        </is>
      </c>
      <c r="B165" s="49" t="n">
        <v>114</v>
      </c>
      <c r="C165" s="12" t="inlineStr">
        <is>
          <t>Conditions d'emploi de la méthode et données du FPPN</t>
        </is>
      </c>
      <c r="D165" s="49" t="n">
        <v>230</v>
      </c>
      <c r="E165" s="12" t="inlineStr">
        <is>
          <t>données reçues jusqu'au 22/10/2026</t>
        </is>
      </c>
    </row>
    <row r="166">
      <c r="A166" s="47" t="inlineStr">
        <is>
          <t>Tableau</t>
        </is>
      </c>
      <c r="B166" s="48" t="n">
        <v>115</v>
      </c>
      <c r="C166" s="10" t="inlineStr">
        <is>
          <t>Conditions d'emploi de la méthode et données du FPPN</t>
        </is>
      </c>
      <c r="D166" s="48" t="n">
        <v>231</v>
      </c>
      <c r="E166" s="10" t="inlineStr">
        <is>
          <t>bilan au 31/08/2026</t>
        </is>
      </c>
    </row>
    <row r="167">
      <c r="A167" s="47" t="inlineStr">
        <is>
          <t>Tableau</t>
        </is>
      </c>
      <c r="B167" s="49" t="n">
        <v>116</v>
      </c>
      <c r="C167" s="12" t="inlineStr">
        <is>
          <t>Conditions d'emploi de la méthode et données du FPPN</t>
        </is>
      </c>
      <c r="D167" s="49" t="n">
        <v>232</v>
      </c>
      <c r="E167" s="12" t="inlineStr">
        <is>
          <t>ratios de 2020 au 31/08/2026</t>
        </is>
      </c>
    </row>
    <row r="168">
      <c r="A168" s="47" t="inlineStr">
        <is>
          <t>Tableau</t>
        </is>
      </c>
      <c r="B168" s="48" t="n">
        <v>117</v>
      </c>
      <c r="C168" s="10" t="inlineStr">
        <is>
          <t>Fichiers sources et période couverte</t>
        </is>
      </c>
      <c r="D168" s="48" t="n">
        <v>233</v>
      </c>
      <c r="E168" s="10" t="inlineStr">
        <is>
          <t>fichiers reçus jusqu'au 22/10/2026 et retenus après les contrôles de la partie 3</t>
        </is>
      </c>
    </row>
    <row r="169">
      <c r="A169" s="47" t="inlineStr">
        <is>
          <t>Tableau</t>
        </is>
      </c>
      <c r="B169" s="49" t="n">
        <v>118</v>
      </c>
      <c r="C169" s="12" t="inlineStr">
        <is>
          <t>Fichiers sources et période couverte</t>
        </is>
      </c>
      <c r="D169" s="49" t="n">
        <v>234</v>
      </c>
      <c r="E169" s="12" t="inlineStr">
        <is>
          <t>fichiers reçus jusqu'au 22/10/2026 et retenus après les contrôles de la partie 3</t>
        </is>
      </c>
    </row>
    <row r="170">
      <c r="A170" s="47" t="inlineStr">
        <is>
          <t>Tableau</t>
        </is>
      </c>
      <c r="B170" s="48" t="n">
        <v>119</v>
      </c>
      <c r="C170" s="10" t="inlineStr">
        <is>
          <t>Fichiers sources et période couverte</t>
        </is>
      </c>
      <c r="D170" s="48" t="n">
        <v>235</v>
      </c>
      <c r="E170" s="10" t="inlineStr">
        <is>
          <t>fichiers reçus jusqu'au 22/10/2026 et retenus après les contrôles de la partie 3</t>
        </is>
      </c>
    </row>
    <row r="171">
      <c r="A171" s="47" t="inlineStr">
        <is>
          <t>Tableau</t>
        </is>
      </c>
      <c r="B171" s="49" t="n">
        <v>120</v>
      </c>
      <c r="C171" s="12" t="inlineStr">
        <is>
          <t>Colonnes et statuts du tableau des formules</t>
        </is>
      </c>
      <c r="D171" s="49" t="n">
        <v>236</v>
      </c>
      <c r="E171" s="12" t="inlineStr"/>
    </row>
    <row r="172">
      <c r="A172" s="47" t="inlineStr">
        <is>
          <t>Tableau</t>
        </is>
      </c>
      <c r="B172" s="48" t="n">
        <v>121</v>
      </c>
      <c r="C172" s="10" t="inlineStr">
        <is>
          <t>Outils et bibliothèques utilisés</t>
        </is>
      </c>
      <c r="D172" s="48" t="n">
        <v>252</v>
      </c>
      <c r="E172" s="10" t="inlineStr"/>
    </row>
    <row r="173"/>
    <row r="174">
      <c r="A174" s="14" t="inlineStr">
        <is>
          <t>Source : rapport PowerPoint</t>
        </is>
      </c>
    </row>
  </sheetData>
  <pageMargins left="0.75" right="0.75" top="1" bottom="1" header="0.5" footer="0.5"/>
  <pageSetup orientation="landscape" fitToHeight="0" fitToWidth="1"/>
</worksheet>
</file>

<file path=xl/worksheets/sheet53.xml><?xml version="1.0" encoding="utf-8"?>
<worksheet xmlns="http://schemas.openxmlformats.org/spreadsheetml/2006/main">
  <sheetPr>
    <tabColor rgb="00EFAC62"/>
    <outlinePr summaryBelow="1" summaryRight="1"/>
    <pageSetUpPr fitToPage="1"/>
  </sheetPr>
  <dimension ref="A1:C12"/>
  <sheetViews>
    <sheetView showGridLines="0" workbookViewId="0">
      <selection activeCell="A1" sqref="A1"/>
    </sheetView>
  </sheetViews>
  <sheetFormatPr baseColWidth="8" defaultRowHeight="15"/>
  <cols>
    <col width="46" customWidth="1" min="1" max="1"/>
    <col width="18" customWidth="1" min="2" max="2"/>
    <col width="90" customWidth="1" min="3" max="3"/>
  </cols>
  <sheetData>
    <row r="1">
      <c r="A1" s="5" t="inlineStr">
        <is>
          <t>PIDR : paramètres (cellules orange modifiables)</t>
        </is>
      </c>
      <c r="B1" s="50" t="n"/>
      <c r="C1" s="50" t="n"/>
    </row>
    <row r="2">
      <c r="A2" s="15" t="inlineStr">
        <is>
          <t>Sources : décret n° 2017-210 du 30/03/2017, art. 4 et 5 ; convention collective interprofessionnelle du 19/07/1977, art. 40 ; DISA 2021 à 2025 ; Investing.com ; table CIMA F</t>
        </is>
      </c>
      <c r="B2" s="50" t="n"/>
      <c r="C2" s="50" t="n"/>
    </row>
    <row r="3">
      <c r="A3" s="50" t="n"/>
      <c r="B3" s="50" t="n"/>
      <c r="C3" s="50" t="n"/>
    </row>
    <row r="4">
      <c r="A4" s="8" t="inlineStr">
        <is>
          <t>Paramètre</t>
        </is>
      </c>
      <c r="B4" s="8" t="inlineStr">
        <is>
          <t>Valeur</t>
        </is>
      </c>
      <c r="C4" s="8" t="inlineStr">
        <is>
          <t>Justification</t>
        </is>
      </c>
    </row>
    <row r="5">
      <c r="A5" s="27" t="inlineStr">
        <is>
          <t>Date d'évaluation</t>
        </is>
      </c>
      <c r="B5" s="51" t="n">
        <v>46022</v>
      </c>
      <c r="C5" s="10" t="inlineStr">
        <is>
          <t>Clôture de l'exercice 2025, dernière DISA reçue.</t>
        </is>
      </c>
    </row>
    <row r="6">
      <c r="A6" s="27" t="inlineStr">
        <is>
          <t>Âge de départ à la retraite</t>
        </is>
      </c>
      <c r="B6" s="52" t="n">
        <v>55</v>
      </c>
      <c r="C6" s="12" t="inlineStr">
        <is>
          <t>Convention collective du 19/07/1977, art. 40 : 55 ans, reculé d'un an par enfant à charge (maximum 3) ; enfants non déclarés dans les fichiers reçus.</t>
        </is>
      </c>
    </row>
    <row r="7">
      <c r="A7" s="27" t="inlineStr">
        <is>
          <t>Taux d'actualisation</t>
        </is>
      </c>
      <c r="B7" s="53" t="n">
        <v>0.07191774193548386</v>
      </c>
      <c r="C7" s="10" t="inlineStr">
        <is>
          <t>Moyenne 2025 du rendement de l'obligation de l'État de Côte d'Ivoire à 10 ans (248 cotations, Investing.com) ; IAS 19, § 83 (taux des obligations d'État à défaut de marché profond).</t>
        </is>
      </c>
    </row>
    <row r="8">
      <c r="A8" s="27" t="inlineStr">
        <is>
          <t>Croissance annuelle des salaires</t>
        </is>
      </c>
      <c r="B8" s="53" t="n">
        <v>0.1035700401317873</v>
      </c>
      <c r="C8" s="12" t="inlineStr">
        <is>
          <t>Médiane observée sur 26 agents présents douze mois en 2021 et en 2025 (DISA 2021 et 2025).</t>
        </is>
      </c>
    </row>
    <row r="9">
      <c r="A9" s="27" t="inlineStr">
        <is>
          <t>Rotation annuelle du personnel</t>
        </is>
      </c>
      <c r="B9" s="53" t="n">
        <v>0.09792809702304928</v>
      </c>
      <c r="C9" s="10" t="inlineStr">
        <is>
          <t>Moyenne des taux annuels de sortie observés entre les DISA 2021, 2022, 2023 et 2025.</t>
        </is>
      </c>
    </row>
    <row r="10">
      <c r="A10" s="27" t="inlineStr">
        <is>
          <t>Barème jusqu'à 5 ans</t>
        </is>
      </c>
      <c r="B10" s="53" t="n">
        <v>0.3</v>
      </c>
      <c r="C10" s="12" t="inlineStr">
        <is>
          <t>Décret n° 2017-210, art. 4</t>
        </is>
      </c>
    </row>
    <row r="11">
      <c r="A11" s="27" t="inlineStr">
        <is>
          <t>Barème de 6 à 10 ans</t>
        </is>
      </c>
      <c r="B11" s="53" t="n">
        <v>0.35</v>
      </c>
      <c r="C11" s="10" t="inlineStr">
        <is>
          <t>Décret n° 2017-210, art. 4</t>
        </is>
      </c>
    </row>
    <row r="12">
      <c r="A12" s="27" t="inlineStr">
        <is>
          <t>Barème au-delà de 10 ans</t>
        </is>
      </c>
      <c r="B12" s="53" t="n">
        <v>0.4</v>
      </c>
      <c r="C12" s="12" t="inlineStr">
        <is>
          <t>Décret n° 2017-210, art. 4</t>
        </is>
      </c>
    </row>
  </sheetData>
  <pageMargins left="0.75" right="0.75" top="1" bottom="1" header="0.5" footer="0.5"/>
  <pageSetup orientation="landscape" fitToHeight="0" fitToWidth="1"/>
</worksheet>
</file>

<file path=xl/worksheets/sheet54.xml><?xml version="1.0" encoding="utf-8"?>
<worksheet xmlns="http://schemas.openxmlformats.org/spreadsheetml/2006/main">
  <sheetPr>
    <tabColor rgb="00EFAC62"/>
    <outlinePr summaryBelow="1" summaryRight="1"/>
    <pageSetUpPr fitToPage="1"/>
  </sheetPr>
  <dimension ref="A1:B115"/>
  <sheetViews>
    <sheetView showGridLines="0" workbookViewId="0">
      <selection activeCell="A1" sqref="A1"/>
    </sheetView>
  </sheetViews>
  <sheetFormatPr baseColWidth="8" defaultRowHeight="15"/>
  <cols>
    <col width="10" customWidth="1" min="1" max="1"/>
    <col width="16" customWidth="1" min="2" max="2"/>
  </cols>
  <sheetData>
    <row r="1">
      <c r="A1" s="5" t="inlineStr">
        <is>
          <t>Table de mortalité CIMA F (nombre de survivants lx)</t>
        </is>
      </c>
      <c r="B1" s="50" t="n"/>
    </row>
    <row r="2">
      <c r="A2" s="15" t="inlineStr">
        <is>
          <t>Source : fichier CIMA_F.xlsx fourni le 18/10/2026 (Code CIMA, art. 338)</t>
        </is>
      </c>
      <c r="B2" s="50" t="n"/>
    </row>
    <row r="3">
      <c r="A3" s="50" t="n"/>
      <c r="B3" s="50" t="n"/>
    </row>
    <row r="4">
      <c r="A4" s="8" t="inlineStr">
        <is>
          <t>Âge</t>
        </is>
      </c>
      <c r="B4" s="8" t="inlineStr">
        <is>
          <t>lx</t>
        </is>
      </c>
    </row>
    <row r="5">
      <c r="A5" s="42" t="n">
        <v>0</v>
      </c>
      <c r="B5" s="29" t="n">
        <v>1000000</v>
      </c>
    </row>
    <row r="6">
      <c r="A6" s="42" t="n">
        <v>1</v>
      </c>
      <c r="B6" s="31" t="n">
        <v>997151.4965635164</v>
      </c>
    </row>
    <row r="7">
      <c r="A7" s="42" t="n">
        <v>2</v>
      </c>
      <c r="B7" s="29" t="n">
        <v>996765.632115723</v>
      </c>
    </row>
    <row r="8">
      <c r="A8" s="42" t="n">
        <v>3</v>
      </c>
      <c r="B8" s="31" t="n">
        <v>996470.3604373132</v>
      </c>
    </row>
    <row r="9">
      <c r="A9" s="42" t="n">
        <v>4</v>
      </c>
      <c r="B9" s="29" t="n">
        <v>996218.844139563</v>
      </c>
    </row>
    <row r="10">
      <c r="A10" s="42" t="n">
        <v>5</v>
      </c>
      <c r="B10" s="31" t="n">
        <v>996003.9060412481</v>
      </c>
    </row>
    <row r="11">
      <c r="A11" s="42" t="n">
        <v>6</v>
      </c>
      <c r="B11" s="29" t="n">
        <v>995807.913150373</v>
      </c>
    </row>
    <row r="12">
      <c r="A12" s="42" t="n">
        <v>7</v>
      </c>
      <c r="B12" s="31" t="n">
        <v>995631.3847574278</v>
      </c>
    </row>
    <row r="13">
      <c r="A13" s="42" t="n">
        <v>8</v>
      </c>
      <c r="B13" s="29" t="n">
        <v>995464.8166920039</v>
      </c>
    </row>
    <row r="14">
      <c r="A14" s="42" t="n">
        <v>9</v>
      </c>
      <c r="B14" s="31" t="n">
        <v>995298.2594373025</v>
      </c>
    </row>
    <row r="15">
      <c r="A15" s="42" t="n">
        <v>10</v>
      </c>
      <c r="B15" s="29" t="n">
        <v>995141.8280302931</v>
      </c>
    </row>
    <row r="16">
      <c r="A16" s="42" t="n">
        <v>11</v>
      </c>
      <c r="B16" s="31" t="n">
        <v>994975.2920163671</v>
      </c>
    </row>
    <row r="17">
      <c r="A17" s="42" t="n">
        <v>12</v>
      </c>
      <c r="B17" s="29" t="n">
        <v>994808.766812903</v>
      </c>
    </row>
    <row r="18">
      <c r="A18" s="42" t="n">
        <v>13</v>
      </c>
      <c r="B18" s="31" t="n">
        <v>994612.8640769151</v>
      </c>
    </row>
    <row r="19">
      <c r="A19" s="42" t="n">
        <v>14</v>
      </c>
      <c r="B19" s="29" t="n">
        <v>994379.5890546368</v>
      </c>
    </row>
    <row r="20">
      <c r="A20" s="42" t="n">
        <v>15</v>
      </c>
      <c r="B20" s="31" t="n">
        <v>994093.1546385518</v>
      </c>
    </row>
    <row r="21">
      <c r="A21" s="42" t="n">
        <v>16</v>
      </c>
      <c r="B21" s="29" t="n">
        <v>993715.6451095346</v>
      </c>
    </row>
    <row r="22">
      <c r="A22" s="42" t="n">
        <v>17</v>
      </c>
      <c r="B22" s="31" t="n">
        <v>993237.8451579149</v>
      </c>
    </row>
    <row r="23">
      <c r="A23" s="42" t="n">
        <v>18</v>
      </c>
      <c r="B23" s="29" t="n">
        <v>992644.1213163362</v>
      </c>
    </row>
    <row r="24">
      <c r="A24" s="42" t="n">
        <v>19</v>
      </c>
      <c r="B24" s="31" t="n">
        <v>991940.501461654</v>
      </c>
    </row>
    <row r="25">
      <c r="A25" s="42" t="n">
        <v>20</v>
      </c>
      <c r="B25" s="29" t="n">
        <v>991157.5443371241</v>
      </c>
    </row>
    <row r="26">
      <c r="A26" s="42" t="n">
        <v>21</v>
      </c>
      <c r="B26" s="31" t="n">
        <v>990328.5697802975</v>
      </c>
    </row>
    <row r="27">
      <c r="A27" s="42" t="n">
        <v>22</v>
      </c>
      <c r="B27" s="29" t="n">
        <v>989470.4725000703</v>
      </c>
    </row>
    <row r="28">
      <c r="A28" s="42" t="n">
        <v>23</v>
      </c>
      <c r="B28" s="31" t="n">
        <v>988593.5765457492</v>
      </c>
    </row>
    <row r="29">
      <c r="A29" s="42" t="n">
        <v>24</v>
      </c>
      <c r="B29" s="29" t="n">
        <v>987701.3500704777</v>
      </c>
    </row>
    <row r="30">
      <c r="A30" s="42" t="n">
        <v>25</v>
      </c>
      <c r="B30" s="31" t="n">
        <v>986790.4265870434</v>
      </c>
    </row>
    <row r="31">
      <c r="A31" s="42" t="n">
        <v>26</v>
      </c>
      <c r="B31" s="29" t="n">
        <v>985860.8582562421</v>
      </c>
    </row>
    <row r="32">
      <c r="A32" s="42" t="n">
        <v>27</v>
      </c>
      <c r="B32" s="31" t="n">
        <v>984905.8716938214</v>
      </c>
    </row>
    <row r="33">
      <c r="A33" s="42" t="n">
        <v>28</v>
      </c>
      <c r="B33" s="29" t="n">
        <v>983925.5506851566</v>
      </c>
    </row>
    <row r="34">
      <c r="A34" s="42" t="n">
        <v>29</v>
      </c>
      <c r="B34" s="31" t="n">
        <v>982919.979965953</v>
      </c>
    </row>
    <row r="35">
      <c r="A35" s="42" t="n">
        <v>30</v>
      </c>
      <c r="B35" s="29" t="n">
        <v>981887.3127253735</v>
      </c>
    </row>
    <row r="36">
      <c r="A36" s="42" t="n">
        <v>31</v>
      </c>
      <c r="B36" s="31" t="n">
        <v>980831.4345438377</v>
      </c>
    </row>
    <row r="37">
      <c r="A37" s="42" t="n">
        <v>32</v>
      </c>
      <c r="B37" s="29" t="n">
        <v>979753.6690191594</v>
      </c>
    </row>
    <row r="38">
      <c r="A38" s="42" t="n">
        <v>33</v>
      </c>
      <c r="B38" s="31" t="n">
        <v>978639.5806644065</v>
      </c>
    </row>
    <row r="39">
      <c r="A39" s="42" t="n">
        <v>34</v>
      </c>
      <c r="B39" s="29" t="n">
        <v>977475.0936561638</v>
      </c>
    </row>
    <row r="40">
      <c r="A40" s="42" t="n">
        <v>35</v>
      </c>
      <c r="B40" s="31" t="n">
        <v>976239.5096311898</v>
      </c>
    </row>
    <row r="41">
      <c r="A41" s="42" t="n">
        <v>36</v>
      </c>
      <c r="B41" s="29" t="n">
        <v>974933.8769520889</v>
      </c>
    </row>
    <row r="42">
      <c r="A42" s="42" t="n">
        <v>37</v>
      </c>
      <c r="B42" s="31" t="n">
        <v>973545.4161280085</v>
      </c>
    </row>
    <row r="43">
      <c r="A43" s="42" t="n">
        <v>38</v>
      </c>
      <c r="B43" s="29" t="n">
        <v>972068.6250923177</v>
      </c>
    </row>
    <row r="44">
      <c r="A44" s="42" t="n">
        <v>39</v>
      </c>
      <c r="B44" s="31" t="n">
        <v>970491.5454117864</v>
      </c>
    </row>
    <row r="45">
      <c r="A45" s="42" t="n">
        <v>40</v>
      </c>
      <c r="B45" s="29" t="n">
        <v>968796.1978129927</v>
      </c>
    </row>
    <row r="46">
      <c r="A46" s="42" t="n">
        <v>41</v>
      </c>
      <c r="B46" s="31" t="n">
        <v>966965.4420451678</v>
      </c>
    </row>
    <row r="47">
      <c r="A47" s="42" t="n">
        <v>42</v>
      </c>
      <c r="B47" s="29" t="n">
        <v>964970.4359702753</v>
      </c>
    </row>
    <row r="48">
      <c r="A48" s="42" t="n">
        <v>43</v>
      </c>
      <c r="B48" s="31" t="n">
        <v>962808.356851266</v>
      </c>
    </row>
    <row r="49">
      <c r="A49" s="42" t="n">
        <v>44</v>
      </c>
      <c r="B49" s="29" t="n">
        <v>960464.3021750648</v>
      </c>
    </row>
    <row r="50">
      <c r="A50" s="42" t="n">
        <v>45</v>
      </c>
      <c r="B50" s="31" t="n">
        <v>957929.8550443521</v>
      </c>
    </row>
    <row r="51">
      <c r="A51" s="42" t="n">
        <v>46</v>
      </c>
      <c r="B51" s="29" t="n">
        <v>955196.7953771312</v>
      </c>
    </row>
    <row r="52">
      <c r="A52" s="42" t="n">
        <v>47</v>
      </c>
      <c r="B52" s="31" t="n">
        <v>952268.3988455399</v>
      </c>
    </row>
    <row r="53">
      <c r="A53" s="42" t="n">
        <v>48</v>
      </c>
      <c r="B53" s="29" t="n">
        <v>949153.1041198076</v>
      </c>
    </row>
    <row r="54">
      <c r="A54" s="42" t="n">
        <v>49</v>
      </c>
      <c r="B54" s="31" t="n">
        <v>945858.7620596468</v>
      </c>
    </row>
    <row r="55">
      <c r="A55" s="42" t="n">
        <v>50</v>
      </c>
      <c r="B55" s="29" t="n">
        <v>942387.2896182751</v>
      </c>
    </row>
    <row r="56">
      <c r="A56" s="42" t="n">
        <v>51</v>
      </c>
      <c r="B56" s="31" t="n">
        <v>938740.3591568203</v>
      </c>
    </row>
    <row r="57">
      <c r="A57" s="42" t="n">
        <v>52</v>
      </c>
      <c r="B57" s="29" t="n">
        <v>934903.4713633411</v>
      </c>
    </row>
    <row r="58">
      <c r="A58" s="42" t="n">
        <v>53</v>
      </c>
      <c r="B58" s="31" t="n">
        <v>930867.6619798148</v>
      </c>
    </row>
    <row r="59">
      <c r="A59" s="42" t="n">
        <v>54</v>
      </c>
      <c r="B59" s="29" t="n">
        <v>926624.0395364049</v>
      </c>
    </row>
    <row r="60">
      <c r="A60" s="42" t="n">
        <v>55</v>
      </c>
      <c r="B60" s="31" t="n">
        <v>922158.6200441569</v>
      </c>
    </row>
    <row r="61">
      <c r="A61" s="42" t="n">
        <v>56</v>
      </c>
      <c r="B61" s="29" t="n">
        <v>917467.7334652826</v>
      </c>
    </row>
    <row r="62">
      <c r="A62" s="42" t="n">
        <v>57</v>
      </c>
      <c r="B62" s="31" t="n">
        <v>912551.0665007401</v>
      </c>
    </row>
    <row r="63">
      <c r="A63" s="42" t="n">
        <v>58</v>
      </c>
      <c r="B63" s="29" t="n">
        <v>907329.4474470274</v>
      </c>
    </row>
    <row r="64">
      <c r="A64" s="42" t="n">
        <v>59</v>
      </c>
      <c r="B64" s="31" t="n">
        <v>901760.3827813719</v>
      </c>
    </row>
    <row r="65">
      <c r="A65" s="42" t="n">
        <v>60</v>
      </c>
      <c r="B65" s="29" t="n">
        <v>895756.9148621296</v>
      </c>
    </row>
    <row r="66">
      <c r="A66" s="42" t="n">
        <v>61</v>
      </c>
      <c r="B66" s="31" t="n">
        <v>889311.5923529462</v>
      </c>
    </row>
    <row r="67">
      <c r="A67" s="42" t="n">
        <v>62</v>
      </c>
      <c r="B67" s="29" t="n">
        <v>882341.0159223319</v>
      </c>
    </row>
    <row r="68">
      <c r="A68" s="42" t="n">
        <v>63</v>
      </c>
      <c r="B68" s="31" t="n">
        <v>874835.2593402562</v>
      </c>
    </row>
    <row r="69">
      <c r="A69" s="42" t="n">
        <v>64</v>
      </c>
      <c r="B69" s="29" t="n">
        <v>866785.178460793</v>
      </c>
    </row>
    <row r="70">
      <c r="A70" s="42" t="n">
        <v>65</v>
      </c>
      <c r="B70" s="31" t="n">
        <v>858105.1903777327</v>
      </c>
    </row>
    <row r="71">
      <c r="A71" s="42" t="n">
        <v>66</v>
      </c>
      <c r="B71" s="29" t="n">
        <v>848789.6664344108</v>
      </c>
    </row>
    <row r="72">
      <c r="A72" s="42" t="n">
        <v>67</v>
      </c>
      <c r="B72" s="31" t="n">
        <v>838824.994001731</v>
      </c>
    </row>
    <row r="73">
      <c r="A73" s="42" t="n">
        <v>68</v>
      </c>
      <c r="B73" s="29" t="n">
        <v>828263.9255175622</v>
      </c>
    </row>
    <row r="74">
      <c r="A74" s="42" t="n">
        <v>69</v>
      </c>
      <c r="B74" s="31" t="n">
        <v>817076.1504951412</v>
      </c>
    </row>
    <row r="75">
      <c r="A75" s="42" t="n">
        <v>70</v>
      </c>
      <c r="B75" s="29" t="n">
        <v>805234.910426273</v>
      </c>
    </row>
    <row r="76">
      <c r="A76" s="42" t="n">
        <v>71</v>
      </c>
      <c r="B76" s="31" t="n">
        <v>792705.8615211322</v>
      </c>
    </row>
    <row r="77">
      <c r="A77" s="42" t="n">
        <v>72</v>
      </c>
      <c r="B77" s="29" t="n">
        <v>779457.1758660373</v>
      </c>
    </row>
    <row r="78">
      <c r="A78" s="42" t="n">
        <v>73</v>
      </c>
      <c r="B78" s="31" t="n">
        <v>765474.658017028</v>
      </c>
    </row>
    <row r="79">
      <c r="A79" s="42" t="n">
        <v>74</v>
      </c>
      <c r="B79" s="29" t="n">
        <v>750740.155511014</v>
      </c>
    </row>
    <row r="80">
      <c r="A80" s="42" t="n">
        <v>75</v>
      </c>
      <c r="B80" s="31" t="n">
        <v>735230.9586910879</v>
      </c>
    </row>
    <row r="81">
      <c r="A81" s="42" t="n">
        <v>76</v>
      </c>
      <c r="B81" s="29" t="n">
        <v>718908.4638333141</v>
      </c>
    </row>
    <row r="82">
      <c r="A82" s="42" t="n">
        <v>77</v>
      </c>
      <c r="B82" s="31" t="n">
        <v>701727.3170780392</v>
      </c>
    </row>
    <row r="83">
      <c r="A83" s="42" t="n">
        <v>78</v>
      </c>
      <c r="B83" s="29" t="n">
        <v>683655.1182588107</v>
      </c>
    </row>
    <row r="84">
      <c r="A84" s="42" t="n">
        <v>79</v>
      </c>
      <c r="B84" s="31" t="n">
        <v>664639.3132088549</v>
      </c>
    </row>
    <row r="85">
      <c r="A85" s="42" t="n">
        <v>80</v>
      </c>
      <c r="B85" s="29" t="n">
        <v>644582.2493639933</v>
      </c>
    </row>
    <row r="86">
      <c r="A86" s="42" t="n">
        <v>81</v>
      </c>
      <c r="B86" s="31" t="n">
        <v>623367.6145097858</v>
      </c>
    </row>
    <row r="87">
      <c r="A87" s="42" t="n">
        <v>82</v>
      </c>
      <c r="B87" s="29" t="n">
        <v>600904.5291320694</v>
      </c>
    </row>
    <row r="88">
      <c r="A88" s="42" t="n">
        <v>83</v>
      </c>
      <c r="B88" s="31" t="n">
        <v>577171.3437764875</v>
      </c>
    </row>
    <row r="89">
      <c r="A89" s="42" t="n">
        <v>84</v>
      </c>
      <c r="B89" s="29" t="n">
        <v>552228.263275241</v>
      </c>
    </row>
    <row r="90">
      <c r="A90" s="42" t="n">
        <v>85</v>
      </c>
      <c r="B90" s="31" t="n">
        <v>526202.0960748303</v>
      </c>
    </row>
    <row r="91">
      <c r="A91" s="42" t="n">
        <v>86</v>
      </c>
      <c r="B91" s="29" t="n">
        <v>499208.8304473678</v>
      </c>
    </row>
    <row r="92">
      <c r="A92" s="42" t="n">
        <v>87</v>
      </c>
      <c r="B92" s="31" t="n">
        <v>471364.6650667443</v>
      </c>
    </row>
    <row r="93">
      <c r="A93" s="42" t="n">
        <v>88</v>
      </c>
      <c r="B93" s="29" t="n">
        <v>442823.4204345225</v>
      </c>
    </row>
    <row r="94">
      <c r="A94" s="42" t="n">
        <v>89</v>
      </c>
      <c r="B94" s="31" t="n">
        <v>413768.8203948924</v>
      </c>
    </row>
    <row r="95">
      <c r="A95" s="42" t="n">
        <v>90</v>
      </c>
      <c r="B95" s="29" t="n">
        <v>384431.3087739139</v>
      </c>
    </row>
    <row r="96">
      <c r="A96" s="42" t="n">
        <v>91</v>
      </c>
      <c r="B96" s="31" t="n">
        <v>355057.2462983868</v>
      </c>
    </row>
    <row r="97">
      <c r="A97" s="42" t="n">
        <v>92</v>
      </c>
      <c r="B97" s="29" t="n">
        <v>324274.8203705728</v>
      </c>
    </row>
    <row r="98">
      <c r="A98" s="42" t="n">
        <v>93</v>
      </c>
      <c r="B98" s="31" t="n">
        <v>290521.5963851623</v>
      </c>
    </row>
    <row r="99">
      <c r="A99" s="42" t="n">
        <v>94</v>
      </c>
      <c r="B99" s="29" t="n">
        <v>254286.8123013034</v>
      </c>
    </row>
    <row r="100">
      <c r="A100" s="42" t="n">
        <v>95</v>
      </c>
      <c r="B100" s="31" t="n">
        <v>216373.5056025954</v>
      </c>
    </row>
    <row r="101">
      <c r="A101" s="42" t="n">
        <v>96</v>
      </c>
      <c r="B101" s="29" t="n">
        <v>177917.6103842775</v>
      </c>
    </row>
    <row r="102">
      <c r="A102" s="42" t="n">
        <v>97</v>
      </c>
      <c r="B102" s="31" t="n">
        <v>140351.4622868348</v>
      </c>
    </row>
    <row r="103">
      <c r="A103" s="42" t="n">
        <v>98</v>
      </c>
      <c r="B103" s="29" t="n">
        <v>105287.9145650584</v>
      </c>
    </row>
    <row r="104">
      <c r="A104" s="42" t="n">
        <v>99</v>
      </c>
      <c r="B104" s="31" t="n">
        <v>74314.63703889944</v>
      </c>
    </row>
    <row r="105">
      <c r="A105" s="42" t="n">
        <v>100</v>
      </c>
      <c r="B105" s="29" t="n">
        <v>48718.47840426928</v>
      </c>
    </row>
    <row r="106">
      <c r="A106" s="42" t="n">
        <v>101</v>
      </c>
      <c r="B106" s="31" t="n">
        <v>29203.59882069629</v>
      </c>
    </row>
    <row r="107">
      <c r="A107" s="42" t="n">
        <v>102</v>
      </c>
      <c r="B107" s="29" t="n">
        <v>15705.81491669737</v>
      </c>
    </row>
    <row r="108">
      <c r="A108" s="42" t="n">
        <v>103</v>
      </c>
      <c r="B108" s="31" t="n">
        <v>7405.883675041341</v>
      </c>
    </row>
    <row r="109">
      <c r="A109" s="42" t="n">
        <v>104</v>
      </c>
      <c r="B109" s="29" t="n">
        <v>2977.685159132181</v>
      </c>
    </row>
    <row r="110">
      <c r="A110" s="42" t="n">
        <v>105</v>
      </c>
      <c r="B110" s="31" t="n">
        <v>986.9443547328184</v>
      </c>
    </row>
    <row r="111">
      <c r="A111" s="42" t="n">
        <v>106</v>
      </c>
      <c r="B111" s="29" t="n">
        <v>0</v>
      </c>
    </row>
    <row r="112">
      <c r="A112" s="42" t="n">
        <v>107</v>
      </c>
      <c r="B112" s="31" t="n">
        <v>0</v>
      </c>
    </row>
    <row r="113">
      <c r="A113" s="42" t="n">
        <v>108</v>
      </c>
      <c r="B113" s="29" t="n">
        <v>0</v>
      </c>
    </row>
    <row r="114">
      <c r="A114" s="42" t="n">
        <v>109</v>
      </c>
      <c r="B114" s="31" t="n">
        <v>0</v>
      </c>
    </row>
    <row r="115">
      <c r="A115" s="42" t="n">
        <v>110</v>
      </c>
      <c r="B115" s="29" t="n">
        <v>0</v>
      </c>
    </row>
  </sheetData>
  <pageMargins left="0.75" right="0.75" top="1" bottom="1" header="0.5" footer="0.5"/>
  <pageSetup orientation="landscape" fitToHeight="0" fitToWidth="1"/>
</worksheet>
</file>

<file path=xl/worksheets/sheet55.xml><?xml version="1.0" encoding="utf-8"?>
<worksheet xmlns="http://schemas.openxmlformats.org/spreadsheetml/2006/main">
  <sheetPr>
    <tabColor rgb="00EFAC62"/>
    <outlinePr summaryBelow="1" summaryRight="1"/>
    <pageSetUpPr fitToPage="1"/>
  </sheetPr>
  <dimension ref="A1:T8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22" customWidth="1" min="3" max="3"/>
    <col width="18" customWidth="1" min="4" max="4"/>
    <col width="30" customWidth="1" min="5" max="5"/>
    <col width="10" customWidth="1" min="6" max="6"/>
    <col width="12" customWidth="1" min="7" max="7"/>
    <col width="15" customWidth="1" min="8" max="8"/>
    <col width="9" customWidth="1" min="9" max="9"/>
    <col width="14" customWidth="1" min="10" max="10"/>
    <col width="9" customWidth="1" min="11" max="11"/>
    <col width="11" customWidth="1" min="12" max="12"/>
    <col width="10" customWidth="1" min="13" max="13"/>
    <col width="15" customWidth="1" min="14" max="14"/>
    <col width="15" customWidth="1" min="15" max="15"/>
    <col width="10" customWidth="1" min="16" max="16"/>
    <col width="10" customWidth="1" min="17" max="17"/>
    <col width="10" customWidth="1" min="18" max="18"/>
    <col width="11" customWidth="1" min="19" max="19"/>
    <col width="16" customWidth="1" min="20" max="20"/>
  </cols>
  <sheetData>
    <row r="1">
      <c r="A1" s="5" t="inlineStr">
        <is>
          <t>PIDR agent par agent au 31/12/2025 (méthode des unités de crédit projetées)</t>
        </is>
      </c>
      <c r="B1" s="50" t="n"/>
      <c r="C1" s="50" t="n"/>
      <c r="D1" s="50" t="n"/>
      <c r="E1" s="50" t="n"/>
      <c r="F1" s="50" t="n"/>
      <c r="G1" s="50" t="n"/>
      <c r="H1" s="50" t="n"/>
      <c r="I1" s="50" t="n"/>
      <c r="J1" s="50" t="n"/>
      <c r="K1" s="50" t="n"/>
      <c r="L1" s="50" t="n"/>
      <c r="M1" s="50" t="n"/>
      <c r="N1" s="50" t="n"/>
      <c r="O1" s="50" t="n"/>
      <c r="P1" s="50" t="n"/>
      <c r="Q1" s="50" t="n"/>
      <c r="R1" s="50" t="n"/>
      <c r="S1" s="50" t="n"/>
      <c r="T1" s="50" t="n"/>
    </row>
    <row r="2">
      <c r="A2" s="15" t="inlineStr">
        <is>
          <t>Source : DISA_256927_2025.xls (CNPS) ; rattachement : ETAT 301 &amp; DISA 2024 FPPN.xls (RECAPSALAIRES 2024 CMP) et ETAT 301 &amp; DISA 2025 FPPN.xls (RECAPSALAIRES 2025 GRENIER) ; paramètres : onglet 14a</t>
        </is>
      </c>
      <c r="B2" s="50" t="n"/>
      <c r="C2" s="50" t="n"/>
      <c r="D2" s="50" t="n"/>
      <c r="E2" s="50" t="n"/>
      <c r="F2" s="50" t="n"/>
      <c r="G2" s="50" t="n"/>
      <c r="H2" s="50" t="n"/>
      <c r="I2" s="50" t="n"/>
      <c r="J2" s="50" t="n"/>
      <c r="K2" s="50" t="n"/>
      <c r="L2" s="50" t="n"/>
      <c r="M2" s="50" t="n"/>
      <c r="N2" s="50" t="n"/>
      <c r="O2" s="50" t="n"/>
      <c r="P2" s="50" t="n"/>
      <c r="Q2" s="50" t="n"/>
      <c r="R2" s="50" t="n"/>
      <c r="S2" s="50" t="n"/>
      <c r="T2" s="50" t="n"/>
    </row>
    <row r="3">
      <c r="A3" s="50" t="n"/>
      <c r="B3" s="50" t="n"/>
      <c r="C3" s="50" t="n"/>
      <c r="D3" s="50" t="n"/>
      <c r="E3" s="50" t="n"/>
      <c r="F3" s="50" t="n"/>
      <c r="G3" s="50" t="n"/>
      <c r="H3" s="50" t="n"/>
      <c r="I3" s="50" t="n"/>
      <c r="J3" s="50" t="n"/>
      <c r="K3" s="50" t="n"/>
      <c r="L3" s="50" t="n"/>
      <c r="M3" s="50" t="n"/>
      <c r="N3" s="50" t="n"/>
      <c r="O3" s="50" t="n"/>
      <c r="P3" s="50" t="n"/>
      <c r="Q3" s="50" t="n"/>
      <c r="R3" s="50" t="n"/>
      <c r="S3" s="50" t="n"/>
      <c r="T3" s="50" t="n"/>
    </row>
    <row r="4">
      <c r="A4" s="8" t="inlineStr">
        <is>
          <t>Identifiant</t>
        </is>
      </c>
      <c r="B4" s="8" t="inlineStr">
        <is>
          <t>Nom</t>
        </is>
      </c>
      <c r="C4" s="8" t="inlineStr">
        <is>
          <t>Prénom</t>
        </is>
      </c>
      <c r="D4" s="8" t="inlineStr">
        <is>
          <t>Entité</t>
        </is>
      </c>
      <c r="E4" s="8" t="inlineStr">
        <is>
          <t>Rattachement (source)</t>
        </is>
      </c>
      <c r="F4" s="8" t="inlineStr">
        <is>
          <t>Année de naissance</t>
        </is>
      </c>
      <c r="G4" s="8" t="inlineStr">
        <is>
          <t>Date d'embauche</t>
        </is>
      </c>
      <c r="H4" s="8" t="inlineStr">
        <is>
          <t>Salaire brut annuel</t>
        </is>
      </c>
      <c r="I4" s="8" t="inlineStr">
        <is>
          <t>Mois travaillés</t>
        </is>
      </c>
      <c r="J4" s="8" t="inlineStr">
        <is>
          <t>Salaire mensuel moyen</t>
        </is>
      </c>
      <c r="K4" s="8" t="inlineStr">
        <is>
          <t>Âge au 31/12/2025</t>
        </is>
      </c>
      <c r="L4" s="8" t="inlineStr">
        <is>
          <t>Ancienneté (années)</t>
        </is>
      </c>
      <c r="M4" s="8" t="inlineStr">
        <is>
          <t>Années avant le départ</t>
        </is>
      </c>
      <c r="N4" s="8" t="inlineStr">
        <is>
          <t>Indemnité acquise</t>
        </is>
      </c>
      <c r="O4" s="8" t="inlineStr">
        <is>
          <t>Indemnité projetée au départ</t>
        </is>
      </c>
      <c r="P4" s="8" t="inlineStr">
        <is>
          <t>Prorata des droits</t>
        </is>
      </c>
      <c r="Q4" s="8" t="inlineStr">
        <is>
          <t>Probabilité de survie</t>
        </is>
      </c>
      <c r="R4" s="8" t="inlineStr">
        <is>
          <t>Facteur de rotation</t>
        </is>
      </c>
      <c r="S4" s="8" t="inlineStr">
        <is>
          <t>Facteur d'actualisation</t>
        </is>
      </c>
      <c r="T4" s="8" t="inlineStr">
        <is>
          <t>PIDR (unités de crédit projetées)</t>
        </is>
      </c>
    </row>
    <row r="5">
      <c r="A5" s="27" t="inlineStr">
        <is>
          <t>A25-01</t>
        </is>
      </c>
      <c r="B5" s="28" t="inlineStr">
        <is>
          <t>MAMADOU</t>
        </is>
      </c>
      <c r="C5" s="28" t="inlineStr">
        <is>
          <t>SANGARE BOUREIMA</t>
        </is>
      </c>
      <c r="D5" s="28" t="inlineStr">
        <is>
          <t>Direction Générale</t>
        </is>
      </c>
      <c r="E5" s="28" t="inlineStr">
        <is>
          <t>RECAPSALAIRES 2024, hors listes CMP et Grenier</t>
        </is>
      </c>
      <c r="F5" s="43" t="n">
        <v>1975</v>
      </c>
      <c r="G5" s="54" t="n">
        <v>41575</v>
      </c>
      <c r="H5" s="29" t="n">
        <v>14812473</v>
      </c>
      <c r="I5" s="43" t="n">
        <v>12</v>
      </c>
      <c r="J5" s="29">
        <f>IF(I5&gt;0,H5/I5,0)</f>
        <v/>
      </c>
      <c r="K5" s="35">
        <f>YEAR('14a_pidr_parametres'!$B$5)-F5</f>
        <v/>
      </c>
      <c r="L5" s="37">
        <f>MAX(DATEDIF(G5,'14a_pidr_parametres'!$B$5,"m"),0)/12</f>
        <v/>
      </c>
      <c r="M5" s="35">
        <f>MAX('14a_pidr_parametres'!$B$6-K5,0)</f>
        <v/>
      </c>
      <c r="N5" s="29">
        <f>J5*(0.3*MIN(L5,5)+0.35*MIN(MAX(L5-5,0),5)+0.4*MAX(L5-10,0))</f>
        <v/>
      </c>
      <c r="O5" s="29">
        <f>J5*(1+'14a_pidr_parametres'!$B$8)^M5*(0.3*MIN((L5+M5),5)+0.35*MIN(MAX((L5+M5)-5,0),5)+0.4*MAX((L5+M5)-10,0))</f>
        <v/>
      </c>
      <c r="P5" s="55">
        <f>IF(L5+M5&gt;0,L5/(L5+M5),0)</f>
        <v/>
      </c>
      <c r="Q5" s="55">
        <f>VLOOKUP(K5+M5,'14t_table_cima_f'!$A$5:$B$115,2,0)/VLOOKUP(K5,'14t_table_cima_f'!$A$5:$B$115,2,0)</f>
        <v/>
      </c>
      <c r="R5" s="55">
        <f>(1-'14a_pidr_parametres'!$B$9)^M5</f>
        <v/>
      </c>
      <c r="S5" s="55">
        <f>(1+'14a_pidr_parametres'!$B$7)^-M5</f>
        <v/>
      </c>
      <c r="T5" s="29">
        <f>O5*P5*Q5*R5*S5</f>
        <v/>
      </c>
    </row>
    <row r="6">
      <c r="A6" s="27" t="inlineStr">
        <is>
          <t>A25-02</t>
        </is>
      </c>
      <c r="B6" s="30" t="inlineStr">
        <is>
          <t>SOUMAHORO</t>
        </is>
      </c>
      <c r="C6" s="30" t="inlineStr">
        <is>
          <t>MEMON</t>
        </is>
      </c>
      <c r="D6" s="30" t="inlineStr">
        <is>
          <t>Direction Générale</t>
        </is>
      </c>
      <c r="E6" s="30" t="inlineStr">
        <is>
          <t>RECAPSALAIRES 2024, hors listes CMP et Grenier</t>
        </is>
      </c>
      <c r="F6" s="45" t="n">
        <v>1974</v>
      </c>
      <c r="G6" s="56" t="n">
        <v>41575</v>
      </c>
      <c r="H6" s="31" t="n">
        <v>7407952</v>
      </c>
      <c r="I6" s="45" t="n">
        <v>12</v>
      </c>
      <c r="J6" s="31">
        <f>IF(I6&gt;0,H6/I6,0)</f>
        <v/>
      </c>
      <c r="K6" s="36">
        <f>YEAR('14a_pidr_parametres'!$B$5)-F6</f>
        <v/>
      </c>
      <c r="L6" s="38">
        <f>MAX(DATEDIF(G6,'14a_pidr_parametres'!$B$5,"m"),0)/12</f>
        <v/>
      </c>
      <c r="M6" s="36">
        <f>MAX('14a_pidr_parametres'!$B$6-K6,0)</f>
        <v/>
      </c>
      <c r="N6" s="31">
        <f>J6*(0.3*MIN(L6,5)+0.35*MIN(MAX(L6-5,0),5)+0.4*MAX(L6-10,0))</f>
        <v/>
      </c>
      <c r="O6" s="31">
        <f>J6*(1+'14a_pidr_parametres'!$B$8)^M6*(0.3*MIN((L6+M6),5)+0.35*MIN(MAX((L6+M6)-5,0),5)+0.4*MAX((L6+M6)-10,0))</f>
        <v/>
      </c>
      <c r="P6" s="57">
        <f>IF(L6+M6&gt;0,L6/(L6+M6),0)</f>
        <v/>
      </c>
      <c r="Q6" s="57">
        <f>VLOOKUP(K6+M6,'14t_table_cima_f'!$A$5:$B$115,2,0)/VLOOKUP(K6,'14t_table_cima_f'!$A$5:$B$115,2,0)</f>
        <v/>
      </c>
      <c r="R6" s="57">
        <f>(1-'14a_pidr_parametres'!$B$9)^M6</f>
        <v/>
      </c>
      <c r="S6" s="57">
        <f>(1+'14a_pidr_parametres'!$B$7)^-M6</f>
        <v/>
      </c>
      <c r="T6" s="31">
        <f>O6*P6*Q6*R6*S6</f>
        <v/>
      </c>
    </row>
    <row r="7">
      <c r="A7" s="27" t="inlineStr">
        <is>
          <t>A25-03</t>
        </is>
      </c>
      <c r="B7" s="28" t="inlineStr">
        <is>
          <t>SANOGO</t>
        </is>
      </c>
      <c r="C7" s="28" t="inlineStr">
        <is>
          <t>NIERRE DIENEBA</t>
        </is>
      </c>
      <c r="D7" s="28" t="inlineStr">
        <is>
          <t>Direction Générale</t>
        </is>
      </c>
      <c r="E7" s="28" t="inlineStr">
        <is>
          <t>RECAPSALAIRES 2024, hors listes CMP et Grenier</t>
        </is>
      </c>
      <c r="F7" s="43" t="n">
        <v>1978</v>
      </c>
      <c r="G7" s="54" t="n">
        <v>41575</v>
      </c>
      <c r="H7" s="29" t="n">
        <v>3559409</v>
      </c>
      <c r="I7" s="43" t="n">
        <v>12</v>
      </c>
      <c r="J7" s="29">
        <f>IF(I7&gt;0,H7/I7,0)</f>
        <v/>
      </c>
      <c r="K7" s="35">
        <f>YEAR('14a_pidr_parametres'!$B$5)-F7</f>
        <v/>
      </c>
      <c r="L7" s="37">
        <f>MAX(DATEDIF(G7,'14a_pidr_parametres'!$B$5,"m"),0)/12</f>
        <v/>
      </c>
      <c r="M7" s="35">
        <f>MAX('14a_pidr_parametres'!$B$6-K7,0)</f>
        <v/>
      </c>
      <c r="N7" s="29">
        <f>J7*(0.3*MIN(L7,5)+0.35*MIN(MAX(L7-5,0),5)+0.4*MAX(L7-10,0))</f>
        <v/>
      </c>
      <c r="O7" s="29">
        <f>J7*(1+'14a_pidr_parametres'!$B$8)^M7*(0.3*MIN((L7+M7),5)+0.35*MIN(MAX((L7+M7)-5,0),5)+0.4*MAX((L7+M7)-10,0))</f>
        <v/>
      </c>
      <c r="P7" s="55">
        <f>IF(L7+M7&gt;0,L7/(L7+M7),0)</f>
        <v/>
      </c>
      <c r="Q7" s="55">
        <f>VLOOKUP(K7+M7,'14t_table_cima_f'!$A$5:$B$115,2,0)/VLOOKUP(K7,'14t_table_cima_f'!$A$5:$B$115,2,0)</f>
        <v/>
      </c>
      <c r="R7" s="55">
        <f>(1-'14a_pidr_parametres'!$B$9)^M7</f>
        <v/>
      </c>
      <c r="S7" s="55">
        <f>(1+'14a_pidr_parametres'!$B$7)^-M7</f>
        <v/>
      </c>
      <c r="T7" s="29">
        <f>O7*P7*Q7*R7*S7</f>
        <v/>
      </c>
    </row>
    <row r="8">
      <c r="A8" s="27" t="inlineStr">
        <is>
          <t>A25-04</t>
        </is>
      </c>
      <c r="B8" s="30" t="inlineStr">
        <is>
          <t>KOFFI</t>
        </is>
      </c>
      <c r="C8" s="30" t="inlineStr">
        <is>
          <t>DIBY CLEMENT</t>
        </is>
      </c>
      <c r="D8" s="30" t="inlineStr">
        <is>
          <t>Direction Générale</t>
        </is>
      </c>
      <c r="E8" s="30" t="inlineStr">
        <is>
          <t>RECAPSALAIRES 2024, hors listes CMP et Grenier</t>
        </is>
      </c>
      <c r="F8" s="45" t="n">
        <v>1978</v>
      </c>
      <c r="G8" s="56" t="n">
        <v>41913</v>
      </c>
      <c r="H8" s="31" t="n">
        <v>16093074</v>
      </c>
      <c r="I8" s="45" t="n">
        <v>12</v>
      </c>
      <c r="J8" s="31">
        <f>IF(I8&gt;0,H8/I8,0)</f>
        <v/>
      </c>
      <c r="K8" s="36">
        <f>YEAR('14a_pidr_parametres'!$B$5)-F8</f>
        <v/>
      </c>
      <c r="L8" s="38">
        <f>MAX(DATEDIF(G8,'14a_pidr_parametres'!$B$5,"m"),0)/12</f>
        <v/>
      </c>
      <c r="M8" s="36">
        <f>MAX('14a_pidr_parametres'!$B$6-K8,0)</f>
        <v/>
      </c>
      <c r="N8" s="31">
        <f>J8*(0.3*MIN(L8,5)+0.35*MIN(MAX(L8-5,0),5)+0.4*MAX(L8-10,0))</f>
        <v/>
      </c>
      <c r="O8" s="31">
        <f>J8*(1+'14a_pidr_parametres'!$B$8)^M8*(0.3*MIN((L8+M8),5)+0.35*MIN(MAX((L8+M8)-5,0),5)+0.4*MAX((L8+M8)-10,0))</f>
        <v/>
      </c>
      <c r="P8" s="57">
        <f>IF(L8+M8&gt;0,L8/(L8+M8),0)</f>
        <v/>
      </c>
      <c r="Q8" s="57">
        <f>VLOOKUP(K8+M8,'14t_table_cima_f'!$A$5:$B$115,2,0)/VLOOKUP(K8,'14t_table_cima_f'!$A$5:$B$115,2,0)</f>
        <v/>
      </c>
      <c r="R8" s="57">
        <f>(1-'14a_pidr_parametres'!$B$9)^M8</f>
        <v/>
      </c>
      <c r="S8" s="57">
        <f>(1+'14a_pidr_parametres'!$B$7)^-M8</f>
        <v/>
      </c>
      <c r="T8" s="31">
        <f>O8*P8*Q8*R8*S8</f>
        <v/>
      </c>
    </row>
    <row r="9">
      <c r="A9" s="27" t="inlineStr">
        <is>
          <t>A25-05</t>
        </is>
      </c>
      <c r="B9" s="28" t="inlineStr">
        <is>
          <t>SORO</t>
        </is>
      </c>
      <c r="C9" s="28" t="inlineStr">
        <is>
          <t>KOLOTIOLOMA MOUSSA</t>
        </is>
      </c>
      <c r="D9" s="28" t="inlineStr">
        <is>
          <t>Direction Générale</t>
        </is>
      </c>
      <c r="E9" s="28" t="inlineStr">
        <is>
          <t>RECAPSALAIRES 2024, hors listes CMP et Grenier</t>
        </is>
      </c>
      <c r="F9" s="43" t="n">
        <v>1982</v>
      </c>
      <c r="G9" s="54" t="n">
        <v>41640</v>
      </c>
      <c r="H9" s="29" t="n">
        <v>8124410</v>
      </c>
      <c r="I9" s="43" t="n">
        <v>12</v>
      </c>
      <c r="J9" s="29">
        <f>IF(I9&gt;0,H9/I9,0)</f>
        <v/>
      </c>
      <c r="K9" s="35">
        <f>YEAR('14a_pidr_parametres'!$B$5)-F9</f>
        <v/>
      </c>
      <c r="L9" s="37">
        <f>MAX(DATEDIF(G9,'14a_pidr_parametres'!$B$5,"m"),0)/12</f>
        <v/>
      </c>
      <c r="M9" s="35">
        <f>MAX('14a_pidr_parametres'!$B$6-K9,0)</f>
        <v/>
      </c>
      <c r="N9" s="29">
        <f>J9*(0.3*MIN(L9,5)+0.35*MIN(MAX(L9-5,0),5)+0.4*MAX(L9-10,0))</f>
        <v/>
      </c>
      <c r="O9" s="29">
        <f>J9*(1+'14a_pidr_parametres'!$B$8)^M9*(0.3*MIN((L9+M9),5)+0.35*MIN(MAX((L9+M9)-5,0),5)+0.4*MAX((L9+M9)-10,0))</f>
        <v/>
      </c>
      <c r="P9" s="55">
        <f>IF(L9+M9&gt;0,L9/(L9+M9),0)</f>
        <v/>
      </c>
      <c r="Q9" s="55">
        <f>VLOOKUP(K9+M9,'14t_table_cima_f'!$A$5:$B$115,2,0)/VLOOKUP(K9,'14t_table_cima_f'!$A$5:$B$115,2,0)</f>
        <v/>
      </c>
      <c r="R9" s="55">
        <f>(1-'14a_pidr_parametres'!$B$9)^M9</f>
        <v/>
      </c>
      <c r="S9" s="55">
        <f>(1+'14a_pidr_parametres'!$B$7)^-M9</f>
        <v/>
      </c>
      <c r="T9" s="29">
        <f>O9*P9*Q9*R9*S9</f>
        <v/>
      </c>
    </row>
    <row r="10">
      <c r="A10" s="27" t="inlineStr">
        <is>
          <t>A25-06</t>
        </is>
      </c>
      <c r="B10" s="30" t="inlineStr">
        <is>
          <t>ATSE</t>
        </is>
      </c>
      <c r="C10" s="30" t="inlineStr">
        <is>
          <t>OSSE HERVE</t>
        </is>
      </c>
      <c r="D10" s="30" t="inlineStr">
        <is>
          <t>Grenier</t>
        </is>
      </c>
      <c r="E10" s="30" t="inlineStr">
        <is>
          <t>RECAPSALAIRES 2025 GRENIER</t>
        </is>
      </c>
      <c r="F10" s="45" t="n">
        <v>1979</v>
      </c>
      <c r="G10" s="56" t="n">
        <v>41640</v>
      </c>
      <c r="H10" s="31" t="n">
        <v>7223290</v>
      </c>
      <c r="I10" s="45" t="n">
        <v>12</v>
      </c>
      <c r="J10" s="31">
        <f>IF(I10&gt;0,H10/I10,0)</f>
        <v/>
      </c>
      <c r="K10" s="36">
        <f>YEAR('14a_pidr_parametres'!$B$5)-F10</f>
        <v/>
      </c>
      <c r="L10" s="38">
        <f>MAX(DATEDIF(G10,'14a_pidr_parametres'!$B$5,"m"),0)/12</f>
        <v/>
      </c>
      <c r="M10" s="36">
        <f>MAX('14a_pidr_parametres'!$B$6-K10,0)</f>
        <v/>
      </c>
      <c r="N10" s="31">
        <f>J10*(0.3*MIN(L10,5)+0.35*MIN(MAX(L10-5,0),5)+0.4*MAX(L10-10,0))</f>
        <v/>
      </c>
      <c r="O10" s="31">
        <f>J10*(1+'14a_pidr_parametres'!$B$8)^M10*(0.3*MIN((L10+M10),5)+0.35*MIN(MAX((L10+M10)-5,0),5)+0.4*MAX((L10+M10)-10,0))</f>
        <v/>
      </c>
      <c r="P10" s="57">
        <f>IF(L10+M10&gt;0,L10/(L10+M10),0)</f>
        <v/>
      </c>
      <c r="Q10" s="57">
        <f>VLOOKUP(K10+M10,'14t_table_cima_f'!$A$5:$B$115,2,0)/VLOOKUP(K10,'14t_table_cima_f'!$A$5:$B$115,2,0)</f>
        <v/>
      </c>
      <c r="R10" s="57">
        <f>(1-'14a_pidr_parametres'!$B$9)^M10</f>
        <v/>
      </c>
      <c r="S10" s="57">
        <f>(1+'14a_pidr_parametres'!$B$7)^-M10</f>
        <v/>
      </c>
      <c r="T10" s="31">
        <f>O10*P10*Q10*R10*S10</f>
        <v/>
      </c>
    </row>
    <row r="11">
      <c r="A11" s="27" t="inlineStr">
        <is>
          <t>A25-07</t>
        </is>
      </c>
      <c r="B11" s="28" t="inlineStr">
        <is>
          <t>LADOUNI</t>
        </is>
      </c>
      <c r="C11" s="28" t="inlineStr">
        <is>
          <t>ABOUDOU RAMANOU</t>
        </is>
      </c>
      <c r="D11" s="28" t="inlineStr">
        <is>
          <t>Direction Générale</t>
        </is>
      </c>
      <c r="E11" s="28" t="inlineStr">
        <is>
          <t>RECAPSALAIRES 2024, hors listes CMP et Grenier</t>
        </is>
      </c>
      <c r="F11" s="43" t="n">
        <v>1970</v>
      </c>
      <c r="G11" s="54" t="n">
        <v>41842</v>
      </c>
      <c r="H11" s="29" t="n">
        <v>3196019</v>
      </c>
      <c r="I11" s="43" t="n">
        <v>12</v>
      </c>
      <c r="J11" s="29">
        <f>IF(I11&gt;0,H11/I11,0)</f>
        <v/>
      </c>
      <c r="K11" s="35">
        <f>YEAR('14a_pidr_parametres'!$B$5)-F11</f>
        <v/>
      </c>
      <c r="L11" s="37">
        <f>MAX(DATEDIF(G11,'14a_pidr_parametres'!$B$5,"m"),0)/12</f>
        <v/>
      </c>
      <c r="M11" s="35">
        <f>MAX('14a_pidr_parametres'!$B$6-K11,0)</f>
        <v/>
      </c>
      <c r="N11" s="29">
        <f>J11*(0.3*MIN(L11,5)+0.35*MIN(MAX(L11-5,0),5)+0.4*MAX(L11-10,0))</f>
        <v/>
      </c>
      <c r="O11" s="29">
        <f>J11*(1+'14a_pidr_parametres'!$B$8)^M11*(0.3*MIN((L11+M11),5)+0.35*MIN(MAX((L11+M11)-5,0),5)+0.4*MAX((L11+M11)-10,0))</f>
        <v/>
      </c>
      <c r="P11" s="55">
        <f>IF(L11+M11&gt;0,L11/(L11+M11),0)</f>
        <v/>
      </c>
      <c r="Q11" s="55">
        <f>VLOOKUP(K11+M11,'14t_table_cima_f'!$A$5:$B$115,2,0)/VLOOKUP(K11,'14t_table_cima_f'!$A$5:$B$115,2,0)</f>
        <v/>
      </c>
      <c r="R11" s="55">
        <f>(1-'14a_pidr_parametres'!$B$9)^M11</f>
        <v/>
      </c>
      <c r="S11" s="55">
        <f>(1+'14a_pidr_parametres'!$B$7)^-M11</f>
        <v/>
      </c>
      <c r="T11" s="29">
        <f>O11*P11*Q11*R11*S11</f>
        <v/>
      </c>
    </row>
    <row r="12">
      <c r="A12" s="27" t="inlineStr">
        <is>
          <t>A25-08</t>
        </is>
      </c>
      <c r="B12" s="30" t="inlineStr">
        <is>
          <t>OUEDRAOGO</t>
        </is>
      </c>
      <c r="C12" s="30" t="inlineStr">
        <is>
          <t>HAROUNA</t>
        </is>
      </c>
      <c r="D12" s="30" t="inlineStr">
        <is>
          <t>Direction Générale</t>
        </is>
      </c>
      <c r="E12" s="30" t="inlineStr">
        <is>
          <t>RECAPSALAIRES 2024, hors listes CMP et Grenier</t>
        </is>
      </c>
      <c r="F12" s="45" t="n">
        <v>1979</v>
      </c>
      <c r="G12" s="56" t="n">
        <v>42522</v>
      </c>
      <c r="H12" s="31" t="n">
        <v>3884103</v>
      </c>
      <c r="I12" s="45" t="n">
        <v>12</v>
      </c>
      <c r="J12" s="31">
        <f>IF(I12&gt;0,H12/I12,0)</f>
        <v/>
      </c>
      <c r="K12" s="36">
        <f>YEAR('14a_pidr_parametres'!$B$5)-F12</f>
        <v/>
      </c>
      <c r="L12" s="38">
        <f>MAX(DATEDIF(G12,'14a_pidr_parametres'!$B$5,"m"),0)/12</f>
        <v/>
      </c>
      <c r="M12" s="36">
        <f>MAX('14a_pidr_parametres'!$B$6-K12,0)</f>
        <v/>
      </c>
      <c r="N12" s="31">
        <f>J12*(0.3*MIN(L12,5)+0.35*MIN(MAX(L12-5,0),5)+0.4*MAX(L12-10,0))</f>
        <v/>
      </c>
      <c r="O12" s="31">
        <f>J12*(1+'14a_pidr_parametres'!$B$8)^M12*(0.3*MIN((L12+M12),5)+0.35*MIN(MAX((L12+M12)-5,0),5)+0.4*MAX((L12+M12)-10,0))</f>
        <v/>
      </c>
      <c r="P12" s="57">
        <f>IF(L12+M12&gt;0,L12/(L12+M12),0)</f>
        <v/>
      </c>
      <c r="Q12" s="57">
        <f>VLOOKUP(K12+M12,'14t_table_cima_f'!$A$5:$B$115,2,0)/VLOOKUP(K12,'14t_table_cima_f'!$A$5:$B$115,2,0)</f>
        <v/>
      </c>
      <c r="R12" s="57">
        <f>(1-'14a_pidr_parametres'!$B$9)^M12</f>
        <v/>
      </c>
      <c r="S12" s="57">
        <f>(1+'14a_pidr_parametres'!$B$7)^-M12</f>
        <v/>
      </c>
      <c r="T12" s="31">
        <f>O12*P12*Q12*R12*S12</f>
        <v/>
      </c>
    </row>
    <row r="13">
      <c r="A13" s="27" t="inlineStr">
        <is>
          <t>A25-09</t>
        </is>
      </c>
      <c r="B13" s="28" t="inlineStr">
        <is>
          <t>BENIE</t>
        </is>
      </c>
      <c r="C13" s="28" t="inlineStr">
        <is>
          <t>ACE</t>
        </is>
      </c>
      <c r="D13" s="28" t="inlineStr">
        <is>
          <t>Direction Générale</t>
        </is>
      </c>
      <c r="E13" s="28" t="inlineStr">
        <is>
          <t>RECAPSALAIRES 2024, hors listes CMP et Grenier</t>
        </is>
      </c>
      <c r="F13" s="43" t="n">
        <v>1979</v>
      </c>
      <c r="G13" s="54" t="n">
        <v>42614</v>
      </c>
      <c r="H13" s="29" t="n">
        <v>7314120</v>
      </c>
      <c r="I13" s="43" t="n">
        <v>12</v>
      </c>
      <c r="J13" s="29">
        <f>IF(I13&gt;0,H13/I13,0)</f>
        <v/>
      </c>
      <c r="K13" s="35">
        <f>YEAR('14a_pidr_parametres'!$B$5)-F13</f>
        <v/>
      </c>
      <c r="L13" s="37">
        <f>MAX(DATEDIF(G13,'14a_pidr_parametres'!$B$5,"m"),0)/12</f>
        <v/>
      </c>
      <c r="M13" s="35">
        <f>MAX('14a_pidr_parametres'!$B$6-K13,0)</f>
        <v/>
      </c>
      <c r="N13" s="29">
        <f>J13*(0.3*MIN(L13,5)+0.35*MIN(MAX(L13-5,0),5)+0.4*MAX(L13-10,0))</f>
        <v/>
      </c>
      <c r="O13" s="29">
        <f>J13*(1+'14a_pidr_parametres'!$B$8)^M13*(0.3*MIN((L13+M13),5)+0.35*MIN(MAX((L13+M13)-5,0),5)+0.4*MAX((L13+M13)-10,0))</f>
        <v/>
      </c>
      <c r="P13" s="55">
        <f>IF(L13+M13&gt;0,L13/(L13+M13),0)</f>
        <v/>
      </c>
      <c r="Q13" s="55">
        <f>VLOOKUP(K13+M13,'14t_table_cima_f'!$A$5:$B$115,2,0)/VLOOKUP(K13,'14t_table_cima_f'!$A$5:$B$115,2,0)</f>
        <v/>
      </c>
      <c r="R13" s="55">
        <f>(1-'14a_pidr_parametres'!$B$9)^M13</f>
        <v/>
      </c>
      <c r="S13" s="55">
        <f>(1+'14a_pidr_parametres'!$B$7)^-M13</f>
        <v/>
      </c>
      <c r="T13" s="29">
        <f>O13*P13*Q13*R13*S13</f>
        <v/>
      </c>
    </row>
    <row r="14">
      <c r="A14" s="27" t="inlineStr">
        <is>
          <t>A25-10</t>
        </is>
      </c>
      <c r="B14" s="30" t="inlineStr">
        <is>
          <t>BONNEU</t>
        </is>
      </c>
      <c r="C14" s="30" t="inlineStr">
        <is>
          <t>SIDONIE</t>
        </is>
      </c>
      <c r="D14" s="30" t="inlineStr">
        <is>
          <t>Direction Générale</t>
        </is>
      </c>
      <c r="E14" s="30" t="inlineStr">
        <is>
          <t>RECAPSALAIRES 2024, hors listes CMP et Grenier</t>
        </is>
      </c>
      <c r="F14" s="45" t="n">
        <v>1965</v>
      </c>
      <c r="G14" s="56" t="n">
        <v>42736</v>
      </c>
      <c r="H14" s="31" t="n">
        <v>2829003</v>
      </c>
      <c r="I14" s="45" t="n">
        <v>12</v>
      </c>
      <c r="J14" s="31">
        <f>IF(I14&gt;0,H14/I14,0)</f>
        <v/>
      </c>
      <c r="K14" s="36">
        <f>YEAR('14a_pidr_parametres'!$B$5)-F14</f>
        <v/>
      </c>
      <c r="L14" s="38">
        <f>MAX(DATEDIF(G14,'14a_pidr_parametres'!$B$5,"m"),0)/12</f>
        <v/>
      </c>
      <c r="M14" s="36">
        <f>MAX('14a_pidr_parametres'!$B$6-K14,0)</f>
        <v/>
      </c>
      <c r="N14" s="31">
        <f>J14*(0.3*MIN(L14,5)+0.35*MIN(MAX(L14-5,0),5)+0.4*MAX(L14-10,0))</f>
        <v/>
      </c>
      <c r="O14" s="31">
        <f>J14*(1+'14a_pidr_parametres'!$B$8)^M14*(0.3*MIN((L14+M14),5)+0.35*MIN(MAX((L14+M14)-5,0),5)+0.4*MAX((L14+M14)-10,0))</f>
        <v/>
      </c>
      <c r="P14" s="57">
        <f>IF(L14+M14&gt;0,L14/(L14+M14),0)</f>
        <v/>
      </c>
      <c r="Q14" s="57">
        <f>VLOOKUP(K14+M14,'14t_table_cima_f'!$A$5:$B$115,2,0)/VLOOKUP(K14,'14t_table_cima_f'!$A$5:$B$115,2,0)</f>
        <v/>
      </c>
      <c r="R14" s="57">
        <f>(1-'14a_pidr_parametres'!$B$9)^M14</f>
        <v/>
      </c>
      <c r="S14" s="57">
        <f>(1+'14a_pidr_parametres'!$B$7)^-M14</f>
        <v/>
      </c>
      <c r="T14" s="31">
        <f>O14*P14*Q14*R14*S14</f>
        <v/>
      </c>
    </row>
    <row r="15">
      <c r="A15" s="27" t="inlineStr">
        <is>
          <t>A25-11</t>
        </is>
      </c>
      <c r="B15" s="28" t="inlineStr">
        <is>
          <t>BATOUA</t>
        </is>
      </c>
      <c r="C15" s="28" t="inlineStr">
        <is>
          <t>VALENTINE OUAGNIN</t>
        </is>
      </c>
      <c r="D15" s="28" t="inlineStr">
        <is>
          <t>Direction Générale</t>
        </is>
      </c>
      <c r="E15" s="28" t="inlineStr">
        <is>
          <t>RECAPSALAIRES 2024, hors listes CMP et Grenier</t>
        </is>
      </c>
      <c r="F15" s="43" t="n">
        <v>1973</v>
      </c>
      <c r="G15" s="54" t="n">
        <v>42736</v>
      </c>
      <c r="H15" s="29" t="n">
        <v>2353659</v>
      </c>
      <c r="I15" s="43" t="n">
        <v>12</v>
      </c>
      <c r="J15" s="29">
        <f>IF(I15&gt;0,H15/I15,0)</f>
        <v/>
      </c>
      <c r="K15" s="35">
        <f>YEAR('14a_pidr_parametres'!$B$5)-F15</f>
        <v/>
      </c>
      <c r="L15" s="37">
        <f>MAX(DATEDIF(G15,'14a_pidr_parametres'!$B$5,"m"),0)/12</f>
        <v/>
      </c>
      <c r="M15" s="35">
        <f>MAX('14a_pidr_parametres'!$B$6-K15,0)</f>
        <v/>
      </c>
      <c r="N15" s="29">
        <f>J15*(0.3*MIN(L15,5)+0.35*MIN(MAX(L15-5,0),5)+0.4*MAX(L15-10,0))</f>
        <v/>
      </c>
      <c r="O15" s="29">
        <f>J15*(1+'14a_pidr_parametres'!$B$8)^M15*(0.3*MIN((L15+M15),5)+0.35*MIN(MAX((L15+M15)-5,0),5)+0.4*MAX((L15+M15)-10,0))</f>
        <v/>
      </c>
      <c r="P15" s="55">
        <f>IF(L15+M15&gt;0,L15/(L15+M15),0)</f>
        <v/>
      </c>
      <c r="Q15" s="55">
        <f>VLOOKUP(K15+M15,'14t_table_cima_f'!$A$5:$B$115,2,0)/VLOOKUP(K15,'14t_table_cima_f'!$A$5:$B$115,2,0)</f>
        <v/>
      </c>
      <c r="R15" s="55">
        <f>(1-'14a_pidr_parametres'!$B$9)^M15</f>
        <v/>
      </c>
      <c r="S15" s="55">
        <f>(1+'14a_pidr_parametres'!$B$7)^-M15</f>
        <v/>
      </c>
      <c r="T15" s="29">
        <f>O15*P15*Q15*R15*S15</f>
        <v/>
      </c>
    </row>
    <row r="16">
      <c r="A16" s="27" t="inlineStr">
        <is>
          <t>A25-12</t>
        </is>
      </c>
      <c r="B16" s="30" t="inlineStr">
        <is>
          <t>GUIZOT</t>
        </is>
      </c>
      <c r="C16" s="30" t="inlineStr">
        <is>
          <t>REBECCA</t>
        </is>
      </c>
      <c r="D16" s="30" t="inlineStr">
        <is>
          <t>CMP</t>
        </is>
      </c>
      <c r="E16" s="30" t="inlineStr">
        <is>
          <t>RECAPSALAIRES 2024 CMP</t>
        </is>
      </c>
      <c r="F16" s="45" t="n">
        <v>1977</v>
      </c>
      <c r="G16" s="56" t="n">
        <v>42370</v>
      </c>
      <c r="H16" s="31" t="n">
        <v>2573714</v>
      </c>
      <c r="I16" s="45" t="n">
        <v>12</v>
      </c>
      <c r="J16" s="31">
        <f>IF(I16&gt;0,H16/I16,0)</f>
        <v/>
      </c>
      <c r="K16" s="36">
        <f>YEAR('14a_pidr_parametres'!$B$5)-F16</f>
        <v/>
      </c>
      <c r="L16" s="38">
        <f>MAX(DATEDIF(G16,'14a_pidr_parametres'!$B$5,"m"),0)/12</f>
        <v/>
      </c>
      <c r="M16" s="36">
        <f>MAX('14a_pidr_parametres'!$B$6-K16,0)</f>
        <v/>
      </c>
      <c r="N16" s="31">
        <f>J16*(0.3*MIN(L16,5)+0.35*MIN(MAX(L16-5,0),5)+0.4*MAX(L16-10,0))</f>
        <v/>
      </c>
      <c r="O16" s="31">
        <f>J16*(1+'14a_pidr_parametres'!$B$8)^M16*(0.3*MIN((L16+M16),5)+0.35*MIN(MAX((L16+M16)-5,0),5)+0.4*MAX((L16+M16)-10,0))</f>
        <v/>
      </c>
      <c r="P16" s="57">
        <f>IF(L16+M16&gt;0,L16/(L16+M16),0)</f>
        <v/>
      </c>
      <c r="Q16" s="57">
        <f>VLOOKUP(K16+M16,'14t_table_cima_f'!$A$5:$B$115,2,0)/VLOOKUP(K16,'14t_table_cima_f'!$A$5:$B$115,2,0)</f>
        <v/>
      </c>
      <c r="R16" s="57">
        <f>(1-'14a_pidr_parametres'!$B$9)^M16</f>
        <v/>
      </c>
      <c r="S16" s="57">
        <f>(1+'14a_pidr_parametres'!$B$7)^-M16</f>
        <v/>
      </c>
      <c r="T16" s="31">
        <f>O16*P16*Q16*R16*S16</f>
        <v/>
      </c>
    </row>
    <row r="17">
      <c r="A17" s="27" t="inlineStr">
        <is>
          <t>A25-13</t>
        </is>
      </c>
      <c r="B17" s="28" t="inlineStr">
        <is>
          <t>MOBIO</t>
        </is>
      </c>
      <c r="C17" s="28" t="inlineStr">
        <is>
          <t>SOPI ROSELINE</t>
        </is>
      </c>
      <c r="D17" s="28" t="inlineStr">
        <is>
          <t>CMP</t>
        </is>
      </c>
      <c r="E17" s="28" t="inlineStr">
        <is>
          <t>RECAPSALAIRES 2024 CMP</t>
        </is>
      </c>
      <c r="F17" s="43" t="n">
        <v>1978</v>
      </c>
      <c r="G17" s="54" t="n">
        <v>42370</v>
      </c>
      <c r="H17" s="29" t="n">
        <v>2229499</v>
      </c>
      <c r="I17" s="43" t="n">
        <v>12</v>
      </c>
      <c r="J17" s="29">
        <f>IF(I17&gt;0,H17/I17,0)</f>
        <v/>
      </c>
      <c r="K17" s="35">
        <f>YEAR('14a_pidr_parametres'!$B$5)-F17</f>
        <v/>
      </c>
      <c r="L17" s="37">
        <f>MAX(DATEDIF(G17,'14a_pidr_parametres'!$B$5,"m"),0)/12</f>
        <v/>
      </c>
      <c r="M17" s="35">
        <f>MAX('14a_pidr_parametres'!$B$6-K17,0)</f>
        <v/>
      </c>
      <c r="N17" s="29">
        <f>J17*(0.3*MIN(L17,5)+0.35*MIN(MAX(L17-5,0),5)+0.4*MAX(L17-10,0))</f>
        <v/>
      </c>
      <c r="O17" s="29">
        <f>J17*(1+'14a_pidr_parametres'!$B$8)^M17*(0.3*MIN((L17+M17),5)+0.35*MIN(MAX((L17+M17)-5,0),5)+0.4*MAX((L17+M17)-10,0))</f>
        <v/>
      </c>
      <c r="P17" s="55">
        <f>IF(L17+M17&gt;0,L17/(L17+M17),0)</f>
        <v/>
      </c>
      <c r="Q17" s="55">
        <f>VLOOKUP(K17+M17,'14t_table_cima_f'!$A$5:$B$115,2,0)/VLOOKUP(K17,'14t_table_cima_f'!$A$5:$B$115,2,0)</f>
        <v/>
      </c>
      <c r="R17" s="55">
        <f>(1-'14a_pidr_parametres'!$B$9)^M17</f>
        <v/>
      </c>
      <c r="S17" s="55">
        <f>(1+'14a_pidr_parametres'!$B$7)^-M17</f>
        <v/>
      </c>
      <c r="T17" s="29">
        <f>O17*P17*Q17*R17*S17</f>
        <v/>
      </c>
    </row>
    <row r="18">
      <c r="A18" s="27" t="inlineStr">
        <is>
          <t>A25-14</t>
        </is>
      </c>
      <c r="B18" s="30" t="inlineStr">
        <is>
          <t>DOUMBIA</t>
        </is>
      </c>
      <c r="C18" s="30" t="inlineStr">
        <is>
          <t>VAFING</t>
        </is>
      </c>
      <c r="D18" s="30" t="inlineStr">
        <is>
          <t>CMP</t>
        </is>
      </c>
      <c r="E18" s="30" t="inlineStr">
        <is>
          <t>RECAPSALAIRES 2024 CMP</t>
        </is>
      </c>
      <c r="F18" s="45" t="n">
        <v>1978</v>
      </c>
      <c r="G18" s="56" t="n">
        <v>42370</v>
      </c>
      <c r="H18" s="31" t="n">
        <v>2100023</v>
      </c>
      <c r="I18" s="45" t="n">
        <v>12</v>
      </c>
      <c r="J18" s="31">
        <f>IF(I18&gt;0,H18/I18,0)</f>
        <v/>
      </c>
      <c r="K18" s="36">
        <f>YEAR('14a_pidr_parametres'!$B$5)-F18</f>
        <v/>
      </c>
      <c r="L18" s="38">
        <f>MAX(DATEDIF(G18,'14a_pidr_parametres'!$B$5,"m"),0)/12</f>
        <v/>
      </c>
      <c r="M18" s="36">
        <f>MAX('14a_pidr_parametres'!$B$6-K18,0)</f>
        <v/>
      </c>
      <c r="N18" s="31">
        <f>J18*(0.3*MIN(L18,5)+0.35*MIN(MAX(L18-5,0),5)+0.4*MAX(L18-10,0))</f>
        <v/>
      </c>
      <c r="O18" s="31">
        <f>J18*(1+'14a_pidr_parametres'!$B$8)^M18*(0.3*MIN((L18+M18),5)+0.35*MIN(MAX((L18+M18)-5,0),5)+0.4*MAX((L18+M18)-10,0))</f>
        <v/>
      </c>
      <c r="P18" s="57">
        <f>IF(L18+M18&gt;0,L18/(L18+M18),0)</f>
        <v/>
      </c>
      <c r="Q18" s="57">
        <f>VLOOKUP(K18+M18,'14t_table_cima_f'!$A$5:$B$115,2,0)/VLOOKUP(K18,'14t_table_cima_f'!$A$5:$B$115,2,0)</f>
        <v/>
      </c>
      <c r="R18" s="57">
        <f>(1-'14a_pidr_parametres'!$B$9)^M18</f>
        <v/>
      </c>
      <c r="S18" s="57">
        <f>(1+'14a_pidr_parametres'!$B$7)^-M18</f>
        <v/>
      </c>
      <c r="T18" s="31">
        <f>O18*P18*Q18*R18*S18</f>
        <v/>
      </c>
    </row>
    <row r="19">
      <c r="A19" s="27" t="inlineStr">
        <is>
          <t>A25-15</t>
        </is>
      </c>
      <c r="B19" s="28" t="inlineStr">
        <is>
          <t>YAKAI</t>
        </is>
      </c>
      <c r="C19" s="28" t="inlineStr">
        <is>
          <t>BASSOU VICTOIRE</t>
        </is>
      </c>
      <c r="D19" s="28" t="inlineStr">
        <is>
          <t>Direction Générale</t>
        </is>
      </c>
      <c r="E19" s="28" t="inlineStr">
        <is>
          <t>RECAPSALAIRES 2024, hors listes CMP et Grenier</t>
        </is>
      </c>
      <c r="F19" s="43" t="n">
        <v>1990</v>
      </c>
      <c r="G19" s="54" t="n">
        <v>43101</v>
      </c>
      <c r="H19" s="29" t="n">
        <v>5730853</v>
      </c>
      <c r="I19" s="43" t="n">
        <v>12</v>
      </c>
      <c r="J19" s="29">
        <f>IF(I19&gt;0,H19/I19,0)</f>
        <v/>
      </c>
      <c r="K19" s="35">
        <f>YEAR('14a_pidr_parametres'!$B$5)-F19</f>
        <v/>
      </c>
      <c r="L19" s="37">
        <f>MAX(DATEDIF(G19,'14a_pidr_parametres'!$B$5,"m"),0)/12</f>
        <v/>
      </c>
      <c r="M19" s="35">
        <f>MAX('14a_pidr_parametres'!$B$6-K19,0)</f>
        <v/>
      </c>
      <c r="N19" s="29">
        <f>J19*(0.3*MIN(L19,5)+0.35*MIN(MAX(L19-5,0),5)+0.4*MAX(L19-10,0))</f>
        <v/>
      </c>
      <c r="O19" s="29">
        <f>J19*(1+'14a_pidr_parametres'!$B$8)^M19*(0.3*MIN((L19+M19),5)+0.35*MIN(MAX((L19+M19)-5,0),5)+0.4*MAX((L19+M19)-10,0))</f>
        <v/>
      </c>
      <c r="P19" s="55">
        <f>IF(L19+M19&gt;0,L19/(L19+M19),0)</f>
        <v/>
      </c>
      <c r="Q19" s="55">
        <f>VLOOKUP(K19+M19,'14t_table_cima_f'!$A$5:$B$115,2,0)/VLOOKUP(K19,'14t_table_cima_f'!$A$5:$B$115,2,0)</f>
        <v/>
      </c>
      <c r="R19" s="55">
        <f>(1-'14a_pidr_parametres'!$B$9)^M19</f>
        <v/>
      </c>
      <c r="S19" s="55">
        <f>(1+'14a_pidr_parametres'!$B$7)^-M19</f>
        <v/>
      </c>
      <c r="T19" s="29">
        <f>O19*P19*Q19*R19*S19</f>
        <v/>
      </c>
    </row>
    <row r="20">
      <c r="A20" s="27" t="inlineStr">
        <is>
          <t>A25-16</t>
        </is>
      </c>
      <c r="B20" s="30" t="inlineStr">
        <is>
          <t>AMAKOU</t>
        </is>
      </c>
      <c r="C20" s="30" t="inlineStr">
        <is>
          <t>WANGA JOSEPH</t>
        </is>
      </c>
      <c r="D20" s="30" t="inlineStr">
        <is>
          <t>Direction Générale</t>
        </is>
      </c>
      <c r="E20" s="30" t="inlineStr">
        <is>
          <t>RECAPSALAIRES 2024, hors listes CMP et Grenier</t>
        </is>
      </c>
      <c r="F20" s="45" t="n">
        <v>1978</v>
      </c>
      <c r="G20" s="56" t="n">
        <v>43101</v>
      </c>
      <c r="H20" s="31" t="n">
        <v>2712584</v>
      </c>
      <c r="I20" s="45" t="n">
        <v>12</v>
      </c>
      <c r="J20" s="31">
        <f>IF(I20&gt;0,H20/I20,0)</f>
        <v/>
      </c>
      <c r="K20" s="36">
        <f>YEAR('14a_pidr_parametres'!$B$5)-F20</f>
        <v/>
      </c>
      <c r="L20" s="38">
        <f>MAX(DATEDIF(G20,'14a_pidr_parametres'!$B$5,"m"),0)/12</f>
        <v/>
      </c>
      <c r="M20" s="36">
        <f>MAX('14a_pidr_parametres'!$B$6-K20,0)</f>
        <v/>
      </c>
      <c r="N20" s="31">
        <f>J20*(0.3*MIN(L20,5)+0.35*MIN(MAX(L20-5,0),5)+0.4*MAX(L20-10,0))</f>
        <v/>
      </c>
      <c r="O20" s="31">
        <f>J20*(1+'14a_pidr_parametres'!$B$8)^M20*(0.3*MIN((L20+M20),5)+0.35*MIN(MAX((L20+M20)-5,0),5)+0.4*MAX((L20+M20)-10,0))</f>
        <v/>
      </c>
      <c r="P20" s="57">
        <f>IF(L20+M20&gt;0,L20/(L20+M20),0)</f>
        <v/>
      </c>
      <c r="Q20" s="57">
        <f>VLOOKUP(K20+M20,'14t_table_cima_f'!$A$5:$B$115,2,0)/VLOOKUP(K20,'14t_table_cima_f'!$A$5:$B$115,2,0)</f>
        <v/>
      </c>
      <c r="R20" s="57">
        <f>(1-'14a_pidr_parametres'!$B$9)^M20</f>
        <v/>
      </c>
      <c r="S20" s="57">
        <f>(1+'14a_pidr_parametres'!$B$7)^-M20</f>
        <v/>
      </c>
      <c r="T20" s="31">
        <f>O20*P20*Q20*R20*S20</f>
        <v/>
      </c>
    </row>
    <row r="21">
      <c r="A21" s="27" t="inlineStr">
        <is>
          <t>A25-17</t>
        </is>
      </c>
      <c r="B21" s="28" t="inlineStr">
        <is>
          <t>BINATE</t>
        </is>
      </c>
      <c r="C21" s="28" t="inlineStr">
        <is>
          <t>GAOUSSOU DIT VASSEKO</t>
        </is>
      </c>
      <c r="D21" s="28" t="inlineStr">
        <is>
          <t>Direction Générale</t>
        </is>
      </c>
      <c r="E21" s="28" t="inlineStr">
        <is>
          <t>RECAPSALAIRES 2024, hors listes CMP et Grenier</t>
        </is>
      </c>
      <c r="F21" s="43" t="n">
        <v>1985</v>
      </c>
      <c r="G21" s="54" t="n">
        <v>43344</v>
      </c>
      <c r="H21" s="29" t="n">
        <v>2407387</v>
      </c>
      <c r="I21" s="43" t="n">
        <v>12</v>
      </c>
      <c r="J21" s="29">
        <f>IF(I21&gt;0,H21/I21,0)</f>
        <v/>
      </c>
      <c r="K21" s="35">
        <f>YEAR('14a_pidr_parametres'!$B$5)-F21</f>
        <v/>
      </c>
      <c r="L21" s="37">
        <f>MAX(DATEDIF(G21,'14a_pidr_parametres'!$B$5,"m"),0)/12</f>
        <v/>
      </c>
      <c r="M21" s="35">
        <f>MAX('14a_pidr_parametres'!$B$6-K21,0)</f>
        <v/>
      </c>
      <c r="N21" s="29">
        <f>J21*(0.3*MIN(L21,5)+0.35*MIN(MAX(L21-5,0),5)+0.4*MAX(L21-10,0))</f>
        <v/>
      </c>
      <c r="O21" s="29">
        <f>J21*(1+'14a_pidr_parametres'!$B$8)^M21*(0.3*MIN((L21+M21),5)+0.35*MIN(MAX((L21+M21)-5,0),5)+0.4*MAX((L21+M21)-10,0))</f>
        <v/>
      </c>
      <c r="P21" s="55">
        <f>IF(L21+M21&gt;0,L21/(L21+M21),0)</f>
        <v/>
      </c>
      <c r="Q21" s="55">
        <f>VLOOKUP(K21+M21,'14t_table_cima_f'!$A$5:$B$115,2,0)/VLOOKUP(K21,'14t_table_cima_f'!$A$5:$B$115,2,0)</f>
        <v/>
      </c>
      <c r="R21" s="55">
        <f>(1-'14a_pidr_parametres'!$B$9)^M21</f>
        <v/>
      </c>
      <c r="S21" s="55">
        <f>(1+'14a_pidr_parametres'!$B$7)^-M21</f>
        <v/>
      </c>
      <c r="T21" s="29">
        <f>O21*P21*Q21*R21*S21</f>
        <v/>
      </c>
    </row>
    <row r="22">
      <c r="A22" s="27" t="inlineStr">
        <is>
          <t>A25-18</t>
        </is>
      </c>
      <c r="B22" s="30" t="inlineStr">
        <is>
          <t>MINSELEBE</t>
        </is>
      </c>
      <c r="C22" s="30" t="inlineStr">
        <is>
          <t>SIANIN YVETTE</t>
        </is>
      </c>
      <c r="D22" s="30" t="inlineStr">
        <is>
          <t>CMP</t>
        </is>
      </c>
      <c r="E22" s="30" t="inlineStr">
        <is>
          <t>RECAPSALAIRES 2024 CMP</t>
        </is>
      </c>
      <c r="F22" s="45" t="n">
        <v>1996</v>
      </c>
      <c r="G22" s="56" t="n">
        <v>43466</v>
      </c>
      <c r="H22" s="31" t="n">
        <v>1705378</v>
      </c>
      <c r="I22" s="45" t="n">
        <v>8</v>
      </c>
      <c r="J22" s="31">
        <f>IF(I22&gt;0,H22/I22,0)</f>
        <v/>
      </c>
      <c r="K22" s="36">
        <f>YEAR('14a_pidr_parametres'!$B$5)-F22</f>
        <v/>
      </c>
      <c r="L22" s="38">
        <f>MAX(DATEDIF(G22,'14a_pidr_parametres'!$B$5,"m"),0)/12</f>
        <v/>
      </c>
      <c r="M22" s="36">
        <f>MAX('14a_pidr_parametres'!$B$6-K22,0)</f>
        <v/>
      </c>
      <c r="N22" s="31">
        <f>J22*(0.3*MIN(L22,5)+0.35*MIN(MAX(L22-5,0),5)+0.4*MAX(L22-10,0))</f>
        <v/>
      </c>
      <c r="O22" s="31">
        <f>J22*(1+'14a_pidr_parametres'!$B$8)^M22*(0.3*MIN((L22+M22),5)+0.35*MIN(MAX((L22+M22)-5,0),5)+0.4*MAX((L22+M22)-10,0))</f>
        <v/>
      </c>
      <c r="P22" s="57">
        <f>IF(L22+M22&gt;0,L22/(L22+M22),0)</f>
        <v/>
      </c>
      <c r="Q22" s="57">
        <f>VLOOKUP(K22+M22,'14t_table_cima_f'!$A$5:$B$115,2,0)/VLOOKUP(K22,'14t_table_cima_f'!$A$5:$B$115,2,0)</f>
        <v/>
      </c>
      <c r="R22" s="57">
        <f>(1-'14a_pidr_parametres'!$B$9)^M22</f>
        <v/>
      </c>
      <c r="S22" s="57">
        <f>(1+'14a_pidr_parametres'!$B$7)^-M22</f>
        <v/>
      </c>
      <c r="T22" s="31">
        <f>O22*P22*Q22*R22*S22</f>
        <v/>
      </c>
    </row>
    <row r="23">
      <c r="A23" s="27" t="inlineStr">
        <is>
          <t>A25-19</t>
        </is>
      </c>
      <c r="B23" s="28" t="inlineStr">
        <is>
          <t>KRAGBE</t>
        </is>
      </c>
      <c r="C23" s="28" t="inlineStr">
        <is>
          <t>LOBOGNON ANGE PERSISTE</t>
        </is>
      </c>
      <c r="D23" s="28" t="inlineStr">
        <is>
          <t>Direction Générale</t>
        </is>
      </c>
      <c r="E23" s="28" t="inlineStr">
        <is>
          <t>RECAPSALAIRES 2024, hors listes CMP et Grenier</t>
        </is>
      </c>
      <c r="F23" s="43" t="n">
        <v>1982</v>
      </c>
      <c r="G23" s="54" t="n">
        <v>43466</v>
      </c>
      <c r="H23" s="29" t="n">
        <v>2164812</v>
      </c>
      <c r="I23" s="43" t="n">
        <v>12</v>
      </c>
      <c r="J23" s="29">
        <f>IF(I23&gt;0,H23/I23,0)</f>
        <v/>
      </c>
      <c r="K23" s="35">
        <f>YEAR('14a_pidr_parametres'!$B$5)-F23</f>
        <v/>
      </c>
      <c r="L23" s="37">
        <f>MAX(DATEDIF(G23,'14a_pidr_parametres'!$B$5,"m"),0)/12</f>
        <v/>
      </c>
      <c r="M23" s="35">
        <f>MAX('14a_pidr_parametres'!$B$6-K23,0)</f>
        <v/>
      </c>
      <c r="N23" s="29">
        <f>J23*(0.3*MIN(L23,5)+0.35*MIN(MAX(L23-5,0),5)+0.4*MAX(L23-10,0))</f>
        <v/>
      </c>
      <c r="O23" s="29">
        <f>J23*(1+'14a_pidr_parametres'!$B$8)^M23*(0.3*MIN((L23+M23),5)+0.35*MIN(MAX((L23+M23)-5,0),5)+0.4*MAX((L23+M23)-10,0))</f>
        <v/>
      </c>
      <c r="P23" s="55">
        <f>IF(L23+M23&gt;0,L23/(L23+M23),0)</f>
        <v/>
      </c>
      <c r="Q23" s="55">
        <f>VLOOKUP(K23+M23,'14t_table_cima_f'!$A$5:$B$115,2,0)/VLOOKUP(K23,'14t_table_cima_f'!$A$5:$B$115,2,0)</f>
        <v/>
      </c>
      <c r="R23" s="55">
        <f>(1-'14a_pidr_parametres'!$B$9)^M23</f>
        <v/>
      </c>
      <c r="S23" s="55">
        <f>(1+'14a_pidr_parametres'!$B$7)^-M23</f>
        <v/>
      </c>
      <c r="T23" s="29">
        <f>O23*P23*Q23*R23*S23</f>
        <v/>
      </c>
    </row>
    <row r="24">
      <c r="A24" s="27" t="inlineStr">
        <is>
          <t>A25-20</t>
        </is>
      </c>
      <c r="B24" s="30" t="inlineStr">
        <is>
          <t>ADJEMIAN</t>
        </is>
      </c>
      <c r="C24" s="30" t="inlineStr">
        <is>
          <t>KOUASSI</t>
        </is>
      </c>
      <c r="D24" s="30" t="inlineStr">
        <is>
          <t>CMP</t>
        </is>
      </c>
      <c r="E24" s="30" t="inlineStr">
        <is>
          <t>RECAPSALAIRES 2024 CMP</t>
        </is>
      </c>
      <c r="F24" s="45" t="n">
        <v>1978</v>
      </c>
      <c r="G24" s="56" t="n">
        <v>43466</v>
      </c>
      <c r="H24" s="31" t="n">
        <v>1974406</v>
      </c>
      <c r="I24" s="45" t="n">
        <v>12</v>
      </c>
      <c r="J24" s="31">
        <f>IF(I24&gt;0,H24/I24,0)</f>
        <v/>
      </c>
      <c r="K24" s="36">
        <f>YEAR('14a_pidr_parametres'!$B$5)-F24</f>
        <v/>
      </c>
      <c r="L24" s="38">
        <f>MAX(DATEDIF(G24,'14a_pidr_parametres'!$B$5,"m"),0)/12</f>
        <v/>
      </c>
      <c r="M24" s="36">
        <f>MAX('14a_pidr_parametres'!$B$6-K24,0)</f>
        <v/>
      </c>
      <c r="N24" s="31">
        <f>J24*(0.3*MIN(L24,5)+0.35*MIN(MAX(L24-5,0),5)+0.4*MAX(L24-10,0))</f>
        <v/>
      </c>
      <c r="O24" s="31">
        <f>J24*(1+'14a_pidr_parametres'!$B$8)^M24*(0.3*MIN((L24+M24),5)+0.35*MIN(MAX((L24+M24)-5,0),5)+0.4*MAX((L24+M24)-10,0))</f>
        <v/>
      </c>
      <c r="P24" s="57">
        <f>IF(L24+M24&gt;0,L24/(L24+M24),0)</f>
        <v/>
      </c>
      <c r="Q24" s="57">
        <f>VLOOKUP(K24+M24,'14t_table_cima_f'!$A$5:$B$115,2,0)/VLOOKUP(K24,'14t_table_cima_f'!$A$5:$B$115,2,0)</f>
        <v/>
      </c>
      <c r="R24" s="57">
        <f>(1-'14a_pidr_parametres'!$B$9)^M24</f>
        <v/>
      </c>
      <c r="S24" s="57">
        <f>(1+'14a_pidr_parametres'!$B$7)^-M24</f>
        <v/>
      </c>
      <c r="T24" s="31">
        <f>O24*P24*Q24*R24*S24</f>
        <v/>
      </c>
    </row>
    <row r="25">
      <c r="A25" s="27" t="inlineStr">
        <is>
          <t>A25-21</t>
        </is>
      </c>
      <c r="B25" s="28" t="inlineStr">
        <is>
          <t>AHOUETOSSI</t>
        </is>
      </c>
      <c r="C25" s="28" t="inlineStr">
        <is>
          <t>MOHAMED</t>
        </is>
      </c>
      <c r="D25" s="28" t="inlineStr">
        <is>
          <t>CMP</t>
        </is>
      </c>
      <c r="E25" s="28" t="inlineStr">
        <is>
          <t>RECAPSALAIRES 2024 CMP</t>
        </is>
      </c>
      <c r="F25" s="43" t="n">
        <v>1992</v>
      </c>
      <c r="G25" s="54" t="n">
        <v>43466</v>
      </c>
      <c r="H25" s="29" t="n">
        <v>2051615</v>
      </c>
      <c r="I25" s="43" t="n">
        <v>12</v>
      </c>
      <c r="J25" s="29">
        <f>IF(I25&gt;0,H25/I25,0)</f>
        <v/>
      </c>
      <c r="K25" s="35">
        <f>YEAR('14a_pidr_parametres'!$B$5)-F25</f>
        <v/>
      </c>
      <c r="L25" s="37">
        <f>MAX(DATEDIF(G25,'14a_pidr_parametres'!$B$5,"m"),0)/12</f>
        <v/>
      </c>
      <c r="M25" s="35">
        <f>MAX('14a_pidr_parametres'!$B$6-K25,0)</f>
        <v/>
      </c>
      <c r="N25" s="29">
        <f>J25*(0.3*MIN(L25,5)+0.35*MIN(MAX(L25-5,0),5)+0.4*MAX(L25-10,0))</f>
        <v/>
      </c>
      <c r="O25" s="29">
        <f>J25*(1+'14a_pidr_parametres'!$B$8)^M25*(0.3*MIN((L25+M25),5)+0.35*MIN(MAX((L25+M25)-5,0),5)+0.4*MAX((L25+M25)-10,0))</f>
        <v/>
      </c>
      <c r="P25" s="55">
        <f>IF(L25+M25&gt;0,L25/(L25+M25),0)</f>
        <v/>
      </c>
      <c r="Q25" s="55">
        <f>VLOOKUP(K25+M25,'14t_table_cima_f'!$A$5:$B$115,2,0)/VLOOKUP(K25,'14t_table_cima_f'!$A$5:$B$115,2,0)</f>
        <v/>
      </c>
      <c r="R25" s="55">
        <f>(1-'14a_pidr_parametres'!$B$9)^M25</f>
        <v/>
      </c>
      <c r="S25" s="55">
        <f>(1+'14a_pidr_parametres'!$B$7)^-M25</f>
        <v/>
      </c>
      <c r="T25" s="29">
        <f>O25*P25*Q25*R25*S25</f>
        <v/>
      </c>
    </row>
    <row r="26">
      <c r="A26" s="27" t="inlineStr">
        <is>
          <t>A25-22</t>
        </is>
      </c>
      <c r="B26" s="30" t="inlineStr">
        <is>
          <t>N'DOUA</t>
        </is>
      </c>
      <c r="C26" s="30" t="inlineStr">
        <is>
          <t>KOFFI PLACIDE</t>
        </is>
      </c>
      <c r="D26" s="30" t="inlineStr">
        <is>
          <t>CMP</t>
        </is>
      </c>
      <c r="E26" s="30" t="inlineStr">
        <is>
          <t>RECAPSALAIRES 2024 CMP</t>
        </is>
      </c>
      <c r="F26" s="45" t="n">
        <v>1988</v>
      </c>
      <c r="G26" s="56" t="n">
        <v>43466</v>
      </c>
      <c r="H26" s="31" t="n">
        <v>2187593</v>
      </c>
      <c r="I26" s="45" t="n">
        <v>12</v>
      </c>
      <c r="J26" s="31">
        <f>IF(I26&gt;0,H26/I26,0)</f>
        <v/>
      </c>
      <c r="K26" s="36">
        <f>YEAR('14a_pidr_parametres'!$B$5)-F26</f>
        <v/>
      </c>
      <c r="L26" s="38">
        <f>MAX(DATEDIF(G26,'14a_pidr_parametres'!$B$5,"m"),0)/12</f>
        <v/>
      </c>
      <c r="M26" s="36">
        <f>MAX('14a_pidr_parametres'!$B$6-K26,0)</f>
        <v/>
      </c>
      <c r="N26" s="31">
        <f>J26*(0.3*MIN(L26,5)+0.35*MIN(MAX(L26-5,0),5)+0.4*MAX(L26-10,0))</f>
        <v/>
      </c>
      <c r="O26" s="31">
        <f>J26*(1+'14a_pidr_parametres'!$B$8)^M26*(0.3*MIN((L26+M26),5)+0.35*MIN(MAX((L26+M26)-5,0),5)+0.4*MAX((L26+M26)-10,0))</f>
        <v/>
      </c>
      <c r="P26" s="57">
        <f>IF(L26+M26&gt;0,L26/(L26+M26),0)</f>
        <v/>
      </c>
      <c r="Q26" s="57">
        <f>VLOOKUP(K26+M26,'14t_table_cima_f'!$A$5:$B$115,2,0)/VLOOKUP(K26,'14t_table_cima_f'!$A$5:$B$115,2,0)</f>
        <v/>
      </c>
      <c r="R26" s="57">
        <f>(1-'14a_pidr_parametres'!$B$9)^M26</f>
        <v/>
      </c>
      <c r="S26" s="57">
        <f>(1+'14a_pidr_parametres'!$B$7)^-M26</f>
        <v/>
      </c>
      <c r="T26" s="31">
        <f>O26*P26*Q26*R26*S26</f>
        <v/>
      </c>
    </row>
    <row r="27">
      <c r="A27" s="27" t="inlineStr">
        <is>
          <t>A25-23</t>
        </is>
      </c>
      <c r="B27" s="28" t="inlineStr">
        <is>
          <t>KASSIMOU</t>
        </is>
      </c>
      <c r="C27" s="28" t="inlineStr">
        <is>
          <t>RAHYMI</t>
        </is>
      </c>
      <c r="D27" s="28" t="inlineStr">
        <is>
          <t>Direction Générale</t>
        </is>
      </c>
      <c r="E27" s="28" t="inlineStr">
        <is>
          <t>RECAPSALAIRES 2024, hors listes CMP et Grenier</t>
        </is>
      </c>
      <c r="F27" s="43" t="n">
        <v>1981</v>
      </c>
      <c r="G27" s="54" t="n">
        <v>43466</v>
      </c>
      <c r="H27" s="29" t="n">
        <v>2111704</v>
      </c>
      <c r="I27" s="43" t="n">
        <v>12</v>
      </c>
      <c r="J27" s="29">
        <f>IF(I27&gt;0,H27/I27,0)</f>
        <v/>
      </c>
      <c r="K27" s="35">
        <f>YEAR('14a_pidr_parametres'!$B$5)-F27</f>
        <v/>
      </c>
      <c r="L27" s="37">
        <f>MAX(DATEDIF(G27,'14a_pidr_parametres'!$B$5,"m"),0)/12</f>
        <v/>
      </c>
      <c r="M27" s="35">
        <f>MAX('14a_pidr_parametres'!$B$6-K27,0)</f>
        <v/>
      </c>
      <c r="N27" s="29">
        <f>J27*(0.3*MIN(L27,5)+0.35*MIN(MAX(L27-5,0),5)+0.4*MAX(L27-10,0))</f>
        <v/>
      </c>
      <c r="O27" s="29">
        <f>J27*(1+'14a_pidr_parametres'!$B$8)^M27*(0.3*MIN((L27+M27),5)+0.35*MIN(MAX((L27+M27)-5,0),5)+0.4*MAX((L27+M27)-10,0))</f>
        <v/>
      </c>
      <c r="P27" s="55">
        <f>IF(L27+M27&gt;0,L27/(L27+M27),0)</f>
        <v/>
      </c>
      <c r="Q27" s="55">
        <f>VLOOKUP(K27+M27,'14t_table_cima_f'!$A$5:$B$115,2,0)/VLOOKUP(K27,'14t_table_cima_f'!$A$5:$B$115,2,0)</f>
        <v/>
      </c>
      <c r="R27" s="55">
        <f>(1-'14a_pidr_parametres'!$B$9)^M27</f>
        <v/>
      </c>
      <c r="S27" s="55">
        <f>(1+'14a_pidr_parametres'!$B$7)^-M27</f>
        <v/>
      </c>
      <c r="T27" s="29">
        <f>O27*P27*Q27*R27*S27</f>
        <v/>
      </c>
    </row>
    <row r="28">
      <c r="A28" s="27" t="inlineStr">
        <is>
          <t>A25-24</t>
        </is>
      </c>
      <c r="B28" s="30" t="inlineStr">
        <is>
          <t>DIALLO</t>
        </is>
      </c>
      <c r="C28" s="30" t="inlineStr">
        <is>
          <t>HAMIDOU WILFRIED</t>
        </is>
      </c>
      <c r="D28" s="30" t="inlineStr">
        <is>
          <t>CMP</t>
        </is>
      </c>
      <c r="E28" s="30" t="inlineStr">
        <is>
          <t>RECAPSALAIRES 2024 CMP</t>
        </is>
      </c>
      <c r="F28" s="45" t="n">
        <v>1973</v>
      </c>
      <c r="G28" s="56" t="n">
        <v>43497</v>
      </c>
      <c r="H28" s="31" t="n">
        <v>7798232</v>
      </c>
      <c r="I28" s="45" t="n">
        <v>12</v>
      </c>
      <c r="J28" s="31">
        <f>IF(I28&gt;0,H28/I28,0)</f>
        <v/>
      </c>
      <c r="K28" s="36">
        <f>YEAR('14a_pidr_parametres'!$B$5)-F28</f>
        <v/>
      </c>
      <c r="L28" s="38">
        <f>MAX(DATEDIF(G28,'14a_pidr_parametres'!$B$5,"m"),0)/12</f>
        <v/>
      </c>
      <c r="M28" s="36">
        <f>MAX('14a_pidr_parametres'!$B$6-K28,0)</f>
        <v/>
      </c>
      <c r="N28" s="31">
        <f>J28*(0.3*MIN(L28,5)+0.35*MIN(MAX(L28-5,0),5)+0.4*MAX(L28-10,0))</f>
        <v/>
      </c>
      <c r="O28" s="31">
        <f>J28*(1+'14a_pidr_parametres'!$B$8)^M28*(0.3*MIN((L28+M28),5)+0.35*MIN(MAX((L28+M28)-5,0),5)+0.4*MAX((L28+M28)-10,0))</f>
        <v/>
      </c>
      <c r="P28" s="57">
        <f>IF(L28+M28&gt;0,L28/(L28+M28),0)</f>
        <v/>
      </c>
      <c r="Q28" s="57">
        <f>VLOOKUP(K28+M28,'14t_table_cima_f'!$A$5:$B$115,2,0)/VLOOKUP(K28,'14t_table_cima_f'!$A$5:$B$115,2,0)</f>
        <v/>
      </c>
      <c r="R28" s="57">
        <f>(1-'14a_pidr_parametres'!$B$9)^M28</f>
        <v/>
      </c>
      <c r="S28" s="57">
        <f>(1+'14a_pidr_parametres'!$B$7)^-M28</f>
        <v/>
      </c>
      <c r="T28" s="31">
        <f>O28*P28*Q28*R28*S28</f>
        <v/>
      </c>
    </row>
    <row r="29">
      <c r="A29" s="27" t="inlineStr">
        <is>
          <t>A25-25</t>
        </is>
      </c>
      <c r="B29" s="28" t="inlineStr">
        <is>
          <t>BLEHIRY</t>
        </is>
      </c>
      <c r="C29" s="28" t="inlineStr">
        <is>
          <t>OTCHELEO NOELLE</t>
        </is>
      </c>
      <c r="D29" s="28" t="inlineStr">
        <is>
          <t>CMP</t>
        </is>
      </c>
      <c r="E29" s="28" t="inlineStr">
        <is>
          <t>RECAPSALAIRES 2024 CMP</t>
        </is>
      </c>
      <c r="F29" s="43" t="n">
        <v>1980</v>
      </c>
      <c r="G29" s="54" t="n">
        <v>43497</v>
      </c>
      <c r="H29" s="29" t="n">
        <v>2480510</v>
      </c>
      <c r="I29" s="43" t="n">
        <v>12</v>
      </c>
      <c r="J29" s="29">
        <f>IF(I29&gt;0,H29/I29,0)</f>
        <v/>
      </c>
      <c r="K29" s="35">
        <f>YEAR('14a_pidr_parametres'!$B$5)-F29</f>
        <v/>
      </c>
      <c r="L29" s="37">
        <f>MAX(DATEDIF(G29,'14a_pidr_parametres'!$B$5,"m"),0)/12</f>
        <v/>
      </c>
      <c r="M29" s="35">
        <f>MAX('14a_pidr_parametres'!$B$6-K29,0)</f>
        <v/>
      </c>
      <c r="N29" s="29">
        <f>J29*(0.3*MIN(L29,5)+0.35*MIN(MAX(L29-5,0),5)+0.4*MAX(L29-10,0))</f>
        <v/>
      </c>
      <c r="O29" s="29">
        <f>J29*(1+'14a_pidr_parametres'!$B$8)^M29*(0.3*MIN((L29+M29),5)+0.35*MIN(MAX((L29+M29)-5,0),5)+0.4*MAX((L29+M29)-10,0))</f>
        <v/>
      </c>
      <c r="P29" s="55">
        <f>IF(L29+M29&gt;0,L29/(L29+M29),0)</f>
        <v/>
      </c>
      <c r="Q29" s="55">
        <f>VLOOKUP(K29+M29,'14t_table_cima_f'!$A$5:$B$115,2,0)/VLOOKUP(K29,'14t_table_cima_f'!$A$5:$B$115,2,0)</f>
        <v/>
      </c>
      <c r="R29" s="55">
        <f>(1-'14a_pidr_parametres'!$B$9)^M29</f>
        <v/>
      </c>
      <c r="S29" s="55">
        <f>(1+'14a_pidr_parametres'!$B$7)^-M29</f>
        <v/>
      </c>
      <c r="T29" s="29">
        <f>O29*P29*Q29*R29*S29</f>
        <v/>
      </c>
    </row>
    <row r="30">
      <c r="A30" s="27" t="inlineStr">
        <is>
          <t>A25-26</t>
        </is>
      </c>
      <c r="B30" s="30" t="inlineStr">
        <is>
          <t>N'DA</t>
        </is>
      </c>
      <c r="C30" s="30" t="inlineStr">
        <is>
          <t>AMICHIA FABRICE</t>
        </is>
      </c>
      <c r="D30" s="30" t="inlineStr">
        <is>
          <t>Direction Générale</t>
        </is>
      </c>
      <c r="E30" s="30" t="inlineStr">
        <is>
          <t>RECAPSALAIRES 2024, hors listes CMP et Grenier</t>
        </is>
      </c>
      <c r="F30" s="45" t="n">
        <v>1990</v>
      </c>
      <c r="G30" s="56" t="n">
        <v>43831</v>
      </c>
      <c r="H30" s="31" t="n">
        <v>6085129</v>
      </c>
      <c r="I30" s="45" t="n">
        <v>12</v>
      </c>
      <c r="J30" s="31">
        <f>IF(I30&gt;0,H30/I30,0)</f>
        <v/>
      </c>
      <c r="K30" s="36">
        <f>YEAR('14a_pidr_parametres'!$B$5)-F30</f>
        <v/>
      </c>
      <c r="L30" s="38">
        <f>MAX(DATEDIF(G30,'14a_pidr_parametres'!$B$5,"m"),0)/12</f>
        <v/>
      </c>
      <c r="M30" s="36">
        <f>MAX('14a_pidr_parametres'!$B$6-K30,0)</f>
        <v/>
      </c>
      <c r="N30" s="31">
        <f>J30*(0.3*MIN(L30,5)+0.35*MIN(MAX(L30-5,0),5)+0.4*MAX(L30-10,0))</f>
        <v/>
      </c>
      <c r="O30" s="31">
        <f>J30*(1+'14a_pidr_parametres'!$B$8)^M30*(0.3*MIN((L30+M30),5)+0.35*MIN(MAX((L30+M30)-5,0),5)+0.4*MAX((L30+M30)-10,0))</f>
        <v/>
      </c>
      <c r="P30" s="57">
        <f>IF(L30+M30&gt;0,L30/(L30+M30),0)</f>
        <v/>
      </c>
      <c r="Q30" s="57">
        <f>VLOOKUP(K30+M30,'14t_table_cima_f'!$A$5:$B$115,2,0)/VLOOKUP(K30,'14t_table_cima_f'!$A$5:$B$115,2,0)</f>
        <v/>
      </c>
      <c r="R30" s="57">
        <f>(1-'14a_pidr_parametres'!$B$9)^M30</f>
        <v/>
      </c>
      <c r="S30" s="57">
        <f>(1+'14a_pidr_parametres'!$B$7)^-M30</f>
        <v/>
      </c>
      <c r="T30" s="31">
        <f>O30*P30*Q30*R30*S30</f>
        <v/>
      </c>
    </row>
    <row r="31">
      <c r="A31" s="27" t="inlineStr">
        <is>
          <t>A25-27</t>
        </is>
      </c>
      <c r="B31" s="28" t="inlineStr">
        <is>
          <t>OUATTARA</t>
        </is>
      </c>
      <c r="C31" s="28" t="inlineStr">
        <is>
          <t>MIKAHILOU</t>
        </is>
      </c>
      <c r="D31" s="28" t="inlineStr">
        <is>
          <t>Direction Générale</t>
        </is>
      </c>
      <c r="E31" s="28" t="inlineStr">
        <is>
          <t>RECAPSALAIRES 2024, hors listes CMP et Grenier</t>
        </is>
      </c>
      <c r="F31" s="43" t="n">
        <v>1980</v>
      </c>
      <c r="G31" s="54" t="n">
        <v>44105</v>
      </c>
      <c r="H31" s="29" t="n">
        <v>3711587</v>
      </c>
      <c r="I31" s="43" t="n">
        <v>12</v>
      </c>
      <c r="J31" s="29">
        <f>IF(I31&gt;0,H31/I31,0)</f>
        <v/>
      </c>
      <c r="K31" s="35">
        <f>YEAR('14a_pidr_parametres'!$B$5)-F31</f>
        <v/>
      </c>
      <c r="L31" s="37">
        <f>MAX(DATEDIF(G31,'14a_pidr_parametres'!$B$5,"m"),0)/12</f>
        <v/>
      </c>
      <c r="M31" s="35">
        <f>MAX('14a_pidr_parametres'!$B$6-K31,0)</f>
        <v/>
      </c>
      <c r="N31" s="29">
        <f>J31*(0.3*MIN(L31,5)+0.35*MIN(MAX(L31-5,0),5)+0.4*MAX(L31-10,0))</f>
        <v/>
      </c>
      <c r="O31" s="29">
        <f>J31*(1+'14a_pidr_parametres'!$B$8)^M31*(0.3*MIN((L31+M31),5)+0.35*MIN(MAX((L31+M31)-5,0),5)+0.4*MAX((L31+M31)-10,0))</f>
        <v/>
      </c>
      <c r="P31" s="55">
        <f>IF(L31+M31&gt;0,L31/(L31+M31),0)</f>
        <v/>
      </c>
      <c r="Q31" s="55">
        <f>VLOOKUP(K31+M31,'14t_table_cima_f'!$A$5:$B$115,2,0)/VLOOKUP(K31,'14t_table_cima_f'!$A$5:$B$115,2,0)</f>
        <v/>
      </c>
      <c r="R31" s="55">
        <f>(1-'14a_pidr_parametres'!$B$9)^M31</f>
        <v/>
      </c>
      <c r="S31" s="55">
        <f>(1+'14a_pidr_parametres'!$B$7)^-M31</f>
        <v/>
      </c>
      <c r="T31" s="29">
        <f>O31*P31*Q31*R31*S31</f>
        <v/>
      </c>
    </row>
    <row r="32">
      <c r="A32" s="27" t="inlineStr">
        <is>
          <t>A25-28</t>
        </is>
      </c>
      <c r="B32" s="30" t="inlineStr">
        <is>
          <t>AKA</t>
        </is>
      </c>
      <c r="C32" s="30" t="inlineStr">
        <is>
          <t>EPSE BEDA APIE</t>
        </is>
      </c>
      <c r="D32" s="30" t="inlineStr">
        <is>
          <t>CMP</t>
        </is>
      </c>
      <c r="E32" s="30" t="inlineStr">
        <is>
          <t>RECAPSALAIRES 2024 CMP</t>
        </is>
      </c>
      <c r="F32" s="45" t="n">
        <v>1970</v>
      </c>
      <c r="G32" s="56" t="n">
        <v>44378</v>
      </c>
      <c r="H32" s="31" t="n">
        <v>10015554</v>
      </c>
      <c r="I32" s="45" t="n">
        <v>12</v>
      </c>
      <c r="J32" s="31">
        <f>IF(I32&gt;0,H32/I32,0)</f>
        <v/>
      </c>
      <c r="K32" s="36">
        <f>YEAR('14a_pidr_parametres'!$B$5)-F32</f>
        <v/>
      </c>
      <c r="L32" s="38">
        <f>MAX(DATEDIF(G32,'14a_pidr_parametres'!$B$5,"m"),0)/12</f>
        <v/>
      </c>
      <c r="M32" s="36">
        <f>MAX('14a_pidr_parametres'!$B$6-K32,0)</f>
        <v/>
      </c>
      <c r="N32" s="31">
        <f>J32*(0.3*MIN(L32,5)+0.35*MIN(MAX(L32-5,0),5)+0.4*MAX(L32-10,0))</f>
        <v/>
      </c>
      <c r="O32" s="31">
        <f>J32*(1+'14a_pidr_parametres'!$B$8)^M32*(0.3*MIN((L32+M32),5)+0.35*MIN(MAX((L32+M32)-5,0),5)+0.4*MAX((L32+M32)-10,0))</f>
        <v/>
      </c>
      <c r="P32" s="57">
        <f>IF(L32+M32&gt;0,L32/(L32+M32),0)</f>
        <v/>
      </c>
      <c r="Q32" s="57">
        <f>VLOOKUP(K32+M32,'14t_table_cima_f'!$A$5:$B$115,2,0)/VLOOKUP(K32,'14t_table_cima_f'!$A$5:$B$115,2,0)</f>
        <v/>
      </c>
      <c r="R32" s="57">
        <f>(1-'14a_pidr_parametres'!$B$9)^M32</f>
        <v/>
      </c>
      <c r="S32" s="57">
        <f>(1+'14a_pidr_parametres'!$B$7)^-M32</f>
        <v/>
      </c>
      <c r="T32" s="31">
        <f>O32*P32*Q32*R32*S32</f>
        <v/>
      </c>
    </row>
    <row r="33">
      <c r="A33" s="27" t="inlineStr">
        <is>
          <t>A25-29</t>
        </is>
      </c>
      <c r="B33" s="28" t="inlineStr">
        <is>
          <t>IFFOU</t>
        </is>
      </c>
      <c r="C33" s="28" t="inlineStr">
        <is>
          <t>ASSIE TAHOUA EPSE YAO</t>
        </is>
      </c>
      <c r="D33" s="28" t="inlineStr">
        <is>
          <t>Grenier</t>
        </is>
      </c>
      <c r="E33" s="28" t="inlineStr">
        <is>
          <t>RECAPSALAIRES 2025 GRENIER</t>
        </is>
      </c>
      <c r="F33" s="43" t="n">
        <v>1982</v>
      </c>
      <c r="G33" s="54" t="n">
        <v>44531</v>
      </c>
      <c r="H33" s="29" t="n">
        <v>3343284</v>
      </c>
      <c r="I33" s="43" t="n">
        <v>12</v>
      </c>
      <c r="J33" s="29">
        <f>IF(I33&gt;0,H33/I33,0)</f>
        <v/>
      </c>
      <c r="K33" s="35">
        <f>YEAR('14a_pidr_parametres'!$B$5)-F33</f>
        <v/>
      </c>
      <c r="L33" s="37">
        <f>MAX(DATEDIF(G33,'14a_pidr_parametres'!$B$5,"m"),0)/12</f>
        <v/>
      </c>
      <c r="M33" s="35">
        <f>MAX('14a_pidr_parametres'!$B$6-K33,0)</f>
        <v/>
      </c>
      <c r="N33" s="29">
        <f>J33*(0.3*MIN(L33,5)+0.35*MIN(MAX(L33-5,0),5)+0.4*MAX(L33-10,0))</f>
        <v/>
      </c>
      <c r="O33" s="29">
        <f>J33*(1+'14a_pidr_parametres'!$B$8)^M33*(0.3*MIN((L33+M33),5)+0.35*MIN(MAX((L33+M33)-5,0),5)+0.4*MAX((L33+M33)-10,0))</f>
        <v/>
      </c>
      <c r="P33" s="55">
        <f>IF(L33+M33&gt;0,L33/(L33+M33),0)</f>
        <v/>
      </c>
      <c r="Q33" s="55">
        <f>VLOOKUP(K33+M33,'14t_table_cima_f'!$A$5:$B$115,2,0)/VLOOKUP(K33,'14t_table_cima_f'!$A$5:$B$115,2,0)</f>
        <v/>
      </c>
      <c r="R33" s="55">
        <f>(1-'14a_pidr_parametres'!$B$9)^M33</f>
        <v/>
      </c>
      <c r="S33" s="55">
        <f>(1+'14a_pidr_parametres'!$B$7)^-M33</f>
        <v/>
      </c>
      <c r="T33" s="29">
        <f>O33*P33*Q33*R33*S33</f>
        <v/>
      </c>
    </row>
    <row r="34">
      <c r="A34" s="27" t="inlineStr">
        <is>
          <t>A25-30</t>
        </is>
      </c>
      <c r="B34" s="30" t="inlineStr">
        <is>
          <t>ATTUOMAN</t>
        </is>
      </c>
      <c r="C34" s="30" t="inlineStr">
        <is>
          <t>KOUAME REGIS</t>
        </is>
      </c>
      <c r="D34" s="30" t="inlineStr">
        <is>
          <t>Direction Générale</t>
        </is>
      </c>
      <c r="E34" s="30" t="inlineStr">
        <is>
          <t>RECAPSALAIRES 2024, hors listes CMP et Grenier</t>
        </is>
      </c>
      <c r="F34" s="45" t="n">
        <v>1990</v>
      </c>
      <c r="G34" s="56" t="n">
        <v>44782</v>
      </c>
      <c r="H34" s="31" t="n">
        <v>10525797</v>
      </c>
      <c r="I34" s="45" t="n">
        <v>12</v>
      </c>
      <c r="J34" s="31">
        <f>IF(I34&gt;0,H34/I34,0)</f>
        <v/>
      </c>
      <c r="K34" s="36">
        <f>YEAR('14a_pidr_parametres'!$B$5)-F34</f>
        <v/>
      </c>
      <c r="L34" s="38">
        <f>MAX(DATEDIF(G34,'14a_pidr_parametres'!$B$5,"m"),0)/12</f>
        <v/>
      </c>
      <c r="M34" s="36">
        <f>MAX('14a_pidr_parametres'!$B$6-K34,0)</f>
        <v/>
      </c>
      <c r="N34" s="31">
        <f>J34*(0.3*MIN(L34,5)+0.35*MIN(MAX(L34-5,0),5)+0.4*MAX(L34-10,0))</f>
        <v/>
      </c>
      <c r="O34" s="31">
        <f>J34*(1+'14a_pidr_parametres'!$B$8)^M34*(0.3*MIN((L34+M34),5)+0.35*MIN(MAX((L34+M34)-5,0),5)+0.4*MAX((L34+M34)-10,0))</f>
        <v/>
      </c>
      <c r="P34" s="57">
        <f>IF(L34+M34&gt;0,L34/(L34+M34),0)</f>
        <v/>
      </c>
      <c r="Q34" s="57">
        <f>VLOOKUP(K34+M34,'14t_table_cima_f'!$A$5:$B$115,2,0)/VLOOKUP(K34,'14t_table_cima_f'!$A$5:$B$115,2,0)</f>
        <v/>
      </c>
      <c r="R34" s="57">
        <f>(1-'14a_pidr_parametres'!$B$9)^M34</f>
        <v/>
      </c>
      <c r="S34" s="57">
        <f>(1+'14a_pidr_parametres'!$B$7)^-M34</f>
        <v/>
      </c>
      <c r="T34" s="31">
        <f>O34*P34*Q34*R34*S34</f>
        <v/>
      </c>
    </row>
    <row r="35">
      <c r="A35" s="27" t="inlineStr">
        <is>
          <t>A25-31</t>
        </is>
      </c>
      <c r="B35" s="28" t="inlineStr">
        <is>
          <t>SIMO</t>
        </is>
      </c>
      <c r="C35" s="28" t="inlineStr">
        <is>
          <t>WAFO JEFF S.</t>
        </is>
      </c>
      <c r="D35" s="28" t="inlineStr">
        <is>
          <t>CMP</t>
        </is>
      </c>
      <c r="E35" s="28" t="inlineStr">
        <is>
          <t>RECAPSALAIRES 2024 CMP</t>
        </is>
      </c>
      <c r="F35" s="43" t="n">
        <v>1990</v>
      </c>
      <c r="G35" s="54" t="n">
        <v>44684</v>
      </c>
      <c r="H35" s="29" t="n">
        <v>17681383</v>
      </c>
      <c r="I35" s="43" t="n">
        <v>12</v>
      </c>
      <c r="J35" s="29">
        <f>IF(I35&gt;0,H35/I35,0)</f>
        <v/>
      </c>
      <c r="K35" s="35">
        <f>YEAR('14a_pidr_parametres'!$B$5)-F35</f>
        <v/>
      </c>
      <c r="L35" s="37">
        <f>MAX(DATEDIF(G35,'14a_pidr_parametres'!$B$5,"m"),0)/12</f>
        <v/>
      </c>
      <c r="M35" s="35">
        <f>MAX('14a_pidr_parametres'!$B$6-K35,0)</f>
        <v/>
      </c>
      <c r="N35" s="29">
        <f>J35*(0.3*MIN(L35,5)+0.35*MIN(MAX(L35-5,0),5)+0.4*MAX(L35-10,0))</f>
        <v/>
      </c>
      <c r="O35" s="29">
        <f>J35*(1+'14a_pidr_parametres'!$B$8)^M35*(0.3*MIN((L35+M35),5)+0.35*MIN(MAX((L35+M35)-5,0),5)+0.4*MAX((L35+M35)-10,0))</f>
        <v/>
      </c>
      <c r="P35" s="55">
        <f>IF(L35+M35&gt;0,L35/(L35+M35),0)</f>
        <v/>
      </c>
      <c r="Q35" s="55">
        <f>VLOOKUP(K35+M35,'14t_table_cima_f'!$A$5:$B$115,2,0)/VLOOKUP(K35,'14t_table_cima_f'!$A$5:$B$115,2,0)</f>
        <v/>
      </c>
      <c r="R35" s="55">
        <f>(1-'14a_pidr_parametres'!$B$9)^M35</f>
        <v/>
      </c>
      <c r="S35" s="55">
        <f>(1+'14a_pidr_parametres'!$B$7)^-M35</f>
        <v/>
      </c>
      <c r="T35" s="29">
        <f>O35*P35*Q35*R35*S35</f>
        <v/>
      </c>
    </row>
    <row r="36">
      <c r="A36" s="27" t="inlineStr">
        <is>
          <t>A25-32</t>
        </is>
      </c>
      <c r="B36" s="30" t="inlineStr">
        <is>
          <t>KOUADIO</t>
        </is>
      </c>
      <c r="C36" s="30" t="inlineStr">
        <is>
          <t>KOUAKOU NICOMEDE</t>
        </is>
      </c>
      <c r="D36" s="30" t="inlineStr">
        <is>
          <t>CMP</t>
        </is>
      </c>
      <c r="E36" s="30" t="inlineStr">
        <is>
          <t>RECAPSALAIRES 2024 CMP</t>
        </is>
      </c>
      <c r="F36" s="45" t="n">
        <v>1977</v>
      </c>
      <c r="G36" s="56" t="n">
        <v>44684</v>
      </c>
      <c r="H36" s="31" t="n">
        <v>2741281</v>
      </c>
      <c r="I36" s="45" t="n">
        <v>12</v>
      </c>
      <c r="J36" s="31">
        <f>IF(I36&gt;0,H36/I36,0)</f>
        <v/>
      </c>
      <c r="K36" s="36">
        <f>YEAR('14a_pidr_parametres'!$B$5)-F36</f>
        <v/>
      </c>
      <c r="L36" s="38">
        <f>MAX(DATEDIF(G36,'14a_pidr_parametres'!$B$5,"m"),0)/12</f>
        <v/>
      </c>
      <c r="M36" s="36">
        <f>MAX('14a_pidr_parametres'!$B$6-K36,0)</f>
        <v/>
      </c>
      <c r="N36" s="31">
        <f>J36*(0.3*MIN(L36,5)+0.35*MIN(MAX(L36-5,0),5)+0.4*MAX(L36-10,0))</f>
        <v/>
      </c>
      <c r="O36" s="31">
        <f>J36*(1+'14a_pidr_parametres'!$B$8)^M36*(0.3*MIN((L36+M36),5)+0.35*MIN(MAX((L36+M36)-5,0),5)+0.4*MAX((L36+M36)-10,0))</f>
        <v/>
      </c>
      <c r="P36" s="57">
        <f>IF(L36+M36&gt;0,L36/(L36+M36),0)</f>
        <v/>
      </c>
      <c r="Q36" s="57">
        <f>VLOOKUP(K36+M36,'14t_table_cima_f'!$A$5:$B$115,2,0)/VLOOKUP(K36,'14t_table_cima_f'!$A$5:$B$115,2,0)</f>
        <v/>
      </c>
      <c r="R36" s="57">
        <f>(1-'14a_pidr_parametres'!$B$9)^M36</f>
        <v/>
      </c>
      <c r="S36" s="57">
        <f>(1+'14a_pidr_parametres'!$B$7)^-M36</f>
        <v/>
      </c>
      <c r="T36" s="31">
        <f>O36*P36*Q36*R36*S36</f>
        <v/>
      </c>
    </row>
    <row r="37">
      <c r="A37" s="27" t="inlineStr">
        <is>
          <t>A25-33</t>
        </is>
      </c>
      <c r="B37" s="28" t="inlineStr">
        <is>
          <t>AWIS</t>
        </is>
      </c>
      <c r="C37" s="28" t="inlineStr">
        <is>
          <t>KOUAMET SAMUEL</t>
        </is>
      </c>
      <c r="D37" s="28" t="inlineStr">
        <is>
          <t>CMP</t>
        </is>
      </c>
      <c r="E37" s="28" t="inlineStr">
        <is>
          <t>RECAPSALAIRES 2024 CMP</t>
        </is>
      </c>
      <c r="F37" s="43" t="n">
        <v>1986</v>
      </c>
      <c r="G37" s="54" t="n">
        <v>44684</v>
      </c>
      <c r="H37" s="29" t="n">
        <v>2597851</v>
      </c>
      <c r="I37" s="43" t="n">
        <v>12</v>
      </c>
      <c r="J37" s="29">
        <f>IF(I37&gt;0,H37/I37,0)</f>
        <v/>
      </c>
      <c r="K37" s="35">
        <f>YEAR('14a_pidr_parametres'!$B$5)-F37</f>
        <v/>
      </c>
      <c r="L37" s="37">
        <f>MAX(DATEDIF(G37,'14a_pidr_parametres'!$B$5,"m"),0)/12</f>
        <v/>
      </c>
      <c r="M37" s="35">
        <f>MAX('14a_pidr_parametres'!$B$6-K37,0)</f>
        <v/>
      </c>
      <c r="N37" s="29">
        <f>J37*(0.3*MIN(L37,5)+0.35*MIN(MAX(L37-5,0),5)+0.4*MAX(L37-10,0))</f>
        <v/>
      </c>
      <c r="O37" s="29">
        <f>J37*(1+'14a_pidr_parametres'!$B$8)^M37*(0.3*MIN((L37+M37),5)+0.35*MIN(MAX((L37+M37)-5,0),5)+0.4*MAX((L37+M37)-10,0))</f>
        <v/>
      </c>
      <c r="P37" s="55">
        <f>IF(L37+M37&gt;0,L37/(L37+M37),0)</f>
        <v/>
      </c>
      <c r="Q37" s="55">
        <f>VLOOKUP(K37+M37,'14t_table_cima_f'!$A$5:$B$115,2,0)/VLOOKUP(K37,'14t_table_cima_f'!$A$5:$B$115,2,0)</f>
        <v/>
      </c>
      <c r="R37" s="55">
        <f>(1-'14a_pidr_parametres'!$B$9)^M37</f>
        <v/>
      </c>
      <c r="S37" s="55">
        <f>(1+'14a_pidr_parametres'!$B$7)^-M37</f>
        <v/>
      </c>
      <c r="T37" s="29">
        <f>O37*P37*Q37*R37*S37</f>
        <v/>
      </c>
    </row>
    <row r="38">
      <c r="A38" s="27" t="inlineStr">
        <is>
          <t>A25-34</t>
        </is>
      </c>
      <c r="B38" s="30" t="inlineStr">
        <is>
          <t>OBRA</t>
        </is>
      </c>
      <c r="C38" s="30" t="inlineStr">
        <is>
          <t>ACHI CHRISTINE</t>
        </is>
      </c>
      <c r="D38" s="30" t="inlineStr">
        <is>
          <t>CMP</t>
        </is>
      </c>
      <c r="E38" s="30" t="inlineStr">
        <is>
          <t>RECAPSALAIRES 2024 CMP</t>
        </is>
      </c>
      <c r="F38" s="45" t="n">
        <v>1974</v>
      </c>
      <c r="G38" s="56" t="n">
        <v>44684</v>
      </c>
      <c r="H38" s="31" t="n">
        <v>1948339</v>
      </c>
      <c r="I38" s="45" t="n">
        <v>12</v>
      </c>
      <c r="J38" s="31">
        <f>IF(I38&gt;0,H38/I38,0)</f>
        <v/>
      </c>
      <c r="K38" s="36">
        <f>YEAR('14a_pidr_parametres'!$B$5)-F38</f>
        <v/>
      </c>
      <c r="L38" s="38">
        <f>MAX(DATEDIF(G38,'14a_pidr_parametres'!$B$5,"m"),0)/12</f>
        <v/>
      </c>
      <c r="M38" s="36">
        <f>MAX('14a_pidr_parametres'!$B$6-K38,0)</f>
        <v/>
      </c>
      <c r="N38" s="31">
        <f>J38*(0.3*MIN(L38,5)+0.35*MIN(MAX(L38-5,0),5)+0.4*MAX(L38-10,0))</f>
        <v/>
      </c>
      <c r="O38" s="31">
        <f>J38*(1+'14a_pidr_parametres'!$B$8)^M38*(0.3*MIN((L38+M38),5)+0.35*MIN(MAX((L38+M38)-5,0),5)+0.4*MAX((L38+M38)-10,0))</f>
        <v/>
      </c>
      <c r="P38" s="57">
        <f>IF(L38+M38&gt;0,L38/(L38+M38),0)</f>
        <v/>
      </c>
      <c r="Q38" s="57">
        <f>VLOOKUP(K38+M38,'14t_table_cima_f'!$A$5:$B$115,2,0)/VLOOKUP(K38,'14t_table_cima_f'!$A$5:$B$115,2,0)</f>
        <v/>
      </c>
      <c r="R38" s="57">
        <f>(1-'14a_pidr_parametres'!$B$9)^M38</f>
        <v/>
      </c>
      <c r="S38" s="57">
        <f>(1+'14a_pidr_parametres'!$B$7)^-M38</f>
        <v/>
      </c>
      <c r="T38" s="31">
        <f>O38*P38*Q38*R38*S38</f>
        <v/>
      </c>
    </row>
    <row r="39">
      <c r="A39" s="27" t="inlineStr">
        <is>
          <t>A25-35</t>
        </is>
      </c>
      <c r="B39" s="28" t="inlineStr">
        <is>
          <t>DIGBEU</t>
        </is>
      </c>
      <c r="C39" s="28" t="inlineStr">
        <is>
          <t>OLGA</t>
        </is>
      </c>
      <c r="D39" s="28" t="inlineStr">
        <is>
          <t>CMP</t>
        </is>
      </c>
      <c r="E39" s="28" t="inlineStr">
        <is>
          <t>RECAPSALAIRES 2024 CMP</t>
        </is>
      </c>
      <c r="F39" s="43" t="n">
        <v>1998</v>
      </c>
      <c r="G39" s="54" t="n">
        <v>44684</v>
      </c>
      <c r="H39" s="29" t="n">
        <v>1936970</v>
      </c>
      <c r="I39" s="43" t="n">
        <v>12</v>
      </c>
      <c r="J39" s="29">
        <f>IF(I39&gt;0,H39/I39,0)</f>
        <v/>
      </c>
      <c r="K39" s="35">
        <f>YEAR('14a_pidr_parametres'!$B$5)-F39</f>
        <v/>
      </c>
      <c r="L39" s="37">
        <f>MAX(DATEDIF(G39,'14a_pidr_parametres'!$B$5,"m"),0)/12</f>
        <v/>
      </c>
      <c r="M39" s="35">
        <f>MAX('14a_pidr_parametres'!$B$6-K39,0)</f>
        <v/>
      </c>
      <c r="N39" s="29">
        <f>J39*(0.3*MIN(L39,5)+0.35*MIN(MAX(L39-5,0),5)+0.4*MAX(L39-10,0))</f>
        <v/>
      </c>
      <c r="O39" s="29">
        <f>J39*(1+'14a_pidr_parametres'!$B$8)^M39*(0.3*MIN((L39+M39),5)+0.35*MIN(MAX((L39+M39)-5,0),5)+0.4*MAX((L39+M39)-10,0))</f>
        <v/>
      </c>
      <c r="P39" s="55">
        <f>IF(L39+M39&gt;0,L39/(L39+M39),0)</f>
        <v/>
      </c>
      <c r="Q39" s="55">
        <f>VLOOKUP(K39+M39,'14t_table_cima_f'!$A$5:$B$115,2,0)/VLOOKUP(K39,'14t_table_cima_f'!$A$5:$B$115,2,0)</f>
        <v/>
      </c>
      <c r="R39" s="55">
        <f>(1-'14a_pidr_parametres'!$B$9)^M39</f>
        <v/>
      </c>
      <c r="S39" s="55">
        <f>(1+'14a_pidr_parametres'!$B$7)^-M39</f>
        <v/>
      </c>
      <c r="T39" s="29">
        <f>O39*P39*Q39*R39*S39</f>
        <v/>
      </c>
    </row>
    <row r="40">
      <c r="A40" s="27" t="inlineStr">
        <is>
          <t>A25-36</t>
        </is>
      </c>
      <c r="B40" s="30" t="inlineStr">
        <is>
          <t>COULIBALY</t>
        </is>
      </c>
      <c r="C40" s="30" t="inlineStr">
        <is>
          <t>ABDOULAYE</t>
        </is>
      </c>
      <c r="D40" s="30" t="inlineStr">
        <is>
          <t>CMP</t>
        </is>
      </c>
      <c r="E40" s="30" t="inlineStr">
        <is>
          <t>RECAPSALAIRES 2024 CMP</t>
        </is>
      </c>
      <c r="F40" s="45" t="n">
        <v>1976</v>
      </c>
      <c r="G40" s="56" t="n">
        <v>44684</v>
      </c>
      <c r="H40" s="31" t="n">
        <v>4624879</v>
      </c>
      <c r="I40" s="45" t="n">
        <v>12</v>
      </c>
      <c r="J40" s="31">
        <f>IF(I40&gt;0,H40/I40,0)</f>
        <v/>
      </c>
      <c r="K40" s="36">
        <f>YEAR('14a_pidr_parametres'!$B$5)-F40</f>
        <v/>
      </c>
      <c r="L40" s="38">
        <f>MAX(DATEDIF(G40,'14a_pidr_parametres'!$B$5,"m"),0)/12</f>
        <v/>
      </c>
      <c r="M40" s="36">
        <f>MAX('14a_pidr_parametres'!$B$6-K40,0)</f>
        <v/>
      </c>
      <c r="N40" s="31">
        <f>J40*(0.3*MIN(L40,5)+0.35*MIN(MAX(L40-5,0),5)+0.4*MAX(L40-10,0))</f>
        <v/>
      </c>
      <c r="O40" s="31">
        <f>J40*(1+'14a_pidr_parametres'!$B$8)^M40*(0.3*MIN((L40+M40),5)+0.35*MIN(MAX((L40+M40)-5,0),5)+0.4*MAX((L40+M40)-10,0))</f>
        <v/>
      </c>
      <c r="P40" s="57">
        <f>IF(L40+M40&gt;0,L40/(L40+M40),0)</f>
        <v/>
      </c>
      <c r="Q40" s="57">
        <f>VLOOKUP(K40+M40,'14t_table_cima_f'!$A$5:$B$115,2,0)/VLOOKUP(K40,'14t_table_cima_f'!$A$5:$B$115,2,0)</f>
        <v/>
      </c>
      <c r="R40" s="57">
        <f>(1-'14a_pidr_parametres'!$B$9)^M40</f>
        <v/>
      </c>
      <c r="S40" s="57">
        <f>(1+'14a_pidr_parametres'!$B$7)^-M40</f>
        <v/>
      </c>
      <c r="T40" s="31">
        <f>O40*P40*Q40*R40*S40</f>
        <v/>
      </c>
    </row>
    <row r="41">
      <c r="A41" s="27" t="inlineStr">
        <is>
          <t>A25-37</t>
        </is>
      </c>
      <c r="B41" s="28" t="inlineStr">
        <is>
          <t>YAO</t>
        </is>
      </c>
      <c r="C41" s="28" t="inlineStr">
        <is>
          <t>AKISSI CHRISTINE</t>
        </is>
      </c>
      <c r="D41" s="28" t="inlineStr">
        <is>
          <t>CMP</t>
        </is>
      </c>
      <c r="E41" s="28" t="inlineStr">
        <is>
          <t>RECAPSALAIRES 2024 CMP</t>
        </is>
      </c>
      <c r="F41" s="43" t="n">
        <v>1994</v>
      </c>
      <c r="G41" s="54" t="n">
        <v>44684</v>
      </c>
      <c r="H41" s="29" t="n">
        <v>1797059</v>
      </c>
      <c r="I41" s="43" t="n">
        <v>12</v>
      </c>
      <c r="J41" s="29">
        <f>IF(I41&gt;0,H41/I41,0)</f>
        <v/>
      </c>
      <c r="K41" s="35">
        <f>YEAR('14a_pidr_parametres'!$B$5)-F41</f>
        <v/>
      </c>
      <c r="L41" s="37">
        <f>MAX(DATEDIF(G41,'14a_pidr_parametres'!$B$5,"m"),0)/12</f>
        <v/>
      </c>
      <c r="M41" s="35">
        <f>MAX('14a_pidr_parametres'!$B$6-K41,0)</f>
        <v/>
      </c>
      <c r="N41" s="29">
        <f>J41*(0.3*MIN(L41,5)+0.35*MIN(MAX(L41-5,0),5)+0.4*MAX(L41-10,0))</f>
        <v/>
      </c>
      <c r="O41" s="29">
        <f>J41*(1+'14a_pidr_parametres'!$B$8)^M41*(0.3*MIN((L41+M41),5)+0.35*MIN(MAX((L41+M41)-5,0),5)+0.4*MAX((L41+M41)-10,0))</f>
        <v/>
      </c>
      <c r="P41" s="55">
        <f>IF(L41+M41&gt;0,L41/(L41+M41),0)</f>
        <v/>
      </c>
      <c r="Q41" s="55">
        <f>VLOOKUP(K41+M41,'14t_table_cima_f'!$A$5:$B$115,2,0)/VLOOKUP(K41,'14t_table_cima_f'!$A$5:$B$115,2,0)</f>
        <v/>
      </c>
      <c r="R41" s="55">
        <f>(1-'14a_pidr_parametres'!$B$9)^M41</f>
        <v/>
      </c>
      <c r="S41" s="55">
        <f>(1+'14a_pidr_parametres'!$B$7)^-M41</f>
        <v/>
      </c>
      <c r="T41" s="29">
        <f>O41*P41*Q41*R41*S41</f>
        <v/>
      </c>
    </row>
    <row r="42">
      <c r="A42" s="27" t="inlineStr">
        <is>
          <t>A25-38</t>
        </is>
      </c>
      <c r="B42" s="30" t="inlineStr">
        <is>
          <t>DJIGRE</t>
        </is>
      </c>
      <c r="C42" s="30" t="inlineStr">
        <is>
          <t>KREKPA ELISABETH</t>
        </is>
      </c>
      <c r="D42" s="30" t="inlineStr">
        <is>
          <t>Direction Générale</t>
        </is>
      </c>
      <c r="E42" s="30" t="inlineStr">
        <is>
          <t>RECAPSALAIRES 2024, hors listes CMP et Grenier</t>
        </is>
      </c>
      <c r="F42" s="45" t="n">
        <v>1997</v>
      </c>
      <c r="G42" s="56" t="n">
        <v>44684</v>
      </c>
      <c r="H42" s="31" t="n">
        <v>2829230</v>
      </c>
      <c r="I42" s="45" t="n">
        <v>12</v>
      </c>
      <c r="J42" s="31">
        <f>IF(I42&gt;0,H42/I42,0)</f>
        <v/>
      </c>
      <c r="K42" s="36">
        <f>YEAR('14a_pidr_parametres'!$B$5)-F42</f>
        <v/>
      </c>
      <c r="L42" s="38">
        <f>MAX(DATEDIF(G42,'14a_pidr_parametres'!$B$5,"m"),0)/12</f>
        <v/>
      </c>
      <c r="M42" s="36">
        <f>MAX('14a_pidr_parametres'!$B$6-K42,0)</f>
        <v/>
      </c>
      <c r="N42" s="31">
        <f>J42*(0.3*MIN(L42,5)+0.35*MIN(MAX(L42-5,0),5)+0.4*MAX(L42-10,0))</f>
        <v/>
      </c>
      <c r="O42" s="31">
        <f>J42*(1+'14a_pidr_parametres'!$B$8)^M42*(0.3*MIN((L42+M42),5)+0.35*MIN(MAX((L42+M42)-5,0),5)+0.4*MAX((L42+M42)-10,0))</f>
        <v/>
      </c>
      <c r="P42" s="57">
        <f>IF(L42+M42&gt;0,L42/(L42+M42),0)</f>
        <v/>
      </c>
      <c r="Q42" s="57">
        <f>VLOOKUP(K42+M42,'14t_table_cima_f'!$A$5:$B$115,2,0)/VLOOKUP(K42,'14t_table_cima_f'!$A$5:$B$115,2,0)</f>
        <v/>
      </c>
      <c r="R42" s="57">
        <f>(1-'14a_pidr_parametres'!$B$9)^M42</f>
        <v/>
      </c>
      <c r="S42" s="57">
        <f>(1+'14a_pidr_parametres'!$B$7)^-M42</f>
        <v/>
      </c>
      <c r="T42" s="31">
        <f>O42*P42*Q42*R42*S42</f>
        <v/>
      </c>
    </row>
    <row r="43">
      <c r="A43" s="27" t="inlineStr">
        <is>
          <t>A25-39</t>
        </is>
      </c>
      <c r="B43" s="28" t="inlineStr">
        <is>
          <t>EKOUNGOU</t>
        </is>
      </c>
      <c r="C43" s="28" t="inlineStr">
        <is>
          <t>AFFOUE LOUISE</t>
        </is>
      </c>
      <c r="D43" s="28" t="inlineStr">
        <is>
          <t>CMP</t>
        </is>
      </c>
      <c r="E43" s="28" t="inlineStr">
        <is>
          <t>RECAPSALAIRES 2024 CMP</t>
        </is>
      </c>
      <c r="F43" s="43" t="n">
        <v>1981</v>
      </c>
      <c r="G43" s="54" t="n">
        <v>44684</v>
      </c>
      <c r="H43" s="29" t="n">
        <v>3175738</v>
      </c>
      <c r="I43" s="43" t="n">
        <v>12</v>
      </c>
      <c r="J43" s="29">
        <f>IF(I43&gt;0,H43/I43,0)</f>
        <v/>
      </c>
      <c r="K43" s="35">
        <f>YEAR('14a_pidr_parametres'!$B$5)-F43</f>
        <v/>
      </c>
      <c r="L43" s="37">
        <f>MAX(DATEDIF(G43,'14a_pidr_parametres'!$B$5,"m"),0)/12</f>
        <v/>
      </c>
      <c r="M43" s="35">
        <f>MAX('14a_pidr_parametres'!$B$6-K43,0)</f>
        <v/>
      </c>
      <c r="N43" s="29">
        <f>J43*(0.3*MIN(L43,5)+0.35*MIN(MAX(L43-5,0),5)+0.4*MAX(L43-10,0))</f>
        <v/>
      </c>
      <c r="O43" s="29">
        <f>J43*(1+'14a_pidr_parametres'!$B$8)^M43*(0.3*MIN((L43+M43),5)+0.35*MIN(MAX((L43+M43)-5,0),5)+0.4*MAX((L43+M43)-10,0))</f>
        <v/>
      </c>
      <c r="P43" s="55">
        <f>IF(L43+M43&gt;0,L43/(L43+M43),0)</f>
        <v/>
      </c>
      <c r="Q43" s="55">
        <f>VLOOKUP(K43+M43,'14t_table_cima_f'!$A$5:$B$115,2,0)/VLOOKUP(K43,'14t_table_cima_f'!$A$5:$B$115,2,0)</f>
        <v/>
      </c>
      <c r="R43" s="55">
        <f>(1-'14a_pidr_parametres'!$B$9)^M43</f>
        <v/>
      </c>
      <c r="S43" s="55">
        <f>(1+'14a_pidr_parametres'!$B$7)^-M43</f>
        <v/>
      </c>
      <c r="T43" s="29">
        <f>O43*P43*Q43*R43*S43</f>
        <v/>
      </c>
    </row>
    <row r="44">
      <c r="A44" s="27" t="inlineStr">
        <is>
          <t>A25-40</t>
        </is>
      </c>
      <c r="B44" s="30" t="inlineStr">
        <is>
          <t>YEO</t>
        </is>
      </c>
      <c r="C44" s="30" t="inlineStr">
        <is>
          <t>TIETANNA</t>
        </is>
      </c>
      <c r="D44" s="30" t="inlineStr">
        <is>
          <t>CMP</t>
        </is>
      </c>
      <c r="E44" s="30" t="inlineStr">
        <is>
          <t>RECAPSALAIRES 2024 CMP</t>
        </is>
      </c>
      <c r="F44" s="45" t="n">
        <v>1978</v>
      </c>
      <c r="G44" s="56" t="n">
        <v>44684</v>
      </c>
      <c r="H44" s="31" t="n">
        <v>3080126</v>
      </c>
      <c r="I44" s="45" t="n">
        <v>12</v>
      </c>
      <c r="J44" s="31">
        <f>IF(I44&gt;0,H44/I44,0)</f>
        <v/>
      </c>
      <c r="K44" s="36">
        <f>YEAR('14a_pidr_parametres'!$B$5)-F44</f>
        <v/>
      </c>
      <c r="L44" s="38">
        <f>MAX(DATEDIF(G44,'14a_pidr_parametres'!$B$5,"m"),0)/12</f>
        <v/>
      </c>
      <c r="M44" s="36">
        <f>MAX('14a_pidr_parametres'!$B$6-K44,0)</f>
        <v/>
      </c>
      <c r="N44" s="31">
        <f>J44*(0.3*MIN(L44,5)+0.35*MIN(MAX(L44-5,0),5)+0.4*MAX(L44-10,0))</f>
        <v/>
      </c>
      <c r="O44" s="31">
        <f>J44*(1+'14a_pidr_parametres'!$B$8)^M44*(0.3*MIN((L44+M44),5)+0.35*MIN(MAX((L44+M44)-5,0),5)+0.4*MAX((L44+M44)-10,0))</f>
        <v/>
      </c>
      <c r="P44" s="57">
        <f>IF(L44+M44&gt;0,L44/(L44+M44),0)</f>
        <v/>
      </c>
      <c r="Q44" s="57">
        <f>VLOOKUP(K44+M44,'14t_table_cima_f'!$A$5:$B$115,2,0)/VLOOKUP(K44,'14t_table_cima_f'!$A$5:$B$115,2,0)</f>
        <v/>
      </c>
      <c r="R44" s="57">
        <f>(1-'14a_pidr_parametres'!$B$9)^M44</f>
        <v/>
      </c>
      <c r="S44" s="57">
        <f>(1+'14a_pidr_parametres'!$B$7)^-M44</f>
        <v/>
      </c>
      <c r="T44" s="31">
        <f>O44*P44*Q44*R44*S44</f>
        <v/>
      </c>
    </row>
    <row r="45">
      <c r="A45" s="27" t="inlineStr">
        <is>
          <t>A25-41</t>
        </is>
      </c>
      <c r="B45" s="28" t="inlineStr">
        <is>
          <t>N'DRI</t>
        </is>
      </c>
      <c r="C45" s="28" t="inlineStr">
        <is>
          <t>AMENAN TARA FISCHER</t>
        </is>
      </c>
      <c r="D45" s="28" t="inlineStr">
        <is>
          <t>CMP</t>
        </is>
      </c>
      <c r="E45" s="28" t="inlineStr">
        <is>
          <t>RECAPSALAIRES 2024 CMP</t>
        </is>
      </c>
      <c r="F45" s="43" t="n">
        <v>1989</v>
      </c>
      <c r="G45" s="54" t="n">
        <v>44684</v>
      </c>
      <c r="H45" s="29" t="n">
        <v>2507817</v>
      </c>
      <c r="I45" s="43" t="n">
        <v>12</v>
      </c>
      <c r="J45" s="29">
        <f>IF(I45&gt;0,H45/I45,0)</f>
        <v/>
      </c>
      <c r="K45" s="35">
        <f>YEAR('14a_pidr_parametres'!$B$5)-F45</f>
        <v/>
      </c>
      <c r="L45" s="37">
        <f>MAX(DATEDIF(G45,'14a_pidr_parametres'!$B$5,"m"),0)/12</f>
        <v/>
      </c>
      <c r="M45" s="35">
        <f>MAX('14a_pidr_parametres'!$B$6-K45,0)</f>
        <v/>
      </c>
      <c r="N45" s="29">
        <f>J45*(0.3*MIN(L45,5)+0.35*MIN(MAX(L45-5,0),5)+0.4*MAX(L45-10,0))</f>
        <v/>
      </c>
      <c r="O45" s="29">
        <f>J45*(1+'14a_pidr_parametres'!$B$8)^M45*(0.3*MIN((L45+M45),5)+0.35*MIN(MAX((L45+M45)-5,0),5)+0.4*MAX((L45+M45)-10,0))</f>
        <v/>
      </c>
      <c r="P45" s="55">
        <f>IF(L45+M45&gt;0,L45/(L45+M45),0)</f>
        <v/>
      </c>
      <c r="Q45" s="55">
        <f>VLOOKUP(K45+M45,'14t_table_cima_f'!$A$5:$B$115,2,0)/VLOOKUP(K45,'14t_table_cima_f'!$A$5:$B$115,2,0)</f>
        <v/>
      </c>
      <c r="R45" s="55">
        <f>(1-'14a_pidr_parametres'!$B$9)^M45</f>
        <v/>
      </c>
      <c r="S45" s="55">
        <f>(1+'14a_pidr_parametres'!$B$7)^-M45</f>
        <v/>
      </c>
      <c r="T45" s="29">
        <f>O45*P45*Q45*R45*S45</f>
        <v/>
      </c>
    </row>
    <row r="46">
      <c r="A46" s="27" t="inlineStr">
        <is>
          <t>A25-42</t>
        </is>
      </c>
      <c r="B46" s="30" t="inlineStr">
        <is>
          <t>KOUADJO</t>
        </is>
      </c>
      <c r="C46" s="30" t="inlineStr">
        <is>
          <t>VERONIQUE EVE</t>
        </is>
      </c>
      <c r="D46" s="30" t="inlineStr">
        <is>
          <t>CMP</t>
        </is>
      </c>
      <c r="E46" s="30" t="inlineStr">
        <is>
          <t>RECAPSALAIRES 2024 CMP</t>
        </is>
      </c>
      <c r="F46" s="45" t="n">
        <v>1987</v>
      </c>
      <c r="G46" s="56" t="n">
        <v>44684</v>
      </c>
      <c r="H46" s="31" t="n">
        <v>2130216</v>
      </c>
      <c r="I46" s="45" t="n">
        <v>12</v>
      </c>
      <c r="J46" s="31">
        <f>IF(I46&gt;0,H46/I46,0)</f>
        <v/>
      </c>
      <c r="K46" s="36">
        <f>YEAR('14a_pidr_parametres'!$B$5)-F46</f>
        <v/>
      </c>
      <c r="L46" s="38">
        <f>MAX(DATEDIF(G46,'14a_pidr_parametres'!$B$5,"m"),0)/12</f>
        <v/>
      </c>
      <c r="M46" s="36">
        <f>MAX('14a_pidr_parametres'!$B$6-K46,0)</f>
        <v/>
      </c>
      <c r="N46" s="31">
        <f>J46*(0.3*MIN(L46,5)+0.35*MIN(MAX(L46-5,0),5)+0.4*MAX(L46-10,0))</f>
        <v/>
      </c>
      <c r="O46" s="31">
        <f>J46*(1+'14a_pidr_parametres'!$B$8)^M46*(0.3*MIN((L46+M46),5)+0.35*MIN(MAX((L46+M46)-5,0),5)+0.4*MAX((L46+M46)-10,0))</f>
        <v/>
      </c>
      <c r="P46" s="57">
        <f>IF(L46+M46&gt;0,L46/(L46+M46),0)</f>
        <v/>
      </c>
      <c r="Q46" s="57">
        <f>VLOOKUP(K46+M46,'14t_table_cima_f'!$A$5:$B$115,2,0)/VLOOKUP(K46,'14t_table_cima_f'!$A$5:$B$115,2,0)</f>
        <v/>
      </c>
      <c r="R46" s="57">
        <f>(1-'14a_pidr_parametres'!$B$9)^M46</f>
        <v/>
      </c>
      <c r="S46" s="57">
        <f>(1+'14a_pidr_parametres'!$B$7)^-M46</f>
        <v/>
      </c>
      <c r="T46" s="31">
        <f>O46*P46*Q46*R46*S46</f>
        <v/>
      </c>
    </row>
    <row r="47">
      <c r="A47" s="27" t="inlineStr">
        <is>
          <t>A25-43</t>
        </is>
      </c>
      <c r="B47" s="28" t="inlineStr">
        <is>
          <t>COULIBALY</t>
        </is>
      </c>
      <c r="C47" s="28" t="inlineStr">
        <is>
          <t>TENON</t>
        </is>
      </c>
      <c r="D47" s="28" t="inlineStr">
        <is>
          <t>CMP</t>
        </is>
      </c>
      <c r="E47" s="28" t="inlineStr">
        <is>
          <t>RECAPSALAIRES 2024 CMP</t>
        </is>
      </c>
      <c r="F47" s="43" t="n">
        <v>1987</v>
      </c>
      <c r="G47" s="54" t="n">
        <v>44684</v>
      </c>
      <c r="H47" s="29" t="n">
        <v>2826583</v>
      </c>
      <c r="I47" s="43" t="n">
        <v>12</v>
      </c>
      <c r="J47" s="29">
        <f>IF(I47&gt;0,H47/I47,0)</f>
        <v/>
      </c>
      <c r="K47" s="35">
        <f>YEAR('14a_pidr_parametres'!$B$5)-F47</f>
        <v/>
      </c>
      <c r="L47" s="37">
        <f>MAX(DATEDIF(G47,'14a_pidr_parametres'!$B$5,"m"),0)/12</f>
        <v/>
      </c>
      <c r="M47" s="35">
        <f>MAX('14a_pidr_parametres'!$B$6-K47,0)</f>
        <v/>
      </c>
      <c r="N47" s="29">
        <f>J47*(0.3*MIN(L47,5)+0.35*MIN(MAX(L47-5,0),5)+0.4*MAX(L47-10,0))</f>
        <v/>
      </c>
      <c r="O47" s="29">
        <f>J47*(1+'14a_pidr_parametres'!$B$8)^M47*(0.3*MIN((L47+M47),5)+0.35*MIN(MAX((L47+M47)-5,0),5)+0.4*MAX((L47+M47)-10,0))</f>
        <v/>
      </c>
      <c r="P47" s="55">
        <f>IF(L47+M47&gt;0,L47/(L47+M47),0)</f>
        <v/>
      </c>
      <c r="Q47" s="55">
        <f>VLOOKUP(K47+M47,'14t_table_cima_f'!$A$5:$B$115,2,0)/VLOOKUP(K47,'14t_table_cima_f'!$A$5:$B$115,2,0)</f>
        <v/>
      </c>
      <c r="R47" s="55">
        <f>(1-'14a_pidr_parametres'!$B$9)^M47</f>
        <v/>
      </c>
      <c r="S47" s="55">
        <f>(1+'14a_pidr_parametres'!$B$7)^-M47</f>
        <v/>
      </c>
      <c r="T47" s="29">
        <f>O47*P47*Q47*R47*S47</f>
        <v/>
      </c>
    </row>
    <row r="48">
      <c r="A48" s="27" t="inlineStr">
        <is>
          <t>A25-44</t>
        </is>
      </c>
      <c r="B48" s="30" t="inlineStr">
        <is>
          <t>AKOUBIA</t>
        </is>
      </c>
      <c r="C48" s="30" t="inlineStr">
        <is>
          <t>DJATOUGBE</t>
        </is>
      </c>
      <c r="D48" s="30" t="inlineStr">
        <is>
          <t>CMP</t>
        </is>
      </c>
      <c r="E48" s="30" t="inlineStr">
        <is>
          <t>RECAPSALAIRES 2024 CMP</t>
        </is>
      </c>
      <c r="F48" s="45" t="n">
        <v>1980</v>
      </c>
      <c r="G48" s="56" t="n">
        <v>44684</v>
      </c>
      <c r="H48" s="31" t="n">
        <v>2174670</v>
      </c>
      <c r="I48" s="45" t="n">
        <v>12</v>
      </c>
      <c r="J48" s="31">
        <f>IF(I48&gt;0,H48/I48,0)</f>
        <v/>
      </c>
      <c r="K48" s="36">
        <f>YEAR('14a_pidr_parametres'!$B$5)-F48</f>
        <v/>
      </c>
      <c r="L48" s="38">
        <f>MAX(DATEDIF(G48,'14a_pidr_parametres'!$B$5,"m"),0)/12</f>
        <v/>
      </c>
      <c r="M48" s="36">
        <f>MAX('14a_pidr_parametres'!$B$6-K48,0)</f>
        <v/>
      </c>
      <c r="N48" s="31">
        <f>J48*(0.3*MIN(L48,5)+0.35*MIN(MAX(L48-5,0),5)+0.4*MAX(L48-10,0))</f>
        <v/>
      </c>
      <c r="O48" s="31">
        <f>J48*(1+'14a_pidr_parametres'!$B$8)^M48*(0.3*MIN((L48+M48),5)+0.35*MIN(MAX((L48+M48)-5,0),5)+0.4*MAX((L48+M48)-10,0))</f>
        <v/>
      </c>
      <c r="P48" s="57">
        <f>IF(L48+M48&gt;0,L48/(L48+M48),0)</f>
        <v/>
      </c>
      <c r="Q48" s="57">
        <f>VLOOKUP(K48+M48,'14t_table_cima_f'!$A$5:$B$115,2,0)/VLOOKUP(K48,'14t_table_cima_f'!$A$5:$B$115,2,0)</f>
        <v/>
      </c>
      <c r="R48" s="57">
        <f>(1-'14a_pidr_parametres'!$B$9)^M48</f>
        <v/>
      </c>
      <c r="S48" s="57">
        <f>(1+'14a_pidr_parametres'!$B$7)^-M48</f>
        <v/>
      </c>
      <c r="T48" s="31">
        <f>O48*P48*Q48*R48*S48</f>
        <v/>
      </c>
    </row>
    <row r="49">
      <c r="A49" s="27" t="inlineStr">
        <is>
          <t>A25-45</t>
        </is>
      </c>
      <c r="B49" s="28" t="inlineStr">
        <is>
          <t>ZANE</t>
        </is>
      </c>
      <c r="C49" s="28" t="inlineStr">
        <is>
          <t>ISSIAKA</t>
        </is>
      </c>
      <c r="D49" s="28" t="inlineStr">
        <is>
          <t>CMP</t>
        </is>
      </c>
      <c r="E49" s="28" t="inlineStr">
        <is>
          <t>RECAPSALAIRES 2024 CMP</t>
        </is>
      </c>
      <c r="F49" s="43" t="n">
        <v>1988</v>
      </c>
      <c r="G49" s="54" t="n">
        <v>44805</v>
      </c>
      <c r="H49" s="29" t="n">
        <v>1304374</v>
      </c>
      <c r="I49" s="43" t="n">
        <v>12</v>
      </c>
      <c r="J49" s="29">
        <f>IF(I49&gt;0,H49/I49,0)</f>
        <v/>
      </c>
      <c r="K49" s="35">
        <f>YEAR('14a_pidr_parametres'!$B$5)-F49</f>
        <v/>
      </c>
      <c r="L49" s="37">
        <f>MAX(DATEDIF(G49,'14a_pidr_parametres'!$B$5,"m"),0)/12</f>
        <v/>
      </c>
      <c r="M49" s="35">
        <f>MAX('14a_pidr_parametres'!$B$6-K49,0)</f>
        <v/>
      </c>
      <c r="N49" s="29">
        <f>J49*(0.3*MIN(L49,5)+0.35*MIN(MAX(L49-5,0),5)+0.4*MAX(L49-10,0))</f>
        <v/>
      </c>
      <c r="O49" s="29">
        <f>J49*(1+'14a_pidr_parametres'!$B$8)^M49*(0.3*MIN((L49+M49),5)+0.35*MIN(MAX((L49+M49)-5,0),5)+0.4*MAX((L49+M49)-10,0))</f>
        <v/>
      </c>
      <c r="P49" s="55">
        <f>IF(L49+M49&gt;0,L49/(L49+M49),0)</f>
        <v/>
      </c>
      <c r="Q49" s="55">
        <f>VLOOKUP(K49+M49,'14t_table_cima_f'!$A$5:$B$115,2,0)/VLOOKUP(K49,'14t_table_cima_f'!$A$5:$B$115,2,0)</f>
        <v/>
      </c>
      <c r="R49" s="55">
        <f>(1-'14a_pidr_parametres'!$B$9)^M49</f>
        <v/>
      </c>
      <c r="S49" s="55">
        <f>(1+'14a_pidr_parametres'!$B$7)^-M49</f>
        <v/>
      </c>
      <c r="T49" s="29">
        <f>O49*P49*Q49*R49*S49</f>
        <v/>
      </c>
    </row>
    <row r="50">
      <c r="A50" s="27" t="inlineStr">
        <is>
          <t>A25-46</t>
        </is>
      </c>
      <c r="B50" s="30" t="inlineStr">
        <is>
          <t>MAHAN</t>
        </is>
      </c>
      <c r="C50" s="30" t="inlineStr">
        <is>
          <t>DONHO MARIE LAURE</t>
        </is>
      </c>
      <c r="D50" s="30" t="inlineStr">
        <is>
          <t>CMP</t>
        </is>
      </c>
      <c r="E50" s="30" t="inlineStr">
        <is>
          <t>RECAPSALAIRES 2024 CMP</t>
        </is>
      </c>
      <c r="F50" s="45" t="n">
        <v>1986</v>
      </c>
      <c r="G50" s="56" t="n">
        <v>44805</v>
      </c>
      <c r="H50" s="31" t="n">
        <v>1360164</v>
      </c>
      <c r="I50" s="45" t="n">
        <v>12</v>
      </c>
      <c r="J50" s="31">
        <f>IF(I50&gt;0,H50/I50,0)</f>
        <v/>
      </c>
      <c r="K50" s="36">
        <f>YEAR('14a_pidr_parametres'!$B$5)-F50</f>
        <v/>
      </c>
      <c r="L50" s="38">
        <f>MAX(DATEDIF(G50,'14a_pidr_parametres'!$B$5,"m"),0)/12</f>
        <v/>
      </c>
      <c r="M50" s="36">
        <f>MAX('14a_pidr_parametres'!$B$6-K50,0)</f>
        <v/>
      </c>
      <c r="N50" s="31">
        <f>J50*(0.3*MIN(L50,5)+0.35*MIN(MAX(L50-5,0),5)+0.4*MAX(L50-10,0))</f>
        <v/>
      </c>
      <c r="O50" s="31">
        <f>J50*(1+'14a_pidr_parametres'!$B$8)^M50*(0.3*MIN((L50+M50),5)+0.35*MIN(MAX((L50+M50)-5,0),5)+0.4*MAX((L50+M50)-10,0))</f>
        <v/>
      </c>
      <c r="P50" s="57">
        <f>IF(L50+M50&gt;0,L50/(L50+M50),0)</f>
        <v/>
      </c>
      <c r="Q50" s="57">
        <f>VLOOKUP(K50+M50,'14t_table_cima_f'!$A$5:$B$115,2,0)/VLOOKUP(K50,'14t_table_cima_f'!$A$5:$B$115,2,0)</f>
        <v/>
      </c>
      <c r="R50" s="57">
        <f>(1-'14a_pidr_parametres'!$B$9)^M50</f>
        <v/>
      </c>
      <c r="S50" s="57">
        <f>(1+'14a_pidr_parametres'!$B$7)^-M50</f>
        <v/>
      </c>
      <c r="T50" s="31">
        <f>O50*P50*Q50*R50*S50</f>
        <v/>
      </c>
    </row>
    <row r="51">
      <c r="A51" s="27" t="inlineStr">
        <is>
          <t>A25-47</t>
        </is>
      </c>
      <c r="B51" s="28" t="inlineStr">
        <is>
          <t>KOMI</t>
        </is>
      </c>
      <c r="C51" s="28" t="inlineStr">
        <is>
          <t>GISELE</t>
        </is>
      </c>
      <c r="D51" s="28" t="inlineStr">
        <is>
          <t>CMP</t>
        </is>
      </c>
      <c r="E51" s="28" t="inlineStr">
        <is>
          <t>RECAPSALAIRES 2024 CMP</t>
        </is>
      </c>
      <c r="F51" s="43" t="n">
        <v>1984</v>
      </c>
      <c r="G51" s="54" t="n">
        <v>44805</v>
      </c>
      <c r="H51" s="29" t="n">
        <v>1383271</v>
      </c>
      <c r="I51" s="43" t="n">
        <v>12</v>
      </c>
      <c r="J51" s="29">
        <f>IF(I51&gt;0,H51/I51,0)</f>
        <v/>
      </c>
      <c r="K51" s="35">
        <f>YEAR('14a_pidr_parametres'!$B$5)-F51</f>
        <v/>
      </c>
      <c r="L51" s="37">
        <f>MAX(DATEDIF(G51,'14a_pidr_parametres'!$B$5,"m"),0)/12</f>
        <v/>
      </c>
      <c r="M51" s="35">
        <f>MAX('14a_pidr_parametres'!$B$6-K51,0)</f>
        <v/>
      </c>
      <c r="N51" s="29">
        <f>J51*(0.3*MIN(L51,5)+0.35*MIN(MAX(L51-5,0),5)+0.4*MAX(L51-10,0))</f>
        <v/>
      </c>
      <c r="O51" s="29">
        <f>J51*(1+'14a_pidr_parametres'!$B$8)^M51*(0.3*MIN((L51+M51),5)+0.35*MIN(MAX((L51+M51)-5,0),5)+0.4*MAX((L51+M51)-10,0))</f>
        <v/>
      </c>
      <c r="P51" s="55">
        <f>IF(L51+M51&gt;0,L51/(L51+M51),0)</f>
        <v/>
      </c>
      <c r="Q51" s="55">
        <f>VLOOKUP(K51+M51,'14t_table_cima_f'!$A$5:$B$115,2,0)/VLOOKUP(K51,'14t_table_cima_f'!$A$5:$B$115,2,0)</f>
        <v/>
      </c>
      <c r="R51" s="55">
        <f>(1-'14a_pidr_parametres'!$B$9)^M51</f>
        <v/>
      </c>
      <c r="S51" s="55">
        <f>(1+'14a_pidr_parametres'!$B$7)^-M51</f>
        <v/>
      </c>
      <c r="T51" s="29">
        <f>O51*P51*Q51*R51*S51</f>
        <v/>
      </c>
    </row>
    <row r="52">
      <c r="A52" s="27" t="inlineStr">
        <is>
          <t>A25-48</t>
        </is>
      </c>
      <c r="B52" s="30" t="inlineStr">
        <is>
          <t>BAMA</t>
        </is>
      </c>
      <c r="C52" s="30" t="inlineStr">
        <is>
          <t>LYDIE</t>
        </is>
      </c>
      <c r="D52" s="30" t="inlineStr">
        <is>
          <t>Direction Générale</t>
        </is>
      </c>
      <c r="E52" s="30" t="inlineStr">
        <is>
          <t>RECAPSALAIRES 2024, hors listes CMP et Grenier</t>
        </is>
      </c>
      <c r="F52" s="45" t="n">
        <v>1981</v>
      </c>
      <c r="G52" s="56" t="n">
        <v>44852</v>
      </c>
      <c r="H52" s="31" t="n">
        <v>3513784</v>
      </c>
      <c r="I52" s="45" t="n">
        <v>12</v>
      </c>
      <c r="J52" s="31">
        <f>IF(I52&gt;0,H52/I52,0)</f>
        <v/>
      </c>
      <c r="K52" s="36">
        <f>YEAR('14a_pidr_parametres'!$B$5)-F52</f>
        <v/>
      </c>
      <c r="L52" s="38">
        <f>MAX(DATEDIF(G52,'14a_pidr_parametres'!$B$5,"m"),0)/12</f>
        <v/>
      </c>
      <c r="M52" s="36">
        <f>MAX('14a_pidr_parametres'!$B$6-K52,0)</f>
        <v/>
      </c>
      <c r="N52" s="31">
        <f>J52*(0.3*MIN(L52,5)+0.35*MIN(MAX(L52-5,0),5)+0.4*MAX(L52-10,0))</f>
        <v/>
      </c>
      <c r="O52" s="31">
        <f>J52*(1+'14a_pidr_parametres'!$B$8)^M52*(0.3*MIN((L52+M52),5)+0.35*MIN(MAX((L52+M52)-5,0),5)+0.4*MAX((L52+M52)-10,0))</f>
        <v/>
      </c>
      <c r="P52" s="57">
        <f>IF(L52+M52&gt;0,L52/(L52+M52),0)</f>
        <v/>
      </c>
      <c r="Q52" s="57">
        <f>VLOOKUP(K52+M52,'14t_table_cima_f'!$A$5:$B$115,2,0)/VLOOKUP(K52,'14t_table_cima_f'!$A$5:$B$115,2,0)</f>
        <v/>
      </c>
      <c r="R52" s="57">
        <f>(1-'14a_pidr_parametres'!$B$9)^M52</f>
        <v/>
      </c>
      <c r="S52" s="57">
        <f>(1+'14a_pidr_parametres'!$B$7)^-M52</f>
        <v/>
      </c>
      <c r="T52" s="31">
        <f>O52*P52*Q52*R52*S52</f>
        <v/>
      </c>
    </row>
    <row r="53">
      <c r="A53" s="27" t="inlineStr">
        <is>
          <t>A25-49</t>
        </is>
      </c>
      <c r="B53" s="28" t="inlineStr">
        <is>
          <t>SERY</t>
        </is>
      </c>
      <c r="C53" s="28" t="inlineStr">
        <is>
          <t>LOU NAN MIREILLE P</t>
        </is>
      </c>
      <c r="D53" s="28" t="inlineStr">
        <is>
          <t>CMP</t>
        </is>
      </c>
      <c r="E53" s="28" t="inlineStr">
        <is>
          <t>RECAPSALAIRES 2024 CMP</t>
        </is>
      </c>
      <c r="F53" s="43" t="n">
        <v>1977</v>
      </c>
      <c r="G53" s="54" t="n">
        <v>45054</v>
      </c>
      <c r="H53" s="29" t="n">
        <v>2409452</v>
      </c>
      <c r="I53" s="43" t="n">
        <v>12</v>
      </c>
      <c r="J53" s="29">
        <f>IF(I53&gt;0,H53/I53,0)</f>
        <v/>
      </c>
      <c r="K53" s="35">
        <f>YEAR('14a_pidr_parametres'!$B$5)-F53</f>
        <v/>
      </c>
      <c r="L53" s="37">
        <f>MAX(DATEDIF(G53,'14a_pidr_parametres'!$B$5,"m"),0)/12</f>
        <v/>
      </c>
      <c r="M53" s="35">
        <f>MAX('14a_pidr_parametres'!$B$6-K53,0)</f>
        <v/>
      </c>
      <c r="N53" s="29">
        <f>J53*(0.3*MIN(L53,5)+0.35*MIN(MAX(L53-5,0),5)+0.4*MAX(L53-10,0))</f>
        <v/>
      </c>
      <c r="O53" s="29">
        <f>J53*(1+'14a_pidr_parametres'!$B$8)^M53*(0.3*MIN((L53+M53),5)+0.35*MIN(MAX((L53+M53)-5,0),5)+0.4*MAX((L53+M53)-10,0))</f>
        <v/>
      </c>
      <c r="P53" s="55">
        <f>IF(L53+M53&gt;0,L53/(L53+M53),0)</f>
        <v/>
      </c>
      <c r="Q53" s="55">
        <f>VLOOKUP(K53+M53,'14t_table_cima_f'!$A$5:$B$115,2,0)/VLOOKUP(K53,'14t_table_cima_f'!$A$5:$B$115,2,0)</f>
        <v/>
      </c>
      <c r="R53" s="55">
        <f>(1-'14a_pidr_parametres'!$B$9)^M53</f>
        <v/>
      </c>
      <c r="S53" s="55">
        <f>(1+'14a_pidr_parametres'!$B$7)^-M53</f>
        <v/>
      </c>
      <c r="T53" s="29">
        <f>O53*P53*Q53*R53*S53</f>
        <v/>
      </c>
    </row>
    <row r="54">
      <c r="A54" s="27" t="inlineStr">
        <is>
          <t>A25-50</t>
        </is>
      </c>
      <c r="B54" s="30" t="inlineStr">
        <is>
          <t>KOUADIO</t>
        </is>
      </c>
      <c r="C54" s="30" t="inlineStr">
        <is>
          <t>KPAGNI HAROLD WILFRIED</t>
        </is>
      </c>
      <c r="D54" s="30" t="inlineStr">
        <is>
          <t>CMP</t>
        </is>
      </c>
      <c r="E54" s="30" t="inlineStr">
        <is>
          <t>RECAPSALAIRES 2024 CMP</t>
        </is>
      </c>
      <c r="F54" s="45" t="n">
        <v>1992</v>
      </c>
      <c r="G54" s="56" t="n">
        <v>45043</v>
      </c>
      <c r="H54" s="31" t="n">
        <v>1812919</v>
      </c>
      <c r="I54" s="45" t="n">
        <v>12</v>
      </c>
      <c r="J54" s="31">
        <f>IF(I54&gt;0,H54/I54,0)</f>
        <v/>
      </c>
      <c r="K54" s="36">
        <f>YEAR('14a_pidr_parametres'!$B$5)-F54</f>
        <v/>
      </c>
      <c r="L54" s="38">
        <f>MAX(DATEDIF(G54,'14a_pidr_parametres'!$B$5,"m"),0)/12</f>
        <v/>
      </c>
      <c r="M54" s="36">
        <f>MAX('14a_pidr_parametres'!$B$6-K54,0)</f>
        <v/>
      </c>
      <c r="N54" s="31">
        <f>J54*(0.3*MIN(L54,5)+0.35*MIN(MAX(L54-5,0),5)+0.4*MAX(L54-10,0))</f>
        <v/>
      </c>
      <c r="O54" s="31">
        <f>J54*(1+'14a_pidr_parametres'!$B$8)^M54*(0.3*MIN((L54+M54),5)+0.35*MIN(MAX((L54+M54)-5,0),5)+0.4*MAX((L54+M54)-10,0))</f>
        <v/>
      </c>
      <c r="P54" s="57">
        <f>IF(L54+M54&gt;0,L54/(L54+M54),0)</f>
        <v/>
      </c>
      <c r="Q54" s="57">
        <f>VLOOKUP(K54+M54,'14t_table_cima_f'!$A$5:$B$115,2,0)/VLOOKUP(K54,'14t_table_cima_f'!$A$5:$B$115,2,0)</f>
        <v/>
      </c>
      <c r="R54" s="57">
        <f>(1-'14a_pidr_parametres'!$B$9)^M54</f>
        <v/>
      </c>
      <c r="S54" s="57">
        <f>(1+'14a_pidr_parametres'!$B$7)^-M54</f>
        <v/>
      </c>
      <c r="T54" s="31">
        <f>O54*P54*Q54*R54*S54</f>
        <v/>
      </c>
    </row>
    <row r="55">
      <c r="A55" s="27" t="inlineStr">
        <is>
          <t>A25-51</t>
        </is>
      </c>
      <c r="B55" s="28" t="inlineStr">
        <is>
          <t>DEHI</t>
        </is>
      </c>
      <c r="C55" s="28" t="inlineStr">
        <is>
          <t>SYLVESTRE</t>
        </is>
      </c>
      <c r="D55" s="28" t="inlineStr">
        <is>
          <t>CMP</t>
        </is>
      </c>
      <c r="E55" s="28" t="inlineStr">
        <is>
          <t>RECAPSALAIRES 2024 CMP</t>
        </is>
      </c>
      <c r="F55" s="43" t="n">
        <v>1984</v>
      </c>
      <c r="G55" s="54" t="n">
        <v>45043</v>
      </c>
      <c r="H55" s="29" t="n">
        <v>1918113</v>
      </c>
      <c r="I55" s="43" t="n">
        <v>12</v>
      </c>
      <c r="J55" s="29">
        <f>IF(I55&gt;0,H55/I55,0)</f>
        <v/>
      </c>
      <c r="K55" s="35">
        <f>YEAR('14a_pidr_parametres'!$B$5)-F55</f>
        <v/>
      </c>
      <c r="L55" s="37">
        <f>MAX(DATEDIF(G55,'14a_pidr_parametres'!$B$5,"m"),0)/12</f>
        <v/>
      </c>
      <c r="M55" s="35">
        <f>MAX('14a_pidr_parametres'!$B$6-K55,0)</f>
        <v/>
      </c>
      <c r="N55" s="29">
        <f>J55*(0.3*MIN(L55,5)+0.35*MIN(MAX(L55-5,0),5)+0.4*MAX(L55-10,0))</f>
        <v/>
      </c>
      <c r="O55" s="29">
        <f>J55*(1+'14a_pidr_parametres'!$B$8)^M55*(0.3*MIN((L55+M55),5)+0.35*MIN(MAX((L55+M55)-5,0),5)+0.4*MAX((L55+M55)-10,0))</f>
        <v/>
      </c>
      <c r="P55" s="55">
        <f>IF(L55+M55&gt;0,L55/(L55+M55),0)</f>
        <v/>
      </c>
      <c r="Q55" s="55">
        <f>VLOOKUP(K55+M55,'14t_table_cima_f'!$A$5:$B$115,2,0)/VLOOKUP(K55,'14t_table_cima_f'!$A$5:$B$115,2,0)</f>
        <v/>
      </c>
      <c r="R55" s="55">
        <f>(1-'14a_pidr_parametres'!$B$9)^M55</f>
        <v/>
      </c>
      <c r="S55" s="55">
        <f>(1+'14a_pidr_parametres'!$B$7)^-M55</f>
        <v/>
      </c>
      <c r="T55" s="29">
        <f>O55*P55*Q55*R55*S55</f>
        <v/>
      </c>
    </row>
    <row r="56">
      <c r="A56" s="27" t="inlineStr">
        <is>
          <t>A25-52</t>
        </is>
      </c>
      <c r="B56" s="30" t="inlineStr">
        <is>
          <t>KOMI</t>
        </is>
      </c>
      <c r="C56" s="30" t="inlineStr">
        <is>
          <t>SOMMEANGNON PAULINE</t>
        </is>
      </c>
      <c r="D56" s="30" t="inlineStr">
        <is>
          <t>CMP</t>
        </is>
      </c>
      <c r="E56" s="30" t="inlineStr">
        <is>
          <t>RECAPSALAIRES 2024 CMP</t>
        </is>
      </c>
      <c r="F56" s="45" t="n">
        <v>1984</v>
      </c>
      <c r="G56" s="56" t="n">
        <v>45047</v>
      </c>
      <c r="H56" s="31" t="n">
        <v>1379367</v>
      </c>
      <c r="I56" s="45" t="n">
        <v>12</v>
      </c>
      <c r="J56" s="31">
        <f>IF(I56&gt;0,H56/I56,0)</f>
        <v/>
      </c>
      <c r="K56" s="36">
        <f>YEAR('14a_pidr_parametres'!$B$5)-F56</f>
        <v/>
      </c>
      <c r="L56" s="38">
        <f>MAX(DATEDIF(G56,'14a_pidr_parametres'!$B$5,"m"),0)/12</f>
        <v/>
      </c>
      <c r="M56" s="36">
        <f>MAX('14a_pidr_parametres'!$B$6-K56,0)</f>
        <v/>
      </c>
      <c r="N56" s="31">
        <f>J56*(0.3*MIN(L56,5)+0.35*MIN(MAX(L56-5,0),5)+0.4*MAX(L56-10,0))</f>
        <v/>
      </c>
      <c r="O56" s="31">
        <f>J56*(1+'14a_pidr_parametres'!$B$8)^M56*(0.3*MIN((L56+M56),5)+0.35*MIN(MAX((L56+M56)-5,0),5)+0.4*MAX((L56+M56)-10,0))</f>
        <v/>
      </c>
      <c r="P56" s="57">
        <f>IF(L56+M56&gt;0,L56/(L56+M56),0)</f>
        <v/>
      </c>
      <c r="Q56" s="57">
        <f>VLOOKUP(K56+M56,'14t_table_cima_f'!$A$5:$B$115,2,0)/VLOOKUP(K56,'14t_table_cima_f'!$A$5:$B$115,2,0)</f>
        <v/>
      </c>
      <c r="R56" s="57">
        <f>(1-'14a_pidr_parametres'!$B$9)^M56</f>
        <v/>
      </c>
      <c r="S56" s="57">
        <f>(1+'14a_pidr_parametres'!$B$7)^-M56</f>
        <v/>
      </c>
      <c r="T56" s="31">
        <f>O56*P56*Q56*R56*S56</f>
        <v/>
      </c>
    </row>
    <row r="57">
      <c r="A57" s="27" t="inlineStr">
        <is>
          <t>A25-53</t>
        </is>
      </c>
      <c r="B57" s="28" t="inlineStr">
        <is>
          <t>NOMBRE</t>
        </is>
      </c>
      <c r="C57" s="28" t="inlineStr">
        <is>
          <t>KARIM</t>
        </is>
      </c>
      <c r="D57" s="28" t="inlineStr">
        <is>
          <t>CMP</t>
        </is>
      </c>
      <c r="E57" s="28" t="inlineStr">
        <is>
          <t>RECAPSALAIRES 2024 CMP</t>
        </is>
      </c>
      <c r="F57" s="43" t="n">
        <v>1969</v>
      </c>
      <c r="G57" s="54" t="n">
        <v>45069</v>
      </c>
      <c r="H57" s="29" t="n">
        <v>1225761</v>
      </c>
      <c r="I57" s="43" t="n">
        <v>12</v>
      </c>
      <c r="J57" s="29">
        <f>IF(I57&gt;0,H57/I57,0)</f>
        <v/>
      </c>
      <c r="K57" s="35">
        <f>YEAR('14a_pidr_parametres'!$B$5)-F57</f>
        <v/>
      </c>
      <c r="L57" s="37">
        <f>MAX(DATEDIF(G57,'14a_pidr_parametres'!$B$5,"m"),0)/12</f>
        <v/>
      </c>
      <c r="M57" s="35">
        <f>MAX('14a_pidr_parametres'!$B$6-K57,0)</f>
        <v/>
      </c>
      <c r="N57" s="29">
        <f>J57*(0.3*MIN(L57,5)+0.35*MIN(MAX(L57-5,0),5)+0.4*MAX(L57-10,0))</f>
        <v/>
      </c>
      <c r="O57" s="29">
        <f>J57*(1+'14a_pidr_parametres'!$B$8)^M57*(0.3*MIN((L57+M57),5)+0.35*MIN(MAX((L57+M57)-5,0),5)+0.4*MAX((L57+M57)-10,0))</f>
        <v/>
      </c>
      <c r="P57" s="55">
        <f>IF(L57+M57&gt;0,L57/(L57+M57),0)</f>
        <v/>
      </c>
      <c r="Q57" s="55">
        <f>VLOOKUP(K57+M57,'14t_table_cima_f'!$A$5:$B$115,2,0)/VLOOKUP(K57,'14t_table_cima_f'!$A$5:$B$115,2,0)</f>
        <v/>
      </c>
      <c r="R57" s="55">
        <f>(1-'14a_pidr_parametres'!$B$9)^M57</f>
        <v/>
      </c>
      <c r="S57" s="55">
        <f>(1+'14a_pidr_parametres'!$B$7)^-M57</f>
        <v/>
      </c>
      <c r="T57" s="29">
        <f>O57*P57*Q57*R57*S57</f>
        <v/>
      </c>
    </row>
    <row r="58">
      <c r="A58" s="27" t="inlineStr">
        <is>
          <t>A25-54</t>
        </is>
      </c>
      <c r="B58" s="30" t="inlineStr">
        <is>
          <t>APHOUMANI</t>
        </is>
      </c>
      <c r="C58" s="30" t="inlineStr">
        <is>
          <t>EPSE YAO AKISSI MELANIE</t>
        </is>
      </c>
      <c r="D58" s="30" t="inlineStr">
        <is>
          <t>CMP</t>
        </is>
      </c>
      <c r="E58" s="30" t="inlineStr">
        <is>
          <t>RECAPSALAIRES 2024 CMP</t>
        </is>
      </c>
      <c r="F58" s="45" t="n">
        <v>1972</v>
      </c>
      <c r="G58" s="56" t="n">
        <v>45086</v>
      </c>
      <c r="H58" s="31" t="n">
        <v>2499223</v>
      </c>
      <c r="I58" s="45" t="n">
        <v>12</v>
      </c>
      <c r="J58" s="31">
        <f>IF(I58&gt;0,H58/I58,0)</f>
        <v/>
      </c>
      <c r="K58" s="36">
        <f>YEAR('14a_pidr_parametres'!$B$5)-F58</f>
        <v/>
      </c>
      <c r="L58" s="38">
        <f>MAX(DATEDIF(G58,'14a_pidr_parametres'!$B$5,"m"),0)/12</f>
        <v/>
      </c>
      <c r="M58" s="36">
        <f>MAX('14a_pidr_parametres'!$B$6-K58,0)</f>
        <v/>
      </c>
      <c r="N58" s="31">
        <f>J58*(0.3*MIN(L58,5)+0.35*MIN(MAX(L58-5,0),5)+0.4*MAX(L58-10,0))</f>
        <v/>
      </c>
      <c r="O58" s="31">
        <f>J58*(1+'14a_pidr_parametres'!$B$8)^M58*(0.3*MIN((L58+M58),5)+0.35*MIN(MAX((L58+M58)-5,0),5)+0.4*MAX((L58+M58)-10,0))</f>
        <v/>
      </c>
      <c r="P58" s="57">
        <f>IF(L58+M58&gt;0,L58/(L58+M58),0)</f>
        <v/>
      </c>
      <c r="Q58" s="57">
        <f>VLOOKUP(K58+M58,'14t_table_cima_f'!$A$5:$B$115,2,0)/VLOOKUP(K58,'14t_table_cima_f'!$A$5:$B$115,2,0)</f>
        <v/>
      </c>
      <c r="R58" s="57">
        <f>(1-'14a_pidr_parametres'!$B$9)^M58</f>
        <v/>
      </c>
      <c r="S58" s="57">
        <f>(1+'14a_pidr_parametres'!$B$7)^-M58</f>
        <v/>
      </c>
      <c r="T58" s="31">
        <f>O58*P58*Q58*R58*S58</f>
        <v/>
      </c>
    </row>
    <row r="59">
      <c r="A59" s="27" t="inlineStr">
        <is>
          <t>A25-55</t>
        </is>
      </c>
      <c r="B59" s="28" t="inlineStr">
        <is>
          <t>TAGRO</t>
        </is>
      </c>
      <c r="C59" s="28" t="inlineStr">
        <is>
          <t>MARIE MELANIE EPSE DRUHI</t>
        </is>
      </c>
      <c r="D59" s="28" t="inlineStr">
        <is>
          <t>CMP</t>
        </is>
      </c>
      <c r="E59" s="28" t="inlineStr">
        <is>
          <t>RECAPSALAIRES 2024 CMP</t>
        </is>
      </c>
      <c r="F59" s="43" t="n">
        <v>1975</v>
      </c>
      <c r="G59" s="54" t="n">
        <v>45139</v>
      </c>
      <c r="H59" s="29" t="n">
        <v>4503433</v>
      </c>
      <c r="I59" s="43" t="n">
        <v>12</v>
      </c>
      <c r="J59" s="29">
        <f>IF(I59&gt;0,H59/I59,0)</f>
        <v/>
      </c>
      <c r="K59" s="35">
        <f>YEAR('14a_pidr_parametres'!$B$5)-F59</f>
        <v/>
      </c>
      <c r="L59" s="37">
        <f>MAX(DATEDIF(G59,'14a_pidr_parametres'!$B$5,"m"),0)/12</f>
        <v/>
      </c>
      <c r="M59" s="35">
        <f>MAX('14a_pidr_parametres'!$B$6-K59,0)</f>
        <v/>
      </c>
      <c r="N59" s="29">
        <f>J59*(0.3*MIN(L59,5)+0.35*MIN(MAX(L59-5,0),5)+0.4*MAX(L59-10,0))</f>
        <v/>
      </c>
      <c r="O59" s="29">
        <f>J59*(1+'14a_pidr_parametres'!$B$8)^M59*(0.3*MIN((L59+M59),5)+0.35*MIN(MAX((L59+M59)-5,0),5)+0.4*MAX((L59+M59)-10,0))</f>
        <v/>
      </c>
      <c r="P59" s="55">
        <f>IF(L59+M59&gt;0,L59/(L59+M59),0)</f>
        <v/>
      </c>
      <c r="Q59" s="55">
        <f>VLOOKUP(K59+M59,'14t_table_cima_f'!$A$5:$B$115,2,0)/VLOOKUP(K59,'14t_table_cima_f'!$A$5:$B$115,2,0)</f>
        <v/>
      </c>
      <c r="R59" s="55">
        <f>(1-'14a_pidr_parametres'!$B$9)^M59</f>
        <v/>
      </c>
      <c r="S59" s="55">
        <f>(1+'14a_pidr_parametres'!$B$7)^-M59</f>
        <v/>
      </c>
      <c r="T59" s="29">
        <f>O59*P59*Q59*R59*S59</f>
        <v/>
      </c>
    </row>
    <row r="60">
      <c r="A60" s="27" t="inlineStr">
        <is>
          <t>A25-56</t>
        </is>
      </c>
      <c r="B60" s="30" t="inlineStr">
        <is>
          <t>KONAN</t>
        </is>
      </c>
      <c r="C60" s="30" t="inlineStr">
        <is>
          <t>EMILE</t>
        </is>
      </c>
      <c r="D60" s="30" t="inlineStr">
        <is>
          <t>CMP</t>
        </is>
      </c>
      <c r="E60" s="30" t="inlineStr">
        <is>
          <t>RECAPSALAIRES 2024 CMP</t>
        </is>
      </c>
      <c r="F60" s="45" t="n">
        <v>1967</v>
      </c>
      <c r="G60" s="56" t="n">
        <v>45310</v>
      </c>
      <c r="H60" s="31" t="n">
        <v>1380801</v>
      </c>
      <c r="I60" s="45" t="n">
        <v>12</v>
      </c>
      <c r="J60" s="31">
        <f>IF(I60&gt;0,H60/I60,0)</f>
        <v/>
      </c>
      <c r="K60" s="36">
        <f>YEAR('14a_pidr_parametres'!$B$5)-F60</f>
        <v/>
      </c>
      <c r="L60" s="38">
        <f>MAX(DATEDIF(G60,'14a_pidr_parametres'!$B$5,"m"),0)/12</f>
        <v/>
      </c>
      <c r="M60" s="36">
        <f>MAX('14a_pidr_parametres'!$B$6-K60,0)</f>
        <v/>
      </c>
      <c r="N60" s="31">
        <f>J60*(0.3*MIN(L60,5)+0.35*MIN(MAX(L60-5,0),5)+0.4*MAX(L60-10,0))</f>
        <v/>
      </c>
      <c r="O60" s="31">
        <f>J60*(1+'14a_pidr_parametres'!$B$8)^M60*(0.3*MIN((L60+M60),5)+0.35*MIN(MAX((L60+M60)-5,0),5)+0.4*MAX((L60+M60)-10,0))</f>
        <v/>
      </c>
      <c r="P60" s="57">
        <f>IF(L60+M60&gt;0,L60/(L60+M60),0)</f>
        <v/>
      </c>
      <c r="Q60" s="57">
        <f>VLOOKUP(K60+M60,'14t_table_cima_f'!$A$5:$B$115,2,0)/VLOOKUP(K60,'14t_table_cima_f'!$A$5:$B$115,2,0)</f>
        <v/>
      </c>
      <c r="R60" s="57">
        <f>(1-'14a_pidr_parametres'!$B$9)^M60</f>
        <v/>
      </c>
      <c r="S60" s="57">
        <f>(1+'14a_pidr_parametres'!$B$7)^-M60</f>
        <v/>
      </c>
      <c r="T60" s="31">
        <f>O60*P60*Q60*R60*S60</f>
        <v/>
      </c>
    </row>
    <row r="61">
      <c r="A61" s="27" t="inlineStr">
        <is>
          <t>A25-57</t>
        </is>
      </c>
      <c r="B61" s="28" t="inlineStr">
        <is>
          <t>KONE</t>
        </is>
      </c>
      <c r="C61" s="28" t="inlineStr">
        <is>
          <t>AICHA</t>
        </is>
      </c>
      <c r="D61" s="28" t="inlineStr">
        <is>
          <t>CMP</t>
        </is>
      </c>
      <c r="E61" s="28" t="inlineStr">
        <is>
          <t>RECAPSALAIRES 2024 CMP</t>
        </is>
      </c>
      <c r="F61" s="43" t="n">
        <v>2002</v>
      </c>
      <c r="G61" s="54" t="n">
        <v>45377</v>
      </c>
      <c r="H61" s="29" t="n">
        <v>2213112</v>
      </c>
      <c r="I61" s="43" t="n">
        <v>11</v>
      </c>
      <c r="J61" s="29">
        <f>IF(I61&gt;0,H61/I61,0)</f>
        <v/>
      </c>
      <c r="K61" s="35">
        <f>YEAR('14a_pidr_parametres'!$B$5)-F61</f>
        <v/>
      </c>
      <c r="L61" s="37">
        <f>MAX(DATEDIF(G61,'14a_pidr_parametres'!$B$5,"m"),0)/12</f>
        <v/>
      </c>
      <c r="M61" s="35">
        <f>MAX('14a_pidr_parametres'!$B$6-K61,0)</f>
        <v/>
      </c>
      <c r="N61" s="29">
        <f>J61*(0.3*MIN(L61,5)+0.35*MIN(MAX(L61-5,0),5)+0.4*MAX(L61-10,0))</f>
        <v/>
      </c>
      <c r="O61" s="29">
        <f>J61*(1+'14a_pidr_parametres'!$B$8)^M61*(0.3*MIN((L61+M61),5)+0.35*MIN(MAX((L61+M61)-5,0),5)+0.4*MAX((L61+M61)-10,0))</f>
        <v/>
      </c>
      <c r="P61" s="55">
        <f>IF(L61+M61&gt;0,L61/(L61+M61),0)</f>
        <v/>
      </c>
      <c r="Q61" s="55">
        <f>VLOOKUP(K61+M61,'14t_table_cima_f'!$A$5:$B$115,2,0)/VLOOKUP(K61,'14t_table_cima_f'!$A$5:$B$115,2,0)</f>
        <v/>
      </c>
      <c r="R61" s="55">
        <f>(1-'14a_pidr_parametres'!$B$9)^M61</f>
        <v/>
      </c>
      <c r="S61" s="55">
        <f>(1+'14a_pidr_parametres'!$B$7)^-M61</f>
        <v/>
      </c>
      <c r="T61" s="29">
        <f>O61*P61*Q61*R61*S61</f>
        <v/>
      </c>
    </row>
    <row r="62">
      <c r="A62" s="27" t="inlineStr">
        <is>
          <t>A25-58</t>
        </is>
      </c>
      <c r="B62" s="30" t="inlineStr">
        <is>
          <t>GAGOURI</t>
        </is>
      </c>
      <c r="C62" s="30" t="inlineStr">
        <is>
          <t>BI BOUIKALO CYRILLE</t>
        </is>
      </c>
      <c r="D62" s="30" t="inlineStr">
        <is>
          <t>CMP</t>
        </is>
      </c>
      <c r="E62" s="30" t="inlineStr">
        <is>
          <t>RECAPSALAIRES 2024 CMP</t>
        </is>
      </c>
      <c r="F62" s="45" t="n">
        <v>1989</v>
      </c>
      <c r="G62" s="56" t="n">
        <v>45453</v>
      </c>
      <c r="H62" s="31" t="n">
        <v>1454416</v>
      </c>
      <c r="I62" s="45" t="n">
        <v>12</v>
      </c>
      <c r="J62" s="31">
        <f>IF(I62&gt;0,H62/I62,0)</f>
        <v/>
      </c>
      <c r="K62" s="36">
        <f>YEAR('14a_pidr_parametres'!$B$5)-F62</f>
        <v/>
      </c>
      <c r="L62" s="38">
        <f>MAX(DATEDIF(G62,'14a_pidr_parametres'!$B$5,"m"),0)/12</f>
        <v/>
      </c>
      <c r="M62" s="36">
        <f>MAX('14a_pidr_parametres'!$B$6-K62,0)</f>
        <v/>
      </c>
      <c r="N62" s="31">
        <f>J62*(0.3*MIN(L62,5)+0.35*MIN(MAX(L62-5,0),5)+0.4*MAX(L62-10,0))</f>
        <v/>
      </c>
      <c r="O62" s="31">
        <f>J62*(1+'14a_pidr_parametres'!$B$8)^M62*(0.3*MIN((L62+M62),5)+0.35*MIN(MAX((L62+M62)-5,0),5)+0.4*MAX((L62+M62)-10,0))</f>
        <v/>
      </c>
      <c r="P62" s="57">
        <f>IF(L62+M62&gt;0,L62/(L62+M62),0)</f>
        <v/>
      </c>
      <c r="Q62" s="57">
        <f>VLOOKUP(K62+M62,'14t_table_cima_f'!$A$5:$B$115,2,0)/VLOOKUP(K62,'14t_table_cima_f'!$A$5:$B$115,2,0)</f>
        <v/>
      </c>
      <c r="R62" s="57">
        <f>(1-'14a_pidr_parametres'!$B$9)^M62</f>
        <v/>
      </c>
      <c r="S62" s="57">
        <f>(1+'14a_pidr_parametres'!$B$7)^-M62</f>
        <v/>
      </c>
      <c r="T62" s="31">
        <f>O62*P62*Q62*R62*S62</f>
        <v/>
      </c>
    </row>
    <row r="63">
      <c r="A63" s="27" t="inlineStr">
        <is>
          <t>A25-59</t>
        </is>
      </c>
      <c r="B63" s="28" t="inlineStr">
        <is>
          <t>YAO</t>
        </is>
      </c>
      <c r="C63" s="28" t="inlineStr">
        <is>
          <t>AMENAN GISELE</t>
        </is>
      </c>
      <c r="D63" s="28" t="inlineStr">
        <is>
          <t>Non documentée</t>
        </is>
      </c>
      <c r="E63" s="28" t="inlineStr">
        <is>
          <t>absent des récapitulatifs de salaires 2024 et 2025</t>
        </is>
      </c>
      <c r="F63" s="43" t="n">
        <v>1993</v>
      </c>
      <c r="G63" s="54" t="n">
        <v>45691</v>
      </c>
      <c r="H63" s="29" t="n">
        <v>3569860</v>
      </c>
      <c r="I63" s="43" t="n">
        <v>12</v>
      </c>
      <c r="J63" s="29">
        <f>IF(I63&gt;0,H63/I63,0)</f>
        <v/>
      </c>
      <c r="K63" s="35">
        <f>YEAR('14a_pidr_parametres'!$B$5)-F63</f>
        <v/>
      </c>
      <c r="L63" s="37">
        <f>MAX(DATEDIF(G63,'14a_pidr_parametres'!$B$5,"m"),0)/12</f>
        <v/>
      </c>
      <c r="M63" s="35">
        <f>MAX('14a_pidr_parametres'!$B$6-K63,0)</f>
        <v/>
      </c>
      <c r="N63" s="29">
        <f>J63*(0.3*MIN(L63,5)+0.35*MIN(MAX(L63-5,0),5)+0.4*MAX(L63-10,0))</f>
        <v/>
      </c>
      <c r="O63" s="29">
        <f>J63*(1+'14a_pidr_parametres'!$B$8)^M63*(0.3*MIN((L63+M63),5)+0.35*MIN(MAX((L63+M63)-5,0),5)+0.4*MAX((L63+M63)-10,0))</f>
        <v/>
      </c>
      <c r="P63" s="55">
        <f>IF(L63+M63&gt;0,L63/(L63+M63),0)</f>
        <v/>
      </c>
      <c r="Q63" s="55">
        <f>VLOOKUP(K63+M63,'14t_table_cima_f'!$A$5:$B$115,2,0)/VLOOKUP(K63,'14t_table_cima_f'!$A$5:$B$115,2,0)</f>
        <v/>
      </c>
      <c r="R63" s="55">
        <f>(1-'14a_pidr_parametres'!$B$9)^M63</f>
        <v/>
      </c>
      <c r="S63" s="55">
        <f>(1+'14a_pidr_parametres'!$B$7)^-M63</f>
        <v/>
      </c>
      <c r="T63" s="29">
        <f>O63*P63*Q63*R63*S63</f>
        <v/>
      </c>
    </row>
    <row r="64">
      <c r="A64" s="27" t="inlineStr">
        <is>
          <t>A25-60</t>
        </is>
      </c>
      <c r="B64" s="30" t="inlineStr">
        <is>
          <t>SIBI</t>
        </is>
      </c>
      <c r="C64" s="30" t="inlineStr">
        <is>
          <t>ZAHARA</t>
        </is>
      </c>
      <c r="D64" s="30" t="inlineStr">
        <is>
          <t>Non documentée</t>
        </is>
      </c>
      <c r="E64" s="30" t="inlineStr">
        <is>
          <t>absent des récapitulatifs de salaires 2024 et 2025</t>
        </is>
      </c>
      <c r="F64" s="45" t="n">
        <v>1999</v>
      </c>
      <c r="G64" s="56" t="n">
        <v>45691</v>
      </c>
      <c r="H64" s="31" t="n">
        <v>3022985</v>
      </c>
      <c r="I64" s="45" t="n">
        <v>12</v>
      </c>
      <c r="J64" s="31">
        <f>IF(I64&gt;0,H64/I64,0)</f>
        <v/>
      </c>
      <c r="K64" s="36">
        <f>YEAR('14a_pidr_parametres'!$B$5)-F64</f>
        <v/>
      </c>
      <c r="L64" s="38">
        <f>MAX(DATEDIF(G64,'14a_pidr_parametres'!$B$5,"m"),0)/12</f>
        <v/>
      </c>
      <c r="M64" s="36">
        <f>MAX('14a_pidr_parametres'!$B$6-K64,0)</f>
        <v/>
      </c>
      <c r="N64" s="31">
        <f>J64*(0.3*MIN(L64,5)+0.35*MIN(MAX(L64-5,0),5)+0.4*MAX(L64-10,0))</f>
        <v/>
      </c>
      <c r="O64" s="31">
        <f>J64*(1+'14a_pidr_parametres'!$B$8)^M64*(0.3*MIN((L64+M64),5)+0.35*MIN(MAX((L64+M64)-5,0),5)+0.4*MAX((L64+M64)-10,0))</f>
        <v/>
      </c>
      <c r="P64" s="57">
        <f>IF(L64+M64&gt;0,L64/(L64+M64),0)</f>
        <v/>
      </c>
      <c r="Q64" s="57">
        <f>VLOOKUP(K64+M64,'14t_table_cima_f'!$A$5:$B$115,2,0)/VLOOKUP(K64,'14t_table_cima_f'!$A$5:$B$115,2,0)</f>
        <v/>
      </c>
      <c r="R64" s="57">
        <f>(1-'14a_pidr_parametres'!$B$9)^M64</f>
        <v/>
      </c>
      <c r="S64" s="57">
        <f>(1+'14a_pidr_parametres'!$B$7)^-M64</f>
        <v/>
      </c>
      <c r="T64" s="31">
        <f>O64*P64*Q64*R64*S64</f>
        <v/>
      </c>
    </row>
    <row r="65">
      <c r="A65" s="27" t="inlineStr">
        <is>
          <t>A25-61</t>
        </is>
      </c>
      <c r="B65" s="28" t="inlineStr">
        <is>
          <t>MORO</t>
        </is>
      </c>
      <c r="C65" s="28" t="inlineStr">
        <is>
          <t>YOUWAH MARIETTE</t>
        </is>
      </c>
      <c r="D65" s="28" t="inlineStr">
        <is>
          <t>CMP</t>
        </is>
      </c>
      <c r="E65" s="28" t="inlineStr">
        <is>
          <t>RECAPSALAIRES 2024 CMP</t>
        </is>
      </c>
      <c r="F65" s="43" t="n">
        <v>1981</v>
      </c>
      <c r="G65" s="54" t="n">
        <v>45691</v>
      </c>
      <c r="H65" s="29" t="n">
        <v>2601022</v>
      </c>
      <c r="I65" s="43" t="n">
        <v>12</v>
      </c>
      <c r="J65" s="29">
        <f>IF(I65&gt;0,H65/I65,0)</f>
        <v/>
      </c>
      <c r="K65" s="35">
        <f>YEAR('14a_pidr_parametres'!$B$5)-F65</f>
        <v/>
      </c>
      <c r="L65" s="37">
        <f>MAX(DATEDIF(G65,'14a_pidr_parametres'!$B$5,"m"),0)/12</f>
        <v/>
      </c>
      <c r="M65" s="35">
        <f>MAX('14a_pidr_parametres'!$B$6-K65,0)</f>
        <v/>
      </c>
      <c r="N65" s="29">
        <f>J65*(0.3*MIN(L65,5)+0.35*MIN(MAX(L65-5,0),5)+0.4*MAX(L65-10,0))</f>
        <v/>
      </c>
      <c r="O65" s="29">
        <f>J65*(1+'14a_pidr_parametres'!$B$8)^M65*(0.3*MIN((L65+M65),5)+0.35*MIN(MAX((L65+M65)-5,0),5)+0.4*MAX((L65+M65)-10,0))</f>
        <v/>
      </c>
      <c r="P65" s="55">
        <f>IF(L65+M65&gt;0,L65/(L65+M65),0)</f>
        <v/>
      </c>
      <c r="Q65" s="55">
        <f>VLOOKUP(K65+M65,'14t_table_cima_f'!$A$5:$B$115,2,0)/VLOOKUP(K65,'14t_table_cima_f'!$A$5:$B$115,2,0)</f>
        <v/>
      </c>
      <c r="R65" s="55">
        <f>(1-'14a_pidr_parametres'!$B$9)^M65</f>
        <v/>
      </c>
      <c r="S65" s="55">
        <f>(1+'14a_pidr_parametres'!$B$7)^-M65</f>
        <v/>
      </c>
      <c r="T65" s="29">
        <f>O65*P65*Q65*R65*S65</f>
        <v/>
      </c>
    </row>
    <row r="66">
      <c r="A66" s="27" t="inlineStr">
        <is>
          <t>A25-62</t>
        </is>
      </c>
      <c r="B66" s="30" t="inlineStr">
        <is>
          <t>GUEU</t>
        </is>
      </c>
      <c r="C66" s="30" t="inlineStr">
        <is>
          <t>DROH CHARLES</t>
        </is>
      </c>
      <c r="D66" s="30" t="inlineStr">
        <is>
          <t>Non documentée</t>
        </is>
      </c>
      <c r="E66" s="30" t="inlineStr">
        <is>
          <t>absent des récapitulatifs de salaires 2024 et 2025</t>
        </is>
      </c>
      <c r="F66" s="45" t="n">
        <v>1976</v>
      </c>
      <c r="G66" s="56" t="n">
        <v>45754</v>
      </c>
      <c r="H66" s="31" t="n">
        <v>933541</v>
      </c>
      <c r="I66" s="45" t="n">
        <v>9</v>
      </c>
      <c r="J66" s="31">
        <f>IF(I66&gt;0,H66/I66,0)</f>
        <v/>
      </c>
      <c r="K66" s="36">
        <f>YEAR('14a_pidr_parametres'!$B$5)-F66</f>
        <v/>
      </c>
      <c r="L66" s="38">
        <f>MAX(DATEDIF(G66,'14a_pidr_parametres'!$B$5,"m"),0)/12</f>
        <v/>
      </c>
      <c r="M66" s="36">
        <f>MAX('14a_pidr_parametres'!$B$6-K66,0)</f>
        <v/>
      </c>
      <c r="N66" s="31">
        <f>J66*(0.3*MIN(L66,5)+0.35*MIN(MAX(L66-5,0),5)+0.4*MAX(L66-10,0))</f>
        <v/>
      </c>
      <c r="O66" s="31">
        <f>J66*(1+'14a_pidr_parametres'!$B$8)^M66*(0.3*MIN((L66+M66),5)+0.35*MIN(MAX((L66+M66)-5,0),5)+0.4*MAX((L66+M66)-10,0))</f>
        <v/>
      </c>
      <c r="P66" s="57">
        <f>IF(L66+M66&gt;0,L66/(L66+M66),0)</f>
        <v/>
      </c>
      <c r="Q66" s="57">
        <f>VLOOKUP(K66+M66,'14t_table_cima_f'!$A$5:$B$115,2,0)/VLOOKUP(K66,'14t_table_cima_f'!$A$5:$B$115,2,0)</f>
        <v/>
      </c>
      <c r="R66" s="57">
        <f>(1-'14a_pidr_parametres'!$B$9)^M66</f>
        <v/>
      </c>
      <c r="S66" s="57">
        <f>(1+'14a_pidr_parametres'!$B$7)^-M66</f>
        <v/>
      </c>
      <c r="T66" s="31">
        <f>O66*P66*Q66*R66*S66</f>
        <v/>
      </c>
    </row>
    <row r="67">
      <c r="A67" s="27" t="inlineStr">
        <is>
          <t>A25-63</t>
        </is>
      </c>
      <c r="B67" s="28" t="inlineStr">
        <is>
          <t>YAO</t>
        </is>
      </c>
      <c r="C67" s="28" t="inlineStr">
        <is>
          <t>N'GUESSAN SOLANGE</t>
        </is>
      </c>
      <c r="D67" s="28" t="inlineStr">
        <is>
          <t>Non documentée</t>
        </is>
      </c>
      <c r="E67" s="28" t="inlineStr">
        <is>
          <t>absent des récapitulatifs de salaires 2024 et 2025</t>
        </is>
      </c>
      <c r="F67" s="43" t="n">
        <v>1975</v>
      </c>
      <c r="G67" s="54" t="n">
        <v>45741</v>
      </c>
      <c r="H67" s="29" t="n">
        <v>856582</v>
      </c>
      <c r="I67" s="43" t="n">
        <v>9</v>
      </c>
      <c r="J67" s="29">
        <f>IF(I67&gt;0,H67/I67,0)</f>
        <v/>
      </c>
      <c r="K67" s="35">
        <f>YEAR('14a_pidr_parametres'!$B$5)-F67</f>
        <v/>
      </c>
      <c r="L67" s="37">
        <f>MAX(DATEDIF(G67,'14a_pidr_parametres'!$B$5,"m"),0)/12</f>
        <v/>
      </c>
      <c r="M67" s="35">
        <f>MAX('14a_pidr_parametres'!$B$6-K67,0)</f>
        <v/>
      </c>
      <c r="N67" s="29">
        <f>J67*(0.3*MIN(L67,5)+0.35*MIN(MAX(L67-5,0),5)+0.4*MAX(L67-10,0))</f>
        <v/>
      </c>
      <c r="O67" s="29">
        <f>J67*(1+'14a_pidr_parametres'!$B$8)^M67*(0.3*MIN((L67+M67),5)+0.35*MIN(MAX((L67+M67)-5,0),5)+0.4*MAX((L67+M67)-10,0))</f>
        <v/>
      </c>
      <c r="P67" s="55">
        <f>IF(L67+M67&gt;0,L67/(L67+M67),0)</f>
        <v/>
      </c>
      <c r="Q67" s="55">
        <f>VLOOKUP(K67+M67,'14t_table_cima_f'!$A$5:$B$115,2,0)/VLOOKUP(K67,'14t_table_cima_f'!$A$5:$B$115,2,0)</f>
        <v/>
      </c>
      <c r="R67" s="55">
        <f>(1-'14a_pidr_parametres'!$B$9)^M67</f>
        <v/>
      </c>
      <c r="S67" s="55">
        <f>(1+'14a_pidr_parametres'!$B$7)^-M67</f>
        <v/>
      </c>
      <c r="T67" s="29">
        <f>O67*P67*Q67*R67*S67</f>
        <v/>
      </c>
    </row>
    <row r="68">
      <c r="A68" s="27" t="inlineStr">
        <is>
          <t>A25-64</t>
        </is>
      </c>
      <c r="B68" s="30" t="inlineStr">
        <is>
          <t>AHOLIA</t>
        </is>
      </c>
      <c r="C68" s="30" t="inlineStr">
        <is>
          <t>ATSE ISMAEL</t>
        </is>
      </c>
      <c r="D68" s="30" t="inlineStr">
        <is>
          <t>Grenier</t>
        </is>
      </c>
      <c r="E68" s="30" t="inlineStr">
        <is>
          <t>RECAPSALAIRES 2025 GRENIER</t>
        </is>
      </c>
      <c r="F68" s="45" t="n">
        <v>2006</v>
      </c>
      <c r="G68" s="56" t="n">
        <v>45778</v>
      </c>
      <c r="H68" s="31" t="n">
        <v>1734169</v>
      </c>
      <c r="I68" s="45" t="n">
        <v>8</v>
      </c>
      <c r="J68" s="31">
        <f>IF(I68&gt;0,H68/I68,0)</f>
        <v/>
      </c>
      <c r="K68" s="36">
        <f>YEAR('14a_pidr_parametres'!$B$5)-F68</f>
        <v/>
      </c>
      <c r="L68" s="38">
        <f>MAX(DATEDIF(G68,'14a_pidr_parametres'!$B$5,"m"),0)/12</f>
        <v/>
      </c>
      <c r="M68" s="36">
        <f>MAX('14a_pidr_parametres'!$B$6-K68,0)</f>
        <v/>
      </c>
      <c r="N68" s="31">
        <f>J68*(0.3*MIN(L68,5)+0.35*MIN(MAX(L68-5,0),5)+0.4*MAX(L68-10,0))</f>
        <v/>
      </c>
      <c r="O68" s="31">
        <f>J68*(1+'14a_pidr_parametres'!$B$8)^M68*(0.3*MIN((L68+M68),5)+0.35*MIN(MAX((L68+M68)-5,0),5)+0.4*MAX((L68+M68)-10,0))</f>
        <v/>
      </c>
      <c r="P68" s="57">
        <f>IF(L68+M68&gt;0,L68/(L68+M68),0)</f>
        <v/>
      </c>
      <c r="Q68" s="57">
        <f>VLOOKUP(K68+M68,'14t_table_cima_f'!$A$5:$B$115,2,0)/VLOOKUP(K68,'14t_table_cima_f'!$A$5:$B$115,2,0)</f>
        <v/>
      </c>
      <c r="R68" s="57">
        <f>(1-'14a_pidr_parametres'!$B$9)^M68</f>
        <v/>
      </c>
      <c r="S68" s="57">
        <f>(1+'14a_pidr_parametres'!$B$7)^-M68</f>
        <v/>
      </c>
      <c r="T68" s="31">
        <f>O68*P68*Q68*R68*S68</f>
        <v/>
      </c>
    </row>
    <row r="69">
      <c r="A69" s="27" t="inlineStr">
        <is>
          <t>A25-65</t>
        </is>
      </c>
      <c r="B69" s="28" t="inlineStr">
        <is>
          <t>DOGBO</t>
        </is>
      </c>
      <c r="C69" s="28" t="inlineStr">
        <is>
          <t>SAI LYDIE</t>
        </is>
      </c>
      <c r="D69" s="28" t="inlineStr">
        <is>
          <t>Non documentée</t>
        </is>
      </c>
      <c r="E69" s="28" t="inlineStr">
        <is>
          <t>absent des récapitulatifs de salaires 2024 et 2025</t>
        </is>
      </c>
      <c r="F69" s="43" t="n">
        <v>1989</v>
      </c>
      <c r="G69" s="54" t="n">
        <v>45809</v>
      </c>
      <c r="H69" s="29" t="n">
        <v>1537455</v>
      </c>
      <c r="I69" s="43" t="n">
        <v>7</v>
      </c>
      <c r="J69" s="29">
        <f>IF(I69&gt;0,H69/I69,0)</f>
        <v/>
      </c>
      <c r="K69" s="35">
        <f>YEAR('14a_pidr_parametres'!$B$5)-F69</f>
        <v/>
      </c>
      <c r="L69" s="37">
        <f>MAX(DATEDIF(G69,'14a_pidr_parametres'!$B$5,"m"),0)/12</f>
        <v/>
      </c>
      <c r="M69" s="35">
        <f>MAX('14a_pidr_parametres'!$B$6-K69,0)</f>
        <v/>
      </c>
      <c r="N69" s="29">
        <f>J69*(0.3*MIN(L69,5)+0.35*MIN(MAX(L69-5,0),5)+0.4*MAX(L69-10,0))</f>
        <v/>
      </c>
      <c r="O69" s="29">
        <f>J69*(1+'14a_pidr_parametres'!$B$8)^M69*(0.3*MIN((L69+M69),5)+0.35*MIN(MAX((L69+M69)-5,0),5)+0.4*MAX((L69+M69)-10,0))</f>
        <v/>
      </c>
      <c r="P69" s="55">
        <f>IF(L69+M69&gt;0,L69/(L69+M69),0)</f>
        <v/>
      </c>
      <c r="Q69" s="55">
        <f>VLOOKUP(K69+M69,'14t_table_cima_f'!$A$5:$B$115,2,0)/VLOOKUP(K69,'14t_table_cima_f'!$A$5:$B$115,2,0)</f>
        <v/>
      </c>
      <c r="R69" s="55">
        <f>(1-'14a_pidr_parametres'!$B$9)^M69</f>
        <v/>
      </c>
      <c r="S69" s="55">
        <f>(1+'14a_pidr_parametres'!$B$7)^-M69</f>
        <v/>
      </c>
      <c r="T69" s="29">
        <f>O69*P69*Q69*R69*S69</f>
        <v/>
      </c>
    </row>
    <row r="70">
      <c r="A70" s="27" t="inlineStr">
        <is>
          <t>A25-66</t>
        </is>
      </c>
      <c r="B70" s="30" t="inlineStr">
        <is>
          <t>GNAHORE</t>
        </is>
      </c>
      <c r="C70" s="30" t="inlineStr">
        <is>
          <t>OKPO MARIE ESTER</t>
        </is>
      </c>
      <c r="D70" s="30" t="inlineStr">
        <is>
          <t>Non documentée</t>
        </is>
      </c>
      <c r="E70" s="30" t="inlineStr">
        <is>
          <t>absent des récapitulatifs de salaires 2024 et 2025</t>
        </is>
      </c>
      <c r="F70" s="45" t="n">
        <v>1982</v>
      </c>
      <c r="G70" s="56" t="n">
        <v>45809</v>
      </c>
      <c r="H70" s="31" t="n">
        <v>1368127</v>
      </c>
      <c r="I70" s="45" t="n">
        <v>7</v>
      </c>
      <c r="J70" s="31">
        <f>IF(I70&gt;0,H70/I70,0)</f>
        <v/>
      </c>
      <c r="K70" s="36">
        <f>YEAR('14a_pidr_parametres'!$B$5)-F70</f>
        <v/>
      </c>
      <c r="L70" s="38">
        <f>MAX(DATEDIF(G70,'14a_pidr_parametres'!$B$5,"m"),0)/12</f>
        <v/>
      </c>
      <c r="M70" s="36">
        <f>MAX('14a_pidr_parametres'!$B$6-K70,0)</f>
        <v/>
      </c>
      <c r="N70" s="31">
        <f>J70*(0.3*MIN(L70,5)+0.35*MIN(MAX(L70-5,0),5)+0.4*MAX(L70-10,0))</f>
        <v/>
      </c>
      <c r="O70" s="31">
        <f>J70*(1+'14a_pidr_parametres'!$B$8)^M70*(0.3*MIN((L70+M70),5)+0.35*MIN(MAX((L70+M70)-5,0),5)+0.4*MAX((L70+M70)-10,0))</f>
        <v/>
      </c>
      <c r="P70" s="57">
        <f>IF(L70+M70&gt;0,L70/(L70+M70),0)</f>
        <v/>
      </c>
      <c r="Q70" s="57">
        <f>VLOOKUP(K70+M70,'14t_table_cima_f'!$A$5:$B$115,2,0)/VLOOKUP(K70,'14t_table_cima_f'!$A$5:$B$115,2,0)</f>
        <v/>
      </c>
      <c r="R70" s="57">
        <f>(1-'14a_pidr_parametres'!$B$9)^M70</f>
        <v/>
      </c>
      <c r="S70" s="57">
        <f>(1+'14a_pidr_parametres'!$B$7)^-M70</f>
        <v/>
      </c>
      <c r="T70" s="31">
        <f>O70*P70*Q70*R70*S70</f>
        <v/>
      </c>
    </row>
    <row r="71">
      <c r="A71" s="27" t="inlineStr">
        <is>
          <t>A25-67</t>
        </is>
      </c>
      <c r="B71" s="28" t="inlineStr">
        <is>
          <t>TEDJE</t>
        </is>
      </c>
      <c r="C71" s="28" t="inlineStr">
        <is>
          <t>LINDA</t>
        </is>
      </c>
      <c r="D71" s="28" t="inlineStr">
        <is>
          <t>Non documentée</t>
        </is>
      </c>
      <c r="E71" s="28" t="inlineStr">
        <is>
          <t>absent des récapitulatifs de salaires 2024 et 2025</t>
        </is>
      </c>
      <c r="F71" s="43" t="n">
        <v>1978</v>
      </c>
      <c r="G71" s="54" t="n">
        <v>45819</v>
      </c>
      <c r="H71" s="29" t="n">
        <v>1516334</v>
      </c>
      <c r="I71" s="43" t="n">
        <v>7</v>
      </c>
      <c r="J71" s="29">
        <f>IF(I71&gt;0,H71/I71,0)</f>
        <v/>
      </c>
      <c r="K71" s="35">
        <f>YEAR('14a_pidr_parametres'!$B$5)-F71</f>
        <v/>
      </c>
      <c r="L71" s="37">
        <f>MAX(DATEDIF(G71,'14a_pidr_parametres'!$B$5,"m"),0)/12</f>
        <v/>
      </c>
      <c r="M71" s="35">
        <f>MAX('14a_pidr_parametres'!$B$6-K71,0)</f>
        <v/>
      </c>
      <c r="N71" s="29">
        <f>J71*(0.3*MIN(L71,5)+0.35*MIN(MAX(L71-5,0),5)+0.4*MAX(L71-10,0))</f>
        <v/>
      </c>
      <c r="O71" s="29">
        <f>J71*(1+'14a_pidr_parametres'!$B$8)^M71*(0.3*MIN((L71+M71),5)+0.35*MIN(MAX((L71+M71)-5,0),5)+0.4*MAX((L71+M71)-10,0))</f>
        <v/>
      </c>
      <c r="P71" s="55">
        <f>IF(L71+M71&gt;0,L71/(L71+M71),0)</f>
        <v/>
      </c>
      <c r="Q71" s="55">
        <f>VLOOKUP(K71+M71,'14t_table_cima_f'!$A$5:$B$115,2,0)/VLOOKUP(K71,'14t_table_cima_f'!$A$5:$B$115,2,0)</f>
        <v/>
      </c>
      <c r="R71" s="55">
        <f>(1-'14a_pidr_parametres'!$B$9)^M71</f>
        <v/>
      </c>
      <c r="S71" s="55">
        <f>(1+'14a_pidr_parametres'!$B$7)^-M71</f>
        <v/>
      </c>
      <c r="T71" s="29">
        <f>O71*P71*Q71*R71*S71</f>
        <v/>
      </c>
    </row>
    <row r="72">
      <c r="A72" s="27" t="inlineStr">
        <is>
          <t>A25-68</t>
        </is>
      </c>
      <c r="B72" s="30" t="inlineStr">
        <is>
          <t>KOFFI</t>
        </is>
      </c>
      <c r="C72" s="30" t="inlineStr">
        <is>
          <t>EPSE N'GORAN CHARLOTTE</t>
        </is>
      </c>
      <c r="D72" s="30" t="inlineStr">
        <is>
          <t>Non documentée</t>
        </is>
      </c>
      <c r="E72" s="30" t="inlineStr">
        <is>
          <t>absent des récapitulatifs de salaires 2024 et 2025</t>
        </is>
      </c>
      <c r="F72" s="45" t="n">
        <v>1981</v>
      </c>
      <c r="G72" s="56" t="n">
        <v>45826</v>
      </c>
      <c r="H72" s="31" t="n">
        <v>2309030</v>
      </c>
      <c r="I72" s="45" t="n">
        <v>7</v>
      </c>
      <c r="J72" s="31">
        <f>IF(I72&gt;0,H72/I72,0)</f>
        <v/>
      </c>
      <c r="K72" s="36">
        <f>YEAR('14a_pidr_parametres'!$B$5)-F72</f>
        <v/>
      </c>
      <c r="L72" s="38">
        <f>MAX(DATEDIF(G72,'14a_pidr_parametres'!$B$5,"m"),0)/12</f>
        <v/>
      </c>
      <c r="M72" s="36">
        <f>MAX('14a_pidr_parametres'!$B$6-K72,0)</f>
        <v/>
      </c>
      <c r="N72" s="31">
        <f>J72*(0.3*MIN(L72,5)+0.35*MIN(MAX(L72-5,0),5)+0.4*MAX(L72-10,0))</f>
        <v/>
      </c>
      <c r="O72" s="31">
        <f>J72*(1+'14a_pidr_parametres'!$B$8)^M72*(0.3*MIN((L72+M72),5)+0.35*MIN(MAX((L72+M72)-5,0),5)+0.4*MAX((L72+M72)-10,0))</f>
        <v/>
      </c>
      <c r="P72" s="57">
        <f>IF(L72+M72&gt;0,L72/(L72+M72),0)</f>
        <v/>
      </c>
      <c r="Q72" s="57">
        <f>VLOOKUP(K72+M72,'14t_table_cima_f'!$A$5:$B$115,2,0)/VLOOKUP(K72,'14t_table_cima_f'!$A$5:$B$115,2,0)</f>
        <v/>
      </c>
      <c r="R72" s="57">
        <f>(1-'14a_pidr_parametres'!$B$9)^M72</f>
        <v/>
      </c>
      <c r="S72" s="57">
        <f>(1+'14a_pidr_parametres'!$B$7)^-M72</f>
        <v/>
      </c>
      <c r="T72" s="31">
        <f>O72*P72*Q72*R72*S72</f>
        <v/>
      </c>
    </row>
    <row r="73">
      <c r="A73" s="27" t="inlineStr">
        <is>
          <t>A25-69</t>
        </is>
      </c>
      <c r="B73" s="28" t="inlineStr">
        <is>
          <t>KOCORA</t>
        </is>
      </c>
      <c r="C73" s="28" t="inlineStr">
        <is>
          <t>AFFRO MARIE</t>
        </is>
      </c>
      <c r="D73" s="28" t="inlineStr">
        <is>
          <t>Non documentée</t>
        </is>
      </c>
      <c r="E73" s="28" t="inlineStr">
        <is>
          <t>absent des récapitulatifs de salaires 2024 et 2025</t>
        </is>
      </c>
      <c r="F73" s="43" t="n">
        <v>2003</v>
      </c>
      <c r="G73" s="54" t="n">
        <v>45817</v>
      </c>
      <c r="H73" s="29" t="n">
        <v>1606690</v>
      </c>
      <c r="I73" s="43" t="n">
        <v>7</v>
      </c>
      <c r="J73" s="29">
        <f>IF(I73&gt;0,H73/I73,0)</f>
        <v/>
      </c>
      <c r="K73" s="35">
        <f>YEAR('14a_pidr_parametres'!$B$5)-F73</f>
        <v/>
      </c>
      <c r="L73" s="37">
        <f>MAX(DATEDIF(G73,'14a_pidr_parametres'!$B$5,"m"),0)/12</f>
        <v/>
      </c>
      <c r="M73" s="35">
        <f>MAX('14a_pidr_parametres'!$B$6-K73,0)</f>
        <v/>
      </c>
      <c r="N73" s="29">
        <f>J73*(0.3*MIN(L73,5)+0.35*MIN(MAX(L73-5,0),5)+0.4*MAX(L73-10,0))</f>
        <v/>
      </c>
      <c r="O73" s="29">
        <f>J73*(1+'14a_pidr_parametres'!$B$8)^M73*(0.3*MIN((L73+M73),5)+0.35*MIN(MAX((L73+M73)-5,0),5)+0.4*MAX((L73+M73)-10,0))</f>
        <v/>
      </c>
      <c r="P73" s="55">
        <f>IF(L73+M73&gt;0,L73/(L73+M73),0)</f>
        <v/>
      </c>
      <c r="Q73" s="55">
        <f>VLOOKUP(K73+M73,'14t_table_cima_f'!$A$5:$B$115,2,0)/VLOOKUP(K73,'14t_table_cima_f'!$A$5:$B$115,2,0)</f>
        <v/>
      </c>
      <c r="R73" s="55">
        <f>(1-'14a_pidr_parametres'!$B$9)^M73</f>
        <v/>
      </c>
      <c r="S73" s="55">
        <f>(1+'14a_pidr_parametres'!$B$7)^-M73</f>
        <v/>
      </c>
      <c r="T73" s="29">
        <f>O73*P73*Q73*R73*S73</f>
        <v/>
      </c>
    </row>
    <row r="74">
      <c r="A74" s="27" t="inlineStr">
        <is>
          <t>A25-70</t>
        </is>
      </c>
      <c r="B74" s="30" t="inlineStr">
        <is>
          <t>DION</t>
        </is>
      </c>
      <c r="C74" s="30" t="inlineStr">
        <is>
          <t>PAYAYE ANNE</t>
        </is>
      </c>
      <c r="D74" s="30" t="inlineStr">
        <is>
          <t>Non documentée</t>
        </is>
      </c>
      <c r="E74" s="30" t="inlineStr">
        <is>
          <t>absent des récapitulatifs de salaires 2024 et 2025</t>
        </is>
      </c>
      <c r="F74" s="45" t="n">
        <v>1985</v>
      </c>
      <c r="G74" s="56" t="n">
        <v>45819</v>
      </c>
      <c r="H74" s="31" t="n">
        <v>1476356</v>
      </c>
      <c r="I74" s="45" t="n">
        <v>7</v>
      </c>
      <c r="J74" s="31">
        <f>IF(I74&gt;0,H74/I74,0)</f>
        <v/>
      </c>
      <c r="K74" s="36">
        <f>YEAR('14a_pidr_parametres'!$B$5)-F74</f>
        <v/>
      </c>
      <c r="L74" s="38">
        <f>MAX(DATEDIF(G74,'14a_pidr_parametres'!$B$5,"m"),0)/12</f>
        <v/>
      </c>
      <c r="M74" s="36">
        <f>MAX('14a_pidr_parametres'!$B$6-K74,0)</f>
        <v/>
      </c>
      <c r="N74" s="31">
        <f>J74*(0.3*MIN(L74,5)+0.35*MIN(MAX(L74-5,0),5)+0.4*MAX(L74-10,0))</f>
        <v/>
      </c>
      <c r="O74" s="31">
        <f>J74*(1+'14a_pidr_parametres'!$B$8)^M74*(0.3*MIN((L74+M74),5)+0.35*MIN(MAX((L74+M74)-5,0),5)+0.4*MAX((L74+M74)-10,0))</f>
        <v/>
      </c>
      <c r="P74" s="57">
        <f>IF(L74+M74&gt;0,L74/(L74+M74),0)</f>
        <v/>
      </c>
      <c r="Q74" s="57">
        <f>VLOOKUP(K74+M74,'14t_table_cima_f'!$A$5:$B$115,2,0)/VLOOKUP(K74,'14t_table_cima_f'!$A$5:$B$115,2,0)</f>
        <v/>
      </c>
      <c r="R74" s="57">
        <f>(1-'14a_pidr_parametres'!$B$9)^M74</f>
        <v/>
      </c>
      <c r="S74" s="57">
        <f>(1+'14a_pidr_parametres'!$B$7)^-M74</f>
        <v/>
      </c>
      <c r="T74" s="31">
        <f>O74*P74*Q74*R74*S74</f>
        <v/>
      </c>
    </row>
    <row r="75">
      <c r="A75" s="27" t="inlineStr">
        <is>
          <t>A25-71</t>
        </is>
      </c>
      <c r="B75" s="28" t="inlineStr">
        <is>
          <t>EBIBA</t>
        </is>
      </c>
      <c r="C75" s="28" t="inlineStr">
        <is>
          <t>APO PHILOMENE</t>
        </is>
      </c>
      <c r="D75" s="28" t="inlineStr">
        <is>
          <t>Non documentée</t>
        </is>
      </c>
      <c r="E75" s="28" t="inlineStr">
        <is>
          <t>absent des récapitulatifs de salaires 2024 et 2025</t>
        </is>
      </c>
      <c r="F75" s="43" t="n">
        <v>1989</v>
      </c>
      <c r="G75" s="54" t="n">
        <v>45817</v>
      </c>
      <c r="H75" s="29" t="n">
        <v>1458500</v>
      </c>
      <c r="I75" s="43" t="n">
        <v>7</v>
      </c>
      <c r="J75" s="29">
        <f>IF(I75&gt;0,H75/I75,0)</f>
        <v/>
      </c>
      <c r="K75" s="35">
        <f>YEAR('14a_pidr_parametres'!$B$5)-F75</f>
        <v/>
      </c>
      <c r="L75" s="37">
        <f>MAX(DATEDIF(G75,'14a_pidr_parametres'!$B$5,"m"),0)/12</f>
        <v/>
      </c>
      <c r="M75" s="35">
        <f>MAX('14a_pidr_parametres'!$B$6-K75,0)</f>
        <v/>
      </c>
      <c r="N75" s="29">
        <f>J75*(0.3*MIN(L75,5)+0.35*MIN(MAX(L75-5,0),5)+0.4*MAX(L75-10,0))</f>
        <v/>
      </c>
      <c r="O75" s="29">
        <f>J75*(1+'14a_pidr_parametres'!$B$8)^M75*(0.3*MIN((L75+M75),5)+0.35*MIN(MAX((L75+M75)-5,0),5)+0.4*MAX((L75+M75)-10,0))</f>
        <v/>
      </c>
      <c r="P75" s="55">
        <f>IF(L75+M75&gt;0,L75/(L75+M75),0)</f>
        <v/>
      </c>
      <c r="Q75" s="55">
        <f>VLOOKUP(K75+M75,'14t_table_cima_f'!$A$5:$B$115,2,0)/VLOOKUP(K75,'14t_table_cima_f'!$A$5:$B$115,2,0)</f>
        <v/>
      </c>
      <c r="R75" s="55">
        <f>(1-'14a_pidr_parametres'!$B$9)^M75</f>
        <v/>
      </c>
      <c r="S75" s="55">
        <f>(1+'14a_pidr_parametres'!$B$7)^-M75</f>
        <v/>
      </c>
      <c r="T75" s="29">
        <f>O75*P75*Q75*R75*S75</f>
        <v/>
      </c>
    </row>
    <row r="76">
      <c r="A76" s="27" t="inlineStr">
        <is>
          <t>A25-72</t>
        </is>
      </c>
      <c r="B76" s="30" t="inlineStr">
        <is>
          <t>KONAN</t>
        </is>
      </c>
      <c r="C76" s="30" t="inlineStr">
        <is>
          <t>LINDA CAROLINE</t>
        </is>
      </c>
      <c r="D76" s="30" t="inlineStr">
        <is>
          <t>Non documentée</t>
        </is>
      </c>
      <c r="E76" s="30" t="inlineStr">
        <is>
          <t>absent des récapitulatifs de salaires 2024 et 2025</t>
        </is>
      </c>
      <c r="F76" s="45" t="n">
        <v>1982</v>
      </c>
      <c r="G76" s="56" t="n">
        <v>45819</v>
      </c>
      <c r="H76" s="31" t="n">
        <v>1506356</v>
      </c>
      <c r="I76" s="45" t="n">
        <v>7</v>
      </c>
      <c r="J76" s="31">
        <f>IF(I76&gt;0,H76/I76,0)</f>
        <v/>
      </c>
      <c r="K76" s="36">
        <f>YEAR('14a_pidr_parametres'!$B$5)-F76</f>
        <v/>
      </c>
      <c r="L76" s="38">
        <f>MAX(DATEDIF(G76,'14a_pidr_parametres'!$B$5,"m"),0)/12</f>
        <v/>
      </c>
      <c r="M76" s="36">
        <f>MAX('14a_pidr_parametres'!$B$6-K76,0)</f>
        <v/>
      </c>
      <c r="N76" s="31">
        <f>J76*(0.3*MIN(L76,5)+0.35*MIN(MAX(L76-5,0),5)+0.4*MAX(L76-10,0))</f>
        <v/>
      </c>
      <c r="O76" s="31">
        <f>J76*(1+'14a_pidr_parametres'!$B$8)^M76*(0.3*MIN((L76+M76),5)+0.35*MIN(MAX((L76+M76)-5,0),5)+0.4*MAX((L76+M76)-10,0))</f>
        <v/>
      </c>
      <c r="P76" s="57">
        <f>IF(L76+M76&gt;0,L76/(L76+M76),0)</f>
        <v/>
      </c>
      <c r="Q76" s="57">
        <f>VLOOKUP(K76+M76,'14t_table_cima_f'!$A$5:$B$115,2,0)/VLOOKUP(K76,'14t_table_cima_f'!$A$5:$B$115,2,0)</f>
        <v/>
      </c>
      <c r="R76" s="57">
        <f>(1-'14a_pidr_parametres'!$B$9)^M76</f>
        <v/>
      </c>
      <c r="S76" s="57">
        <f>(1+'14a_pidr_parametres'!$B$7)^-M76</f>
        <v/>
      </c>
      <c r="T76" s="31">
        <f>O76*P76*Q76*R76*S76</f>
        <v/>
      </c>
    </row>
    <row r="77">
      <c r="A77" s="27" t="inlineStr">
        <is>
          <t>A25-73</t>
        </is>
      </c>
      <c r="B77" s="28" t="inlineStr">
        <is>
          <t>BADI</t>
        </is>
      </c>
      <c r="C77" s="28" t="inlineStr">
        <is>
          <t>EPSE N'OUAHOUA MARIE PELAGIE</t>
        </is>
      </c>
      <c r="D77" s="28" t="inlineStr">
        <is>
          <t>Non documentée</t>
        </is>
      </c>
      <c r="E77" s="28" t="inlineStr">
        <is>
          <t>absent des récapitulatifs de salaires 2024 et 2025</t>
        </is>
      </c>
      <c r="F77" s="43" t="n">
        <v>1982</v>
      </c>
      <c r="G77" s="54" t="n">
        <v>45842</v>
      </c>
      <c r="H77" s="29" t="n">
        <v>690400</v>
      </c>
      <c r="I77" s="43" t="n">
        <v>6</v>
      </c>
      <c r="J77" s="29">
        <f>IF(I77&gt;0,H77/I77,0)</f>
        <v/>
      </c>
      <c r="K77" s="35">
        <f>YEAR('14a_pidr_parametres'!$B$5)-F77</f>
        <v/>
      </c>
      <c r="L77" s="37">
        <f>MAX(DATEDIF(G77,'14a_pidr_parametres'!$B$5,"m"),0)/12</f>
        <v/>
      </c>
      <c r="M77" s="35">
        <f>MAX('14a_pidr_parametres'!$B$6-K77,0)</f>
        <v/>
      </c>
      <c r="N77" s="29">
        <f>J77*(0.3*MIN(L77,5)+0.35*MIN(MAX(L77-5,0),5)+0.4*MAX(L77-10,0))</f>
        <v/>
      </c>
      <c r="O77" s="29">
        <f>J77*(1+'14a_pidr_parametres'!$B$8)^M77*(0.3*MIN((L77+M77),5)+0.35*MIN(MAX((L77+M77)-5,0),5)+0.4*MAX((L77+M77)-10,0))</f>
        <v/>
      </c>
      <c r="P77" s="55">
        <f>IF(L77+M77&gt;0,L77/(L77+M77),0)</f>
        <v/>
      </c>
      <c r="Q77" s="55">
        <f>VLOOKUP(K77+M77,'14t_table_cima_f'!$A$5:$B$115,2,0)/VLOOKUP(K77,'14t_table_cima_f'!$A$5:$B$115,2,0)</f>
        <v/>
      </c>
      <c r="R77" s="55">
        <f>(1-'14a_pidr_parametres'!$B$9)^M77</f>
        <v/>
      </c>
      <c r="S77" s="55">
        <f>(1+'14a_pidr_parametres'!$B$7)^-M77</f>
        <v/>
      </c>
      <c r="T77" s="29">
        <f>O77*P77*Q77*R77*S77</f>
        <v/>
      </c>
    </row>
    <row r="78">
      <c r="A78" s="27" t="inlineStr">
        <is>
          <t>A25-74</t>
        </is>
      </c>
      <c r="B78" s="30" t="inlineStr">
        <is>
          <t>DJOMAN</t>
        </is>
      </c>
      <c r="C78" s="30" t="inlineStr">
        <is>
          <t>AKEBIE ALINA</t>
        </is>
      </c>
      <c r="D78" s="30" t="inlineStr">
        <is>
          <t>Non documentée</t>
        </is>
      </c>
      <c r="E78" s="30" t="inlineStr">
        <is>
          <t>absent des récapitulatifs de salaires 2024 et 2025</t>
        </is>
      </c>
      <c r="F78" s="45" t="n">
        <v>1996</v>
      </c>
      <c r="G78" s="56" t="n">
        <v>45842</v>
      </c>
      <c r="H78" s="31" t="n">
        <v>657854</v>
      </c>
      <c r="I78" s="45" t="n">
        <v>6</v>
      </c>
      <c r="J78" s="31">
        <f>IF(I78&gt;0,H78/I78,0)</f>
        <v/>
      </c>
      <c r="K78" s="36">
        <f>YEAR('14a_pidr_parametres'!$B$5)-F78</f>
        <v/>
      </c>
      <c r="L78" s="38">
        <f>MAX(DATEDIF(G78,'14a_pidr_parametres'!$B$5,"m"),0)/12</f>
        <v/>
      </c>
      <c r="M78" s="36">
        <f>MAX('14a_pidr_parametres'!$B$6-K78,0)</f>
        <v/>
      </c>
      <c r="N78" s="31">
        <f>J78*(0.3*MIN(L78,5)+0.35*MIN(MAX(L78-5,0),5)+0.4*MAX(L78-10,0))</f>
        <v/>
      </c>
      <c r="O78" s="31">
        <f>J78*(1+'14a_pidr_parametres'!$B$8)^M78*(0.3*MIN((L78+M78),5)+0.35*MIN(MAX((L78+M78)-5,0),5)+0.4*MAX((L78+M78)-10,0))</f>
        <v/>
      </c>
      <c r="P78" s="57">
        <f>IF(L78+M78&gt;0,L78/(L78+M78),0)</f>
        <v/>
      </c>
      <c r="Q78" s="57">
        <f>VLOOKUP(K78+M78,'14t_table_cima_f'!$A$5:$B$115,2,0)/VLOOKUP(K78,'14t_table_cima_f'!$A$5:$B$115,2,0)</f>
        <v/>
      </c>
      <c r="R78" s="57">
        <f>(1-'14a_pidr_parametres'!$B$9)^M78</f>
        <v/>
      </c>
      <c r="S78" s="57">
        <f>(1+'14a_pidr_parametres'!$B$7)^-M78</f>
        <v/>
      </c>
      <c r="T78" s="31">
        <f>O78*P78*Q78*R78*S78</f>
        <v/>
      </c>
    </row>
    <row r="79">
      <c r="A79" s="27" t="inlineStr">
        <is>
          <t>A25-75</t>
        </is>
      </c>
      <c r="B79" s="28" t="inlineStr">
        <is>
          <t>KOUAKOU</t>
        </is>
      </c>
      <c r="C79" s="28" t="inlineStr">
        <is>
          <t>AMENAN VALENTINE</t>
        </is>
      </c>
      <c r="D79" s="28" t="inlineStr">
        <is>
          <t>Non documentée</t>
        </is>
      </c>
      <c r="E79" s="28" t="inlineStr">
        <is>
          <t>absent des récapitulatifs de salaires 2024 et 2025</t>
        </is>
      </c>
      <c r="F79" s="43" t="n">
        <v>1982</v>
      </c>
      <c r="G79" s="54" t="n">
        <v>45842</v>
      </c>
      <c r="H79" s="29" t="n">
        <v>622361</v>
      </c>
      <c r="I79" s="43" t="n">
        <v>6</v>
      </c>
      <c r="J79" s="29">
        <f>IF(I79&gt;0,H79/I79,0)</f>
        <v/>
      </c>
      <c r="K79" s="35">
        <f>YEAR('14a_pidr_parametres'!$B$5)-F79</f>
        <v/>
      </c>
      <c r="L79" s="37">
        <f>MAX(DATEDIF(G79,'14a_pidr_parametres'!$B$5,"m"),0)/12</f>
        <v/>
      </c>
      <c r="M79" s="35">
        <f>MAX('14a_pidr_parametres'!$B$6-K79,0)</f>
        <v/>
      </c>
      <c r="N79" s="29">
        <f>J79*(0.3*MIN(L79,5)+0.35*MIN(MAX(L79-5,0),5)+0.4*MAX(L79-10,0))</f>
        <v/>
      </c>
      <c r="O79" s="29">
        <f>J79*(1+'14a_pidr_parametres'!$B$8)^M79*(0.3*MIN((L79+M79),5)+0.35*MIN(MAX((L79+M79)-5,0),5)+0.4*MAX((L79+M79)-10,0))</f>
        <v/>
      </c>
      <c r="P79" s="55">
        <f>IF(L79+M79&gt;0,L79/(L79+M79),0)</f>
        <v/>
      </c>
      <c r="Q79" s="55">
        <f>VLOOKUP(K79+M79,'14t_table_cima_f'!$A$5:$B$115,2,0)/VLOOKUP(K79,'14t_table_cima_f'!$A$5:$B$115,2,0)</f>
        <v/>
      </c>
      <c r="R79" s="55">
        <f>(1-'14a_pidr_parametres'!$B$9)^M79</f>
        <v/>
      </c>
      <c r="S79" s="55">
        <f>(1+'14a_pidr_parametres'!$B$7)^-M79</f>
        <v/>
      </c>
      <c r="T79" s="29">
        <f>O79*P79*Q79*R79*S79</f>
        <v/>
      </c>
    </row>
    <row r="80">
      <c r="A80" s="27" t="inlineStr">
        <is>
          <t>A25-76</t>
        </is>
      </c>
      <c r="B80" s="30" t="inlineStr">
        <is>
          <t>DIAHI</t>
        </is>
      </c>
      <c r="C80" s="30" t="inlineStr">
        <is>
          <t>KOULADEROU INES</t>
        </is>
      </c>
      <c r="D80" s="30" t="inlineStr">
        <is>
          <t>Non documentée</t>
        </is>
      </c>
      <c r="E80" s="30" t="inlineStr">
        <is>
          <t>absent des récapitulatifs de salaires 2024 et 2025</t>
        </is>
      </c>
      <c r="F80" s="45" t="n">
        <v>1992</v>
      </c>
      <c r="G80" s="56" t="n">
        <v>45847</v>
      </c>
      <c r="H80" s="31" t="n">
        <v>1231539</v>
      </c>
      <c r="I80" s="45" t="n">
        <v>6</v>
      </c>
      <c r="J80" s="31">
        <f>IF(I80&gt;0,H80/I80,0)</f>
        <v/>
      </c>
      <c r="K80" s="36">
        <f>YEAR('14a_pidr_parametres'!$B$5)-F80</f>
        <v/>
      </c>
      <c r="L80" s="38">
        <f>MAX(DATEDIF(G80,'14a_pidr_parametres'!$B$5,"m"),0)/12</f>
        <v/>
      </c>
      <c r="M80" s="36">
        <f>MAX('14a_pidr_parametres'!$B$6-K80,0)</f>
        <v/>
      </c>
      <c r="N80" s="31">
        <f>J80*(0.3*MIN(L80,5)+0.35*MIN(MAX(L80-5,0),5)+0.4*MAX(L80-10,0))</f>
        <v/>
      </c>
      <c r="O80" s="31">
        <f>J80*(1+'14a_pidr_parametres'!$B$8)^M80*(0.3*MIN((L80+M80),5)+0.35*MIN(MAX((L80+M80)-5,0),5)+0.4*MAX((L80+M80)-10,0))</f>
        <v/>
      </c>
      <c r="P80" s="57">
        <f>IF(L80+M80&gt;0,L80/(L80+M80),0)</f>
        <v/>
      </c>
      <c r="Q80" s="57">
        <f>VLOOKUP(K80+M80,'14t_table_cima_f'!$A$5:$B$115,2,0)/VLOOKUP(K80,'14t_table_cima_f'!$A$5:$B$115,2,0)</f>
        <v/>
      </c>
      <c r="R80" s="57">
        <f>(1-'14a_pidr_parametres'!$B$9)^M80</f>
        <v/>
      </c>
      <c r="S80" s="57">
        <f>(1+'14a_pidr_parametres'!$B$7)^-M80</f>
        <v/>
      </c>
      <c r="T80" s="31">
        <f>O80*P80*Q80*R80*S80</f>
        <v/>
      </c>
    </row>
    <row r="81">
      <c r="A81" s="27" t="inlineStr">
        <is>
          <t>A25-77</t>
        </is>
      </c>
      <c r="B81" s="28" t="inlineStr">
        <is>
          <t>DIALLO</t>
        </is>
      </c>
      <c r="C81" s="28" t="inlineStr">
        <is>
          <t>MOHAMED</t>
        </is>
      </c>
      <c r="D81" s="28" t="inlineStr">
        <is>
          <t>Non documentée</t>
        </is>
      </c>
      <c r="E81" s="28" t="inlineStr">
        <is>
          <t>absent des récapitulatifs de salaires 2024 et 2025</t>
        </is>
      </c>
      <c r="F81" s="43" t="n">
        <v>1984</v>
      </c>
      <c r="G81" s="54" t="n">
        <v>45841</v>
      </c>
      <c r="H81" s="29" t="n">
        <v>825908</v>
      </c>
      <c r="I81" s="43" t="n">
        <v>6</v>
      </c>
      <c r="J81" s="29">
        <f>IF(I81&gt;0,H81/I81,0)</f>
        <v/>
      </c>
      <c r="K81" s="35">
        <f>YEAR('14a_pidr_parametres'!$B$5)-F81</f>
        <v/>
      </c>
      <c r="L81" s="37">
        <f>MAX(DATEDIF(G81,'14a_pidr_parametres'!$B$5,"m"),0)/12</f>
        <v/>
      </c>
      <c r="M81" s="35">
        <f>MAX('14a_pidr_parametres'!$B$6-K81,0)</f>
        <v/>
      </c>
      <c r="N81" s="29">
        <f>J81*(0.3*MIN(L81,5)+0.35*MIN(MAX(L81-5,0),5)+0.4*MAX(L81-10,0))</f>
        <v/>
      </c>
      <c r="O81" s="29">
        <f>J81*(1+'14a_pidr_parametres'!$B$8)^M81*(0.3*MIN((L81+M81),5)+0.35*MIN(MAX((L81+M81)-5,0),5)+0.4*MAX((L81+M81)-10,0))</f>
        <v/>
      </c>
      <c r="P81" s="55">
        <f>IF(L81+M81&gt;0,L81/(L81+M81),0)</f>
        <v/>
      </c>
      <c r="Q81" s="55">
        <f>VLOOKUP(K81+M81,'14t_table_cima_f'!$A$5:$B$115,2,0)/VLOOKUP(K81,'14t_table_cima_f'!$A$5:$B$115,2,0)</f>
        <v/>
      </c>
      <c r="R81" s="55">
        <f>(1-'14a_pidr_parametres'!$B$9)^M81</f>
        <v/>
      </c>
      <c r="S81" s="55">
        <f>(1+'14a_pidr_parametres'!$B$7)^-M81</f>
        <v/>
      </c>
      <c r="T81" s="29">
        <f>O81*P81*Q81*R81*S81</f>
        <v/>
      </c>
    </row>
    <row r="82">
      <c r="A82" s="27" t="inlineStr">
        <is>
          <t>A25-78</t>
        </is>
      </c>
      <c r="B82" s="30" t="inlineStr">
        <is>
          <t>SOUMAHORO</t>
        </is>
      </c>
      <c r="C82" s="30" t="inlineStr">
        <is>
          <t>MOUSSA</t>
        </is>
      </c>
      <c r="D82" s="30" t="inlineStr">
        <is>
          <t>Non documentée</t>
        </is>
      </c>
      <c r="E82" s="30" t="inlineStr">
        <is>
          <t>absent des récapitulatifs de salaires 2024 et 2025</t>
        </is>
      </c>
      <c r="F82" s="45" t="n">
        <v>1987</v>
      </c>
      <c r="G82" s="56" t="n">
        <v>45841</v>
      </c>
      <c r="H82" s="31" t="n">
        <v>1166090</v>
      </c>
      <c r="I82" s="45" t="n">
        <v>6</v>
      </c>
      <c r="J82" s="31">
        <f>IF(I82&gt;0,H82/I82,0)</f>
        <v/>
      </c>
      <c r="K82" s="36">
        <f>YEAR('14a_pidr_parametres'!$B$5)-F82</f>
        <v/>
      </c>
      <c r="L82" s="38">
        <f>MAX(DATEDIF(G82,'14a_pidr_parametres'!$B$5,"m"),0)/12</f>
        <v/>
      </c>
      <c r="M82" s="36">
        <f>MAX('14a_pidr_parametres'!$B$6-K82,0)</f>
        <v/>
      </c>
      <c r="N82" s="31">
        <f>J82*(0.3*MIN(L82,5)+0.35*MIN(MAX(L82-5,0),5)+0.4*MAX(L82-10,0))</f>
        <v/>
      </c>
      <c r="O82" s="31">
        <f>J82*(1+'14a_pidr_parametres'!$B$8)^M82*(0.3*MIN((L82+M82),5)+0.35*MIN(MAX((L82+M82)-5,0),5)+0.4*MAX((L82+M82)-10,0))</f>
        <v/>
      </c>
      <c r="P82" s="57">
        <f>IF(L82+M82&gt;0,L82/(L82+M82),0)</f>
        <v/>
      </c>
      <c r="Q82" s="57">
        <f>VLOOKUP(K82+M82,'14t_table_cima_f'!$A$5:$B$115,2,0)/VLOOKUP(K82,'14t_table_cima_f'!$A$5:$B$115,2,0)</f>
        <v/>
      </c>
      <c r="R82" s="57">
        <f>(1-'14a_pidr_parametres'!$B$9)^M82</f>
        <v/>
      </c>
      <c r="S82" s="57">
        <f>(1+'14a_pidr_parametres'!$B$7)^-M82</f>
        <v/>
      </c>
      <c r="T82" s="31">
        <f>O82*P82*Q82*R82*S82</f>
        <v/>
      </c>
    </row>
    <row r="83">
      <c r="A83" s="27" t="inlineStr">
        <is>
          <t>A25-79</t>
        </is>
      </c>
      <c r="B83" s="28" t="inlineStr">
        <is>
          <t>APEA</t>
        </is>
      </c>
      <c r="C83" s="28" t="inlineStr">
        <is>
          <t>EMMA NADEGE</t>
        </is>
      </c>
      <c r="D83" s="28" t="inlineStr">
        <is>
          <t>Non documentée</t>
        </is>
      </c>
      <c r="E83" s="28" t="inlineStr">
        <is>
          <t>absent des récapitulatifs de salaires 2024 et 2025</t>
        </is>
      </c>
      <c r="F83" s="43" t="n">
        <v>1990</v>
      </c>
      <c r="G83" s="54" t="n">
        <v>45841</v>
      </c>
      <c r="H83" s="29" t="n">
        <v>591542</v>
      </c>
      <c r="I83" s="43" t="n">
        <v>6</v>
      </c>
      <c r="J83" s="29">
        <f>IF(I83&gt;0,H83/I83,0)</f>
        <v/>
      </c>
      <c r="K83" s="35">
        <f>YEAR('14a_pidr_parametres'!$B$5)-F83</f>
        <v/>
      </c>
      <c r="L83" s="37">
        <f>MAX(DATEDIF(G83,'14a_pidr_parametres'!$B$5,"m"),0)/12</f>
        <v/>
      </c>
      <c r="M83" s="35">
        <f>MAX('14a_pidr_parametres'!$B$6-K83,0)</f>
        <v/>
      </c>
      <c r="N83" s="29">
        <f>J83*(0.3*MIN(L83,5)+0.35*MIN(MAX(L83-5,0),5)+0.4*MAX(L83-10,0))</f>
        <v/>
      </c>
      <c r="O83" s="29">
        <f>J83*(1+'14a_pidr_parametres'!$B$8)^M83*(0.3*MIN((L83+M83),5)+0.35*MIN(MAX((L83+M83)-5,0),5)+0.4*MAX((L83+M83)-10,0))</f>
        <v/>
      </c>
      <c r="P83" s="55">
        <f>IF(L83+M83&gt;0,L83/(L83+M83),0)</f>
        <v/>
      </c>
      <c r="Q83" s="55">
        <f>VLOOKUP(K83+M83,'14t_table_cima_f'!$A$5:$B$115,2,0)/VLOOKUP(K83,'14t_table_cima_f'!$A$5:$B$115,2,0)</f>
        <v/>
      </c>
      <c r="R83" s="55">
        <f>(1-'14a_pidr_parametres'!$B$9)^M83</f>
        <v/>
      </c>
      <c r="S83" s="55">
        <f>(1+'14a_pidr_parametres'!$B$7)^-M83</f>
        <v/>
      </c>
      <c r="T83" s="29">
        <f>O83*P83*Q83*R83*S83</f>
        <v/>
      </c>
    </row>
    <row r="84">
      <c r="A84" s="27" t="inlineStr">
        <is>
          <t>Total</t>
        </is>
      </c>
      <c r="B84" s="30" t="n"/>
      <c r="C84" s="30" t="n"/>
      <c r="D84" s="30" t="n"/>
      <c r="E84" s="30" t="n"/>
      <c r="F84" s="30" t="n"/>
      <c r="G84" s="30" t="n"/>
      <c r="H84" s="31">
        <f>SUM(H5:H83)</f>
        <v/>
      </c>
      <c r="I84" s="30" t="n"/>
      <c r="J84" s="30" t="n"/>
      <c r="K84" s="30" t="n"/>
      <c r="L84" s="30" t="n"/>
      <c r="M84" s="30" t="n"/>
      <c r="N84" s="31">
        <f>SUM(N5:N83)</f>
        <v/>
      </c>
      <c r="O84" s="31">
        <f>SUM(O5:O83)</f>
        <v/>
      </c>
      <c r="P84" s="30" t="n"/>
      <c r="Q84" s="30" t="n"/>
      <c r="R84" s="30" t="n"/>
      <c r="S84" s="30" t="n"/>
      <c r="T84" s="31">
        <f>SUM(T5:T83)</f>
        <v/>
      </c>
    </row>
  </sheetData>
  <pageMargins left="0.75" right="0.75" top="1" bottom="1" header="0.5" footer="0.5"/>
  <pageSetup orientation="landscape" fitToHeight="0" fitToWidth="1"/>
  <legacyDrawing xmlns:r="http://schemas.openxmlformats.org/officeDocument/2006/relationships" r:id="anysvml"/>
</worksheet>
</file>

<file path=xl/worksheets/sheet56.xml><?xml version="1.0" encoding="utf-8"?>
<worksheet xmlns="http://schemas.openxmlformats.org/spreadsheetml/2006/main">
  <sheetPr>
    <tabColor rgb="00EFAC62"/>
    <outlinePr summaryBelow="1" summaryRight="1"/>
    <pageSetUpPr fitToPage="1"/>
  </sheetPr>
  <dimension ref="A1:H8"/>
  <sheetViews>
    <sheetView showGridLines="0" workbookViewId="0">
      <selection activeCell="A1" sqref="A1"/>
    </sheetView>
  </sheetViews>
  <sheetFormatPr baseColWidth="8" defaultRowHeight="15"/>
  <cols>
    <col width="26"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5" t="inlineStr">
        <is>
          <t>PIDR par entité et par année, comparée au compte 196</t>
        </is>
      </c>
      <c r="B1" s="50" t="n"/>
      <c r="C1" s="50" t="n"/>
      <c r="D1" s="50" t="n"/>
      <c r="E1" s="50" t="n"/>
      <c r="F1" s="50" t="n"/>
      <c r="G1" s="50" t="n"/>
      <c r="H1" s="50" t="n"/>
    </row>
    <row r="2">
      <c r="A2" s="15" t="inlineStr">
        <is>
          <t>Sources : DISA 2021, 2022, 2023, 2025 ; balances du FPPN (compte 196) ; calculs Adenka (onglet 14b pour 2025)</t>
        </is>
      </c>
      <c r="B2" s="50" t="n"/>
      <c r="C2" s="50" t="n"/>
      <c r="D2" s="50" t="n"/>
      <c r="E2" s="50" t="n"/>
      <c r="F2" s="50" t="n"/>
      <c r="G2" s="50" t="n"/>
      <c r="H2" s="50" t="n"/>
    </row>
    <row r="3">
      <c r="A3" s="50" t="n"/>
      <c r="B3" s="50" t="n"/>
      <c r="C3" s="50" t="n"/>
      <c r="D3" s="50" t="n"/>
      <c r="E3" s="50" t="n"/>
      <c r="F3" s="50" t="n"/>
      <c r="G3" s="50" t="n"/>
      <c r="H3" s="50" t="n"/>
    </row>
    <row r="4">
      <c r="A4" s="8" t="inlineStr">
        <is>
          <t>Exercice</t>
        </is>
      </c>
      <c r="B4" s="8" t="inlineStr">
        <is>
          <t>Agents</t>
        </is>
      </c>
      <c r="C4" s="8" t="inlineStr">
        <is>
          <t>PIDR Direction Générale</t>
        </is>
      </c>
      <c r="D4" s="8" t="inlineStr">
        <is>
          <t>PIDR CMP</t>
        </is>
      </c>
      <c r="E4" s="8" t="inlineStr">
        <is>
          <t>PIDR Grenier</t>
        </is>
      </c>
      <c r="F4" s="8" t="inlineStr">
        <is>
          <t>PIDR rattachement non documenté</t>
        </is>
      </c>
      <c r="G4" s="8" t="inlineStr">
        <is>
          <t>PIDR totale</t>
        </is>
      </c>
      <c r="H4" s="8" t="inlineStr">
        <is>
          <t>Compte 196 (FPPN)</t>
        </is>
      </c>
    </row>
    <row r="5">
      <c r="A5" s="42" t="n">
        <v>2021</v>
      </c>
      <c r="B5" s="43" t="n">
        <v>49</v>
      </c>
      <c r="C5" s="29" t="n">
        <v>7630201.180242183</v>
      </c>
      <c r="D5" s="29" t="n">
        <v>1319886.244518312</v>
      </c>
      <c r="E5" s="29" t="n">
        <v>466837.6691840867</v>
      </c>
      <c r="F5" s="29" t="n">
        <v>5602747.848961045</v>
      </c>
      <c r="G5" s="29">
        <f>SUM(C5:F5)</f>
        <v/>
      </c>
      <c r="H5" s="29" t="n">
        <v>22542542</v>
      </c>
    </row>
    <row r="6">
      <c r="A6" s="42" t="n">
        <v>2022</v>
      </c>
      <c r="B6" s="45" t="n">
        <v>56</v>
      </c>
      <c r="C6" s="31" t="n">
        <v>9003702.381355697</v>
      </c>
      <c r="D6" s="31" t="n">
        <v>2099651.198869355</v>
      </c>
      <c r="E6" s="31" t="n">
        <v>593156.3770654761</v>
      </c>
      <c r="F6" s="31" t="n">
        <v>7367570.853693796</v>
      </c>
      <c r="G6" s="31">
        <f>SUM(C6:F6)</f>
        <v/>
      </c>
      <c r="H6" s="31" t="n">
        <v>28325794</v>
      </c>
    </row>
    <row r="7">
      <c r="A7" s="42" t="n">
        <v>2023</v>
      </c>
      <c r="B7" s="43" t="n">
        <v>62</v>
      </c>
      <c r="C7" s="29" t="n">
        <v>12501712.30683265</v>
      </c>
      <c r="D7" s="29" t="n">
        <v>3243122.301370226</v>
      </c>
      <c r="E7" s="29" t="n">
        <v>851185.7075445807</v>
      </c>
      <c r="F7" s="29" t="n">
        <v>6302573.424405518</v>
      </c>
      <c r="G7" s="29">
        <f>SUM(C7:F7)</f>
        <v/>
      </c>
      <c r="H7" s="29" t="n">
        <v>35312179</v>
      </c>
    </row>
    <row r="8">
      <c r="A8" s="42" t="n">
        <v>2025</v>
      </c>
      <c r="B8" s="45" t="n">
        <v>79</v>
      </c>
      <c r="C8" s="31">
        <f>SUMIF('14b_pidr_individuel'!$D$5:$D$83,"Direction Générale",'14b_pidr_individuel'!$T$5:$T$83)</f>
        <v/>
      </c>
      <c r="D8" s="31">
        <f>SUMIF('14b_pidr_individuel'!$D$5:$D$83,"CMP",'14b_pidr_individuel'!$T$5:$T$83)</f>
        <v/>
      </c>
      <c r="E8" s="31">
        <f>SUMIF('14b_pidr_individuel'!$D$5:$D$83,"Grenier",'14b_pidr_individuel'!$T$5:$T$83)</f>
        <v/>
      </c>
      <c r="F8" s="31">
        <f>SUMIF('14b_pidr_individuel'!$D$5:$D$83,"Non documentée",'14b_pidr_individuel'!$T$5:$T$83)</f>
        <v/>
      </c>
      <c r="G8" s="31">
        <f>SUM(C8:F8)</f>
        <v/>
      </c>
      <c r="H8" s="31" t="n">
        <v>43666678</v>
      </c>
    </row>
  </sheetData>
  <pageMargins left="0.75" right="0.75" top="1" bottom="1" header="0.5" footer="0.5"/>
  <pageSetup orientation="landscape" fitToHeight="0" fitToWidth="1"/>
</worksheet>
</file>

<file path=xl/worksheets/sheet57.xml><?xml version="1.0" encoding="utf-8"?>
<worksheet xmlns="http://schemas.openxmlformats.org/spreadsheetml/2006/main">
  <sheetPr>
    <tabColor rgb="00EFAC62"/>
    <outlinePr summaryBelow="1" summaryRight="1"/>
    <pageSetUpPr fitToPage="1"/>
  </sheetPr>
  <dimension ref="A1:K15"/>
  <sheetViews>
    <sheetView showGridLines="0" workbookViewId="0">
      <selection activeCell="A1" sqref="A1"/>
    </sheetView>
  </sheetViews>
  <sheetFormatPr baseColWidth="8" defaultRowHeight="15"/>
  <cols>
    <col width="10" customWidth="1" min="1" max="1"/>
    <col width="14" customWidth="1" min="2" max="2"/>
    <col width="12" customWidth="1" min="3" max="3"/>
    <col width="12" customWidth="1" min="4" max="4"/>
    <col width="16" customWidth="1" min="5" max="5"/>
    <col width="18" customWidth="1" min="6" max="6"/>
    <col width="18" customWidth="1" min="7" max="7"/>
    <col width="14" customWidth="1" min="8" max="8"/>
    <col width="18" customWidth="1" min="9" max="9"/>
    <col width="18" customWidth="1" min="10" max="10"/>
    <col width="16" customWidth="1" min="11" max="11"/>
  </cols>
  <sheetData>
    <row r="1">
      <c r="A1" s="5" t="inlineStr">
        <is>
          <t>Mortalité brute des membres participants et sinistralité décès selon le FPPN</t>
        </is>
      </c>
      <c r="B1" s="50" t="n"/>
      <c r="C1" s="50" t="n"/>
      <c r="D1" s="50" t="n"/>
      <c r="E1" s="50" t="n"/>
      <c r="F1" s="50" t="n"/>
      <c r="G1" s="50" t="n"/>
      <c r="H1" s="50" t="n"/>
      <c r="I1" s="50" t="n"/>
      <c r="J1" s="50" t="n"/>
      <c r="K1" s="50" t="n"/>
    </row>
    <row r="2">
      <c r="A2" s="15" t="inlineStr">
        <is>
          <t>Source : ETUDE DES RATIO MALADIE DECES 2.xlsx (feuilles Tableau et Historique 2015-2021) ; balances du FPPN ; calculs Adenka</t>
        </is>
      </c>
      <c r="B2" s="50" t="n"/>
      <c r="C2" s="50" t="n"/>
      <c r="D2" s="50" t="n"/>
      <c r="E2" s="50" t="n"/>
      <c r="F2" s="50" t="n"/>
      <c r="G2" s="50" t="n"/>
      <c r="H2" s="50" t="n"/>
      <c r="I2" s="50" t="n"/>
      <c r="J2" s="50" t="n"/>
      <c r="K2" s="50" t="n"/>
    </row>
    <row r="3">
      <c r="A3" s="50" t="n"/>
      <c r="B3" s="50" t="n"/>
      <c r="C3" s="50" t="n"/>
      <c r="D3" s="50" t="n"/>
      <c r="E3" s="50" t="n"/>
      <c r="F3" s="50" t="n"/>
      <c r="G3" s="50" t="n"/>
      <c r="H3" s="50" t="n"/>
      <c r="I3" s="50" t="n"/>
      <c r="J3" s="50" t="n"/>
      <c r="K3" s="50" t="n"/>
    </row>
    <row r="4">
      <c r="A4" s="8" t="inlineStr">
        <is>
          <t>Année</t>
        </is>
      </c>
      <c r="B4" s="8" t="inlineStr">
        <is>
          <t>Adhérents</t>
        </is>
      </c>
      <c r="C4" s="8" t="inlineStr">
        <is>
          <t>Décès adhérents</t>
        </is>
      </c>
      <c r="D4" s="8" t="inlineStr">
        <is>
          <t>Décès total</t>
        </is>
      </c>
      <c r="E4" s="8" t="inlineStr">
        <is>
          <t>Taux brut (pour mille)</t>
        </is>
      </c>
      <c r="F4" s="8" t="inlineStr">
        <is>
          <t>Cotisations payées (FPPN)</t>
        </is>
      </c>
      <c r="G4" s="8" t="inlineStr">
        <is>
          <t>Sinistres déclarés (FPPN)</t>
        </is>
      </c>
      <c r="H4" s="8" t="inlineStr">
        <is>
          <t>S/P du FPPN</t>
        </is>
      </c>
      <c r="I4" s="8" t="inlineStr">
        <is>
          <t>Cotisations décès (comptes)</t>
        </is>
      </c>
      <c r="J4" s="8" t="inlineStr">
        <is>
          <t>Prestations décès (comptes)</t>
        </is>
      </c>
      <c r="K4" s="8" t="inlineStr">
        <is>
          <t>Prime d'assurance décès (comptes)</t>
        </is>
      </c>
    </row>
    <row r="5">
      <c r="A5" s="58" t="n">
        <v>2015</v>
      </c>
      <c r="B5" s="29" t="n">
        <v>16518.08333333333</v>
      </c>
      <c r="C5" s="29" t="n">
        <v>96</v>
      </c>
      <c r="D5" s="29" t="n">
        <v>132</v>
      </c>
      <c r="E5" s="37">
        <f>C5/B5*1000</f>
        <v/>
      </c>
      <c r="F5" s="29" t="n">
        <v>529546615</v>
      </c>
      <c r="G5" s="29" t="n">
        <v>449595405</v>
      </c>
      <c r="H5" s="32">
        <f>G5/F5</f>
        <v/>
      </c>
      <c r="I5" s="59" t="n"/>
      <c r="J5" s="59" t="n"/>
      <c r="K5" s="59" t="n"/>
    </row>
    <row r="6">
      <c r="A6" s="58" t="n">
        <v>2016</v>
      </c>
      <c r="B6" s="31" t="n">
        <v>17164.16666666667</v>
      </c>
      <c r="C6" s="31" t="n">
        <v>76</v>
      </c>
      <c r="D6" s="31" t="n">
        <v>90</v>
      </c>
      <c r="E6" s="38">
        <f>C6/B6*1000</f>
        <v/>
      </c>
      <c r="F6" s="31" t="n">
        <v>547305036</v>
      </c>
      <c r="G6" s="31" t="n">
        <v>353094789</v>
      </c>
      <c r="H6" s="33">
        <f>G6/F6</f>
        <v/>
      </c>
      <c r="I6" s="60" t="n"/>
      <c r="J6" s="60" t="n"/>
      <c r="K6" s="60" t="n"/>
    </row>
    <row r="7">
      <c r="A7" s="58" t="n">
        <v>2017</v>
      </c>
      <c r="B7" s="29" t="n">
        <v>17164.16666666667</v>
      </c>
      <c r="C7" s="29" t="n">
        <v>99</v>
      </c>
      <c r="D7" s="29" t="n">
        <v>117</v>
      </c>
      <c r="E7" s="37">
        <f>C7/B7*1000</f>
        <v/>
      </c>
      <c r="F7" s="29" t="n">
        <v>522827758.203267</v>
      </c>
      <c r="G7" s="29" t="n">
        <v>452046875</v>
      </c>
      <c r="H7" s="32">
        <f>G7/F7</f>
        <v/>
      </c>
      <c r="I7" s="59" t="n"/>
      <c r="J7" s="59" t="n"/>
      <c r="K7" s="59" t="n"/>
    </row>
    <row r="8">
      <c r="A8" s="58" t="n">
        <v>2018</v>
      </c>
      <c r="B8" s="31" t="n">
        <v>17164.16666666667</v>
      </c>
      <c r="C8" s="31" t="n">
        <v>112</v>
      </c>
      <c r="D8" s="31" t="n">
        <v>130</v>
      </c>
      <c r="E8" s="38">
        <f>C8/B8*1000</f>
        <v/>
      </c>
      <c r="F8" s="31" t="n">
        <v>513666763</v>
      </c>
      <c r="G8" s="31" t="n">
        <v>504452683</v>
      </c>
      <c r="H8" s="33">
        <f>G8/F8</f>
        <v/>
      </c>
      <c r="I8" s="60" t="n"/>
      <c r="J8" s="60" t="n"/>
      <c r="K8" s="60" t="n"/>
    </row>
    <row r="9">
      <c r="A9" s="58" t="n">
        <v>2019</v>
      </c>
      <c r="B9" s="29" t="n">
        <v>17824</v>
      </c>
      <c r="C9" s="29" t="n">
        <v>78</v>
      </c>
      <c r="D9" s="29" t="n">
        <v>104</v>
      </c>
      <c r="E9" s="37">
        <f>C9/B9*1000</f>
        <v/>
      </c>
      <c r="F9" s="29" t="n">
        <v>530213309</v>
      </c>
      <c r="G9" s="29" t="n">
        <v>353259182.9837399</v>
      </c>
      <c r="H9" s="32">
        <f>G9/F9</f>
        <v/>
      </c>
      <c r="I9" s="59" t="n"/>
      <c r="J9" s="59" t="n"/>
      <c r="K9" s="59" t="n"/>
    </row>
    <row r="10">
      <c r="A10" s="58" t="n">
        <v>2020</v>
      </c>
      <c r="B10" s="31" t="n">
        <v>18653.83333333333</v>
      </c>
      <c r="C10" s="31" t="n">
        <v>108</v>
      </c>
      <c r="D10" s="31" t="n">
        <v>125</v>
      </c>
      <c r="E10" s="38">
        <f>C10/B10*1000</f>
        <v/>
      </c>
      <c r="F10" s="31" t="n">
        <v>557317712</v>
      </c>
      <c r="G10" s="31" t="n">
        <v>493331537.3902439</v>
      </c>
      <c r="H10" s="33">
        <f>G10/F10</f>
        <v/>
      </c>
      <c r="I10" s="31" t="n">
        <v>703298329</v>
      </c>
      <c r="J10" s="31" t="n">
        <v>3933335</v>
      </c>
      <c r="K10" s="31" t="n">
        <v>574393861</v>
      </c>
    </row>
    <row r="11">
      <c r="A11" s="58" t="n">
        <v>2021</v>
      </c>
      <c r="B11" s="29" t="n">
        <v>19846</v>
      </c>
      <c r="C11" s="29" t="n">
        <v>101</v>
      </c>
      <c r="D11" s="29" t="n">
        <v>116</v>
      </c>
      <c r="E11" s="37">
        <f>C11/B11*1000</f>
        <v/>
      </c>
      <c r="F11" s="29" t="n">
        <v>725124908</v>
      </c>
      <c r="G11" s="29" t="n">
        <v>156020000</v>
      </c>
      <c r="H11" s="32">
        <f>G11/F11</f>
        <v/>
      </c>
      <c r="I11" s="29" t="n">
        <v>725124908</v>
      </c>
      <c r="J11" s="29" t="n">
        <v>401856666</v>
      </c>
      <c r="K11" s="29" t="n">
        <v>0</v>
      </c>
    </row>
    <row r="12">
      <c r="A12" s="58" t="n">
        <v>2022</v>
      </c>
      <c r="B12" s="31" t="n">
        <v>19846</v>
      </c>
      <c r="C12" s="31" t="n">
        <v>76</v>
      </c>
      <c r="D12" s="31" t="n">
        <v>88</v>
      </c>
      <c r="E12" s="38">
        <f>C12/B12*1000</f>
        <v/>
      </c>
      <c r="F12" s="31" t="n">
        <v>763338861</v>
      </c>
      <c r="G12" s="31" t="n">
        <v>116090000</v>
      </c>
      <c r="H12" s="33">
        <f>G12/F12</f>
        <v/>
      </c>
      <c r="I12" s="31" t="n">
        <v>763338861</v>
      </c>
      <c r="J12" s="31" t="n">
        <v>116090000</v>
      </c>
      <c r="K12" s="31" t="n">
        <v>0</v>
      </c>
    </row>
    <row r="13">
      <c r="A13" s="58" t="n">
        <v>2023</v>
      </c>
      <c r="B13" s="29" t="n">
        <v>23670</v>
      </c>
      <c r="C13" s="29" t="n">
        <v>94</v>
      </c>
      <c r="D13" s="29" t="n">
        <v>106</v>
      </c>
      <c r="E13" s="37">
        <f>C13/B13*1000</f>
        <v/>
      </c>
      <c r="F13" s="29" t="n">
        <v>829647591</v>
      </c>
      <c r="G13" s="29" t="n">
        <v>141490000</v>
      </c>
      <c r="H13" s="32">
        <f>G13/F13</f>
        <v/>
      </c>
      <c r="I13" s="29" t="n">
        <v>829647591</v>
      </c>
      <c r="J13" s="29" t="n">
        <v>141490000</v>
      </c>
      <c r="K13" s="29" t="n">
        <v>0</v>
      </c>
    </row>
    <row r="14">
      <c r="A14" s="58" t="n">
        <v>2024</v>
      </c>
      <c r="B14" s="31" t="n">
        <v>27657</v>
      </c>
      <c r="C14" s="31" t="n">
        <v>125</v>
      </c>
      <c r="D14" s="31" t="n">
        <v>134</v>
      </c>
      <c r="E14" s="38">
        <f>C14/B14*1000</f>
        <v/>
      </c>
      <c r="F14" s="31" t="n">
        <v>934555069</v>
      </c>
      <c r="G14" s="31" t="n">
        <v>203801664</v>
      </c>
      <c r="H14" s="33">
        <f>G14/F14</f>
        <v/>
      </c>
      <c r="I14" s="31" t="n">
        <v>934555069</v>
      </c>
      <c r="J14" s="31" t="n">
        <v>203801664</v>
      </c>
      <c r="K14" s="31" t="n">
        <v>0</v>
      </c>
    </row>
    <row r="15">
      <c r="A15" s="58" t="n">
        <v>2025</v>
      </c>
      <c r="B15" s="29" t="n">
        <v>31678</v>
      </c>
      <c r="C15" s="29" t="n">
        <v>99</v>
      </c>
      <c r="D15" s="29" t="n">
        <v>109</v>
      </c>
      <c r="E15" s="37">
        <f>C15/B15*1000</f>
        <v/>
      </c>
      <c r="F15" s="29" t="n">
        <v>1008270692</v>
      </c>
      <c r="G15" s="29" t="n">
        <v>193136666</v>
      </c>
      <c r="H15" s="32">
        <f>G15/F15</f>
        <v/>
      </c>
      <c r="I15" s="29" t="n">
        <v>1008270692</v>
      </c>
      <c r="J15" s="29" t="n">
        <v>193136666</v>
      </c>
      <c r="K15" s="29" t="n">
        <v>0</v>
      </c>
    </row>
  </sheetData>
  <pageMargins left="0.75" right="0.75" top="1" bottom="1" header="0.5" footer="0.5"/>
  <pageSetup orientation="landscape" fitToHeight="0" fitToWidth="1"/>
</worksheet>
</file>

<file path=xl/worksheets/sheet58.xml><?xml version="1.0" encoding="utf-8"?>
<worksheet xmlns="http://schemas.openxmlformats.org/spreadsheetml/2006/main">
  <sheetPr>
    <tabColor rgb="00EFAC62"/>
    <outlinePr summaryBelow="1" summaryRight="1"/>
    <pageSetUpPr fitToPage="1"/>
  </sheetPr>
  <dimension ref="A1:I11"/>
  <sheetViews>
    <sheetView showGridLines="0" workbookViewId="0">
      <selection activeCell="A1" sqref="A1"/>
    </sheetView>
  </sheetViews>
  <sheetFormatPr baseColWidth="8" defaultRowHeight="15"/>
  <cols>
    <col width="10" customWidth="1" min="1" max="1"/>
    <col width="18" customWidth="1" min="2" max="2"/>
    <col width="14" customWidth="1" min="3" max="3"/>
    <col width="14" customWidth="1" min="4" max="4"/>
    <col width="14" customWidth="1" min="5" max="5"/>
    <col width="18" customWidth="1" min="6" max="6"/>
    <col width="18" customWidth="1" min="7" max="7"/>
    <col width="18" customWidth="1" min="8" max="8"/>
    <col width="18" customWidth="1" min="9" max="9"/>
  </cols>
  <sheetData>
    <row r="1">
      <c r="A1" s="5" t="inlineStr">
        <is>
          <t>EFC : intérêts annuels dus sur l'encours selon le taux servi</t>
        </is>
      </c>
      <c r="B1" s="50" t="n"/>
      <c r="C1" s="50" t="n"/>
      <c r="D1" s="50" t="n"/>
      <c r="E1" s="50" t="n"/>
      <c r="F1" s="50" t="n"/>
      <c r="G1" s="50" t="n"/>
      <c r="H1" s="50" t="n"/>
      <c r="I1" s="50" t="n"/>
    </row>
    <row r="2">
      <c r="A2" s="15" t="inlineStr">
        <is>
          <t>Sources : balances du FPPN (compte 41195200) ; MANUEL DE PRODUIT D'EPARGNE FPPN VF VF.docx (5,5 %) ; CAHIER DE CHARGEEFC &amp; PEP 2021.pdf (14 %) ; entretien du chef comptable (3,5 %)</t>
        </is>
      </c>
      <c r="B2" s="50" t="n"/>
      <c r="C2" s="50" t="n"/>
      <c r="D2" s="50" t="n"/>
      <c r="E2" s="50" t="n"/>
      <c r="F2" s="50" t="n"/>
      <c r="G2" s="50" t="n"/>
      <c r="H2" s="50" t="n"/>
      <c r="I2" s="50" t="n"/>
    </row>
    <row r="3">
      <c r="A3" s="50" t="n"/>
      <c r="B3" s="50" t="n"/>
      <c r="C3" s="50" t="n"/>
      <c r="D3" s="50" t="n"/>
      <c r="E3" s="50" t="n"/>
      <c r="F3" s="50" t="n"/>
      <c r="G3" s="50" t="n"/>
      <c r="H3" s="50" t="n"/>
      <c r="I3" s="50" t="n"/>
    </row>
    <row r="4">
      <c r="A4" s="8" t="inlineStr">
        <is>
          <t>Exercice</t>
        </is>
      </c>
      <c r="B4" s="8" t="inlineStr">
        <is>
          <t>Encours EFC (41195200)</t>
        </is>
      </c>
      <c r="C4" s="8" t="inlineStr">
        <is>
          <t>Taux 1</t>
        </is>
      </c>
      <c r="D4" s="8" t="inlineStr">
        <is>
          <t>Taux 2</t>
        </is>
      </c>
      <c r="E4" s="8" t="inlineStr">
        <is>
          <t>Taux 3</t>
        </is>
      </c>
      <c r="F4" s="8" t="inlineStr">
        <is>
          <t>Intérêts au taux 1</t>
        </is>
      </c>
      <c r="G4" s="8" t="inlineStr">
        <is>
          <t>Intérêts au taux 2</t>
        </is>
      </c>
      <c r="H4" s="8" t="inlineStr">
        <is>
          <t>Intérêts au taux 3</t>
        </is>
      </c>
      <c r="I4" s="8" t="inlineStr">
        <is>
          <t>Produits financiers</t>
        </is>
      </c>
    </row>
    <row r="5">
      <c r="A5" s="58" t="n">
        <v>2020</v>
      </c>
      <c r="B5" s="29" t="n">
        <v>3461975893</v>
      </c>
      <c r="C5" s="53" t="n">
        <v>0.035</v>
      </c>
      <c r="D5" s="53" t="n">
        <v>0.055</v>
      </c>
      <c r="E5" s="53" t="n">
        <v>0.14</v>
      </c>
      <c r="F5" s="29">
        <f>B5*C5</f>
        <v/>
      </c>
      <c r="G5" s="29">
        <f>B5*D5</f>
        <v/>
      </c>
      <c r="H5" s="29">
        <f>B5*E5</f>
        <v/>
      </c>
      <c r="I5" s="59" t="n"/>
    </row>
    <row r="6">
      <c r="A6" s="58" t="n">
        <v>2021</v>
      </c>
      <c r="B6" s="31" t="n">
        <v>3785064982</v>
      </c>
      <c r="C6" s="53" t="n">
        <v>0.035</v>
      </c>
      <c r="D6" s="53" t="n">
        <v>0.055</v>
      </c>
      <c r="E6" s="53" t="n">
        <v>0.14</v>
      </c>
      <c r="F6" s="31">
        <f>B6*C6</f>
        <v/>
      </c>
      <c r="G6" s="31">
        <f>B6*D6</f>
        <v/>
      </c>
      <c r="H6" s="31">
        <f>B6*E6</f>
        <v/>
      </c>
      <c r="I6" s="31" t="n">
        <v>32409354</v>
      </c>
    </row>
    <row r="7">
      <c r="A7" s="58" t="n">
        <v>2022</v>
      </c>
      <c r="B7" s="29" t="n">
        <v>4453948287</v>
      </c>
      <c r="C7" s="53" t="n">
        <v>0.035</v>
      </c>
      <c r="D7" s="53" t="n">
        <v>0.055</v>
      </c>
      <c r="E7" s="53" t="n">
        <v>0.14</v>
      </c>
      <c r="F7" s="29">
        <f>B7*C7</f>
        <v/>
      </c>
      <c r="G7" s="29">
        <f>B7*D7</f>
        <v/>
      </c>
      <c r="H7" s="29">
        <f>B7*E7</f>
        <v/>
      </c>
      <c r="I7" s="29" t="n">
        <v>7258416</v>
      </c>
    </row>
    <row r="8">
      <c r="A8" s="58" t="n">
        <v>2023</v>
      </c>
      <c r="B8" s="31" t="n">
        <v>5561470959</v>
      </c>
      <c r="C8" s="53" t="n">
        <v>0.035</v>
      </c>
      <c r="D8" s="53" t="n">
        <v>0.055</v>
      </c>
      <c r="E8" s="53" t="n">
        <v>0.14</v>
      </c>
      <c r="F8" s="31">
        <f>B8*C8</f>
        <v/>
      </c>
      <c r="G8" s="31">
        <f>B8*D8</f>
        <v/>
      </c>
      <c r="H8" s="31">
        <f>B8*E8</f>
        <v/>
      </c>
      <c r="I8" s="31" t="n">
        <v>7124778</v>
      </c>
    </row>
    <row r="9">
      <c r="A9" s="58" t="n">
        <v>2024</v>
      </c>
      <c r="B9" s="29" t="n">
        <v>6954740653</v>
      </c>
      <c r="C9" s="53" t="n">
        <v>0.035</v>
      </c>
      <c r="D9" s="53" t="n">
        <v>0.055</v>
      </c>
      <c r="E9" s="53" t="n">
        <v>0.14</v>
      </c>
      <c r="F9" s="29">
        <f>B9*C9</f>
        <v/>
      </c>
      <c r="G9" s="29">
        <f>B9*D9</f>
        <v/>
      </c>
      <c r="H9" s="29">
        <f>B9*E9</f>
        <v/>
      </c>
      <c r="I9" s="29" t="n">
        <v>9176280</v>
      </c>
    </row>
    <row r="10">
      <c r="A10" s="58" t="n">
        <v>2025</v>
      </c>
      <c r="B10" s="31" t="n">
        <v>8848845044</v>
      </c>
      <c r="C10" s="53" t="n">
        <v>0.035</v>
      </c>
      <c r="D10" s="53" t="n">
        <v>0.055</v>
      </c>
      <c r="E10" s="53" t="n">
        <v>0.14</v>
      </c>
      <c r="F10" s="31">
        <f>B10*C10</f>
        <v/>
      </c>
      <c r="G10" s="31">
        <f>B10*D10</f>
        <v/>
      </c>
      <c r="H10" s="31">
        <f>B10*E10</f>
        <v/>
      </c>
      <c r="I10" s="31" t="n">
        <v>117912488</v>
      </c>
    </row>
    <row r="11">
      <c r="A11" s="58" t="n">
        <v>2026</v>
      </c>
      <c r="B11" s="29" t="n">
        <v>10514270966</v>
      </c>
      <c r="C11" s="53" t="n">
        <v>0.035</v>
      </c>
      <c r="D11" s="53" t="n">
        <v>0.055</v>
      </c>
      <c r="E11" s="53" t="n">
        <v>0.14</v>
      </c>
      <c r="F11" s="29">
        <f>B11*C11</f>
        <v/>
      </c>
      <c r="G11" s="29">
        <f>B11*D11</f>
        <v/>
      </c>
      <c r="H11" s="29">
        <f>B11*E11</f>
        <v/>
      </c>
      <c r="I11" s="59" t="n"/>
    </row>
  </sheetData>
  <pageMargins left="0.75" right="0.75" top="1" bottom="1" header="0.5" footer="0.5"/>
  <pageSetup orientation="landscape" fitToHeight="0" fitToWidth="1"/>
</worksheet>
</file>

<file path=xl/worksheets/sheet59.xml><?xml version="1.0" encoding="utf-8"?>
<worksheet xmlns="http://schemas.openxmlformats.org/spreadsheetml/2006/main">
  <sheetPr>
    <tabColor rgb="00EFAC62"/>
    <outlinePr summaryBelow="1" summaryRight="1"/>
    <pageSetUpPr fitToPage="1"/>
  </sheetPr>
  <dimension ref="A1:J42"/>
  <sheetViews>
    <sheetView showGridLines="0" workbookViewId="0">
      <selection activeCell="A1" sqref="A1"/>
    </sheetView>
  </sheetViews>
  <sheetFormatPr baseColWidth="8" defaultRowHeight="15"/>
  <cols>
    <col width="10" customWidth="1" min="1" max="1"/>
    <col width="20" customWidth="1" min="2" max="2"/>
    <col width="20" customWidth="1" min="3" max="3"/>
    <col width="16" customWidth="1" min="4" max="4"/>
    <col width="20" customWidth="1" min="5" max="5"/>
    <col width="20" customWidth="1" min="6" max="6"/>
    <col width="16" customWidth="1" min="7" max="7"/>
  </cols>
  <sheetData>
    <row r="1">
      <c r="A1" s="5" t="inlineStr">
        <is>
          <t>Contrôles croisés entre documents</t>
        </is>
      </c>
      <c r="B1" s="50" t="n"/>
      <c r="C1" s="50" t="n"/>
      <c r="D1" s="50" t="n"/>
      <c r="E1" s="50" t="n"/>
      <c r="F1" s="50" t="n"/>
      <c r="G1" s="50" t="n"/>
      <c r="H1" s="50" t="n"/>
      <c r="I1" s="50" t="n"/>
      <c r="J1" s="50" t="n"/>
    </row>
    <row r="2">
      <c r="A2" s="15" t="inlineStr">
        <is>
          <t>Sources : ETATS FINANCIERS 2020 à 2025 et AU 31-08-2026.pdf ; balances du FPPN ; ETUDE DES RATIO MALADIE DECES 2.xlsx ; fichiers 8Z6 de la Solde ; ETAT DE RAPPROCHEMENT BANCAIRE FPPN 2020 à 2026.xlsx</t>
        </is>
      </c>
      <c r="B2" s="50" t="n"/>
      <c r="C2" s="50" t="n"/>
      <c r="D2" s="50" t="n"/>
      <c r="E2" s="50" t="n"/>
      <c r="F2" s="50" t="n"/>
      <c r="G2" s="50" t="n"/>
      <c r="H2" s="50" t="n"/>
      <c r="I2" s="50" t="n"/>
      <c r="J2" s="50" t="n"/>
    </row>
    <row r="3">
      <c r="A3" s="50" t="n"/>
      <c r="B3" s="50" t="n"/>
      <c r="C3" s="50" t="n"/>
      <c r="D3" s="50" t="n"/>
      <c r="E3" s="50" t="n"/>
      <c r="F3" s="50" t="n"/>
      <c r="G3" s="50" t="n"/>
      <c r="H3" s="50" t="n"/>
      <c r="I3" s="50" t="n"/>
      <c r="J3" s="50" t="n"/>
    </row>
    <row r="4">
      <c r="A4" s="8" t="inlineStr">
        <is>
          <t>Exercice</t>
        </is>
      </c>
      <c r="B4" s="8" t="inlineStr">
        <is>
          <t>Total actif brut (états financiers)</t>
        </is>
      </c>
      <c r="C4" s="8" t="inlineStr">
        <is>
          <t>Total actif brut (balances)</t>
        </is>
      </c>
      <c r="D4" s="8" t="inlineStr">
        <is>
          <t>Écart</t>
        </is>
      </c>
      <c r="E4" s="8" t="inlineStr">
        <is>
          <t>Résultat (états financiers)</t>
        </is>
      </c>
      <c r="F4" s="8" t="inlineStr">
        <is>
          <t>Résultat (balances)</t>
        </is>
      </c>
      <c r="G4" s="8" t="inlineStr">
        <is>
          <t>Écart</t>
        </is>
      </c>
      <c r="H4" s="8" t="inlineStr">
        <is>
          <t>Trésorerie actif (états financiers)</t>
        </is>
      </c>
      <c r="I4" s="8" t="inlineStr">
        <is>
          <t>Soldes débiteurs classe 5 (balances)</t>
        </is>
      </c>
      <c r="J4" s="8" t="inlineStr">
        <is>
          <t>Écart</t>
        </is>
      </c>
    </row>
    <row r="5">
      <c r="A5" s="58" t="n">
        <v>2020</v>
      </c>
      <c r="B5" s="29" t="n">
        <v>14446097044</v>
      </c>
      <c r="C5" s="29" t="n">
        <v>14446097044</v>
      </c>
      <c r="D5" s="29">
        <f>B5-C5</f>
        <v/>
      </c>
      <c r="E5" s="29" t="n">
        <v>1018579699</v>
      </c>
      <c r="F5" s="29" t="n">
        <v>1018579699</v>
      </c>
      <c r="G5" s="29">
        <f>E5-F5</f>
        <v/>
      </c>
      <c r="H5" s="29" t="n">
        <v>881310155</v>
      </c>
      <c r="I5" s="29" t="n">
        <v>881310155</v>
      </c>
      <c r="J5" s="29">
        <f>H5-I5</f>
        <v/>
      </c>
    </row>
    <row r="6">
      <c r="A6" s="58" t="n">
        <v>2021</v>
      </c>
      <c r="B6" s="31" t="n">
        <v>16195461159</v>
      </c>
      <c r="C6" s="31" t="n">
        <v>16195461159</v>
      </c>
      <c r="D6" s="31">
        <f>B6-C6</f>
        <v/>
      </c>
      <c r="E6" s="31" t="n">
        <v>2083908202</v>
      </c>
      <c r="F6" s="31" t="n">
        <v>2083908202</v>
      </c>
      <c r="G6" s="31">
        <f>E6-F6</f>
        <v/>
      </c>
      <c r="H6" s="31" t="n">
        <v>2809574473</v>
      </c>
      <c r="I6" s="31" t="n">
        <v>2809574473</v>
      </c>
      <c r="J6" s="31">
        <f>H6-I6</f>
        <v/>
      </c>
    </row>
    <row r="7">
      <c r="A7" s="58" t="n">
        <v>2022</v>
      </c>
      <c r="B7" s="29" t="n">
        <v>15510713126</v>
      </c>
      <c r="C7" s="29" t="n">
        <v>15510713126</v>
      </c>
      <c r="D7" s="29">
        <f>B7-C7</f>
        <v/>
      </c>
      <c r="E7" s="29" t="n">
        <v>2060332677</v>
      </c>
      <c r="F7" s="29" t="n">
        <v>2060332677</v>
      </c>
      <c r="G7" s="29">
        <f>E7-F7</f>
        <v/>
      </c>
      <c r="H7" s="29" t="n">
        <v>1233051977</v>
      </c>
      <c r="I7" s="29" t="n">
        <v>1233051977</v>
      </c>
      <c r="J7" s="29">
        <f>H7-I7</f>
        <v/>
      </c>
    </row>
    <row r="8">
      <c r="A8" s="58" t="n">
        <v>2023</v>
      </c>
      <c r="B8" s="31" t="n">
        <v>16157155123</v>
      </c>
      <c r="C8" s="31" t="n">
        <v>16167155123</v>
      </c>
      <c r="D8" s="31">
        <f>B8-C8</f>
        <v/>
      </c>
      <c r="E8" s="31" t="n">
        <v>928699102</v>
      </c>
      <c r="F8" s="31" t="n">
        <v>930629102</v>
      </c>
      <c r="G8" s="31">
        <f>E8-F8</f>
        <v/>
      </c>
      <c r="H8" s="31" t="n">
        <v>1242945485</v>
      </c>
      <c r="I8" s="31" t="n">
        <v>1242945485</v>
      </c>
      <c r="J8" s="31">
        <f>H8-I8</f>
        <v/>
      </c>
    </row>
    <row r="9">
      <c r="A9" s="58" t="n">
        <v>2024</v>
      </c>
      <c r="B9" s="29" t="n">
        <v>19396236478</v>
      </c>
      <c r="C9" s="29" t="n">
        <v>19396236478</v>
      </c>
      <c r="D9" s="29">
        <f>B9-C9</f>
        <v/>
      </c>
      <c r="E9" s="29" t="n">
        <v>792069641</v>
      </c>
      <c r="F9" s="29" t="n">
        <v>792069641</v>
      </c>
      <c r="G9" s="29">
        <f>E9-F9</f>
        <v/>
      </c>
      <c r="H9" s="29" t="n">
        <v>979838445</v>
      </c>
      <c r="I9" s="29" t="n">
        <v>979838445</v>
      </c>
      <c r="J9" s="29">
        <f>H9-I9</f>
        <v/>
      </c>
    </row>
    <row r="10">
      <c r="A10" s="58" t="n">
        <v>2025</v>
      </c>
      <c r="B10" s="31" t="n">
        <v>21722068914</v>
      </c>
      <c r="C10" s="31" t="n">
        <v>21722068914</v>
      </c>
      <c r="D10" s="31">
        <f>B10-C10</f>
        <v/>
      </c>
      <c r="E10" s="31" t="n">
        <v>437899911</v>
      </c>
      <c r="F10" s="31" t="n">
        <v>437899911</v>
      </c>
      <c r="G10" s="31">
        <f>E10-F10</f>
        <v/>
      </c>
      <c r="H10" s="31" t="n">
        <v>1964171543</v>
      </c>
      <c r="I10" s="31" t="n">
        <v>1964171543</v>
      </c>
      <c r="J10" s="31">
        <f>H10-I10</f>
        <v/>
      </c>
    </row>
    <row r="11">
      <c r="A11" s="58" t="n">
        <v>2026</v>
      </c>
      <c r="B11" s="29" t="n">
        <v>23692620745</v>
      </c>
      <c r="C11" s="29" t="n">
        <v>23692620745</v>
      </c>
      <c r="D11" s="29">
        <f>B11-C11</f>
        <v/>
      </c>
      <c r="E11" s="29" t="n">
        <v>-437148460</v>
      </c>
      <c r="F11" s="29" t="n">
        <v>-441256500</v>
      </c>
      <c r="G11" s="29">
        <f>E11-F11</f>
        <v/>
      </c>
      <c r="H11" s="29" t="n">
        <v>3359100618</v>
      </c>
      <c r="I11" s="29" t="n">
        <v>3359100618</v>
      </c>
      <c r="J11" s="29">
        <f>H11-I11</f>
        <v/>
      </c>
    </row>
    <row r="12">
      <c r="A12" s="50" t="n"/>
      <c r="B12" s="50" t="n"/>
      <c r="C12" s="50" t="n"/>
      <c r="D12" s="50" t="n"/>
      <c r="E12" s="50" t="n"/>
      <c r="F12" s="50" t="n"/>
      <c r="G12" s="50" t="n"/>
      <c r="H12" s="50" t="n"/>
      <c r="I12" s="50" t="n"/>
      <c r="J12" s="50" t="n"/>
    </row>
    <row r="13">
      <c r="A13" s="8" t="inlineStr">
        <is>
          <t>Année</t>
        </is>
      </c>
      <c r="B13" s="8" t="inlineStr">
        <is>
          <t>Mois</t>
        </is>
      </c>
      <c r="C13" s="8" t="inlineStr">
        <is>
          <t>Adhérents (FPPN)</t>
        </is>
      </c>
      <c r="D13" s="8" t="inlineStr">
        <is>
          <t>Lignes 8Z6 (Solde)</t>
        </is>
      </c>
      <c r="E13" s="8" t="inlineStr">
        <is>
          <t>Écart</t>
        </is>
      </c>
      <c r="F13" s="50" t="n"/>
      <c r="G13" s="50" t="n"/>
      <c r="H13" s="50" t="n"/>
      <c r="I13" s="50" t="n"/>
      <c r="J13" s="50" t="n"/>
    </row>
    <row r="14">
      <c r="A14" s="58" t="n">
        <v>2024</v>
      </c>
      <c r="B14" s="29" t="n">
        <v>11</v>
      </c>
      <c r="C14" s="29" t="n">
        <v>27657</v>
      </c>
      <c r="D14" s="29" t="n">
        <v>27657</v>
      </c>
      <c r="E14" s="29">
        <f>C14-D14</f>
        <v/>
      </c>
      <c r="F14" s="50" t="n"/>
      <c r="G14" s="50" t="n"/>
      <c r="H14" s="50" t="n"/>
      <c r="I14" s="50" t="n"/>
      <c r="J14" s="50" t="n"/>
    </row>
    <row r="15">
      <c r="A15" s="58" t="n">
        <v>2025</v>
      </c>
      <c r="B15" s="31" t="n">
        <v>12</v>
      </c>
      <c r="C15" s="31" t="n">
        <v>31678</v>
      </c>
      <c r="D15" s="31" t="n">
        <v>31678</v>
      </c>
      <c r="E15" s="31">
        <f>C15-D15</f>
        <v/>
      </c>
      <c r="F15" s="50" t="n"/>
      <c r="G15" s="50" t="n"/>
      <c r="H15" s="50" t="n"/>
      <c r="I15" s="50" t="n"/>
      <c r="J15" s="50" t="n"/>
    </row>
    <row r="16">
      <c r="A16" s="58" t="n">
        <v>2026</v>
      </c>
      <c r="B16" s="29" t="n">
        <v>1</v>
      </c>
      <c r="C16" s="29" t="n">
        <v>31261</v>
      </c>
      <c r="D16" s="29" t="n">
        <v>31271</v>
      </c>
      <c r="E16" s="29">
        <f>C16-D16</f>
        <v/>
      </c>
      <c r="F16" s="50" t="n"/>
      <c r="G16" s="50" t="n"/>
      <c r="H16" s="50" t="n"/>
      <c r="I16" s="50" t="n"/>
      <c r="J16" s="50" t="n"/>
    </row>
    <row r="17">
      <c r="A17" s="58" t="n">
        <v>2026</v>
      </c>
      <c r="B17" s="31" t="n">
        <v>2</v>
      </c>
      <c r="C17" s="31" t="n">
        <v>31252</v>
      </c>
      <c r="D17" s="31" t="n">
        <v>31262</v>
      </c>
      <c r="E17" s="31">
        <f>C17-D17</f>
        <v/>
      </c>
      <c r="F17" s="50" t="n"/>
      <c r="G17" s="50" t="n"/>
      <c r="H17" s="50" t="n"/>
      <c r="I17" s="50" t="n"/>
      <c r="J17" s="50" t="n"/>
    </row>
    <row r="18">
      <c r="A18" s="58" t="n">
        <v>2026</v>
      </c>
      <c r="B18" s="29" t="n">
        <v>3</v>
      </c>
      <c r="C18" s="29" t="n">
        <v>31240</v>
      </c>
      <c r="D18" s="29" t="n">
        <v>31250</v>
      </c>
      <c r="E18" s="29">
        <f>C18-D18</f>
        <v/>
      </c>
      <c r="F18" s="50" t="n"/>
      <c r="G18" s="50" t="n"/>
      <c r="H18" s="50" t="n"/>
      <c r="I18" s="50" t="n"/>
      <c r="J18" s="50" t="n"/>
    </row>
    <row r="19">
      <c r="A19" s="58" t="n">
        <v>2026</v>
      </c>
      <c r="B19" s="31" t="n">
        <v>4</v>
      </c>
      <c r="C19" s="31" t="n">
        <v>31230</v>
      </c>
      <c r="D19" s="31" t="n">
        <v>31240</v>
      </c>
      <c r="E19" s="31">
        <f>C19-D19</f>
        <v/>
      </c>
      <c r="F19" s="50" t="n"/>
      <c r="G19" s="50" t="n"/>
      <c r="H19" s="50" t="n"/>
      <c r="I19" s="50" t="n"/>
      <c r="J19" s="50" t="n"/>
    </row>
    <row r="20">
      <c r="A20" s="58" t="n">
        <v>2026</v>
      </c>
      <c r="B20" s="29" t="n">
        <v>5</v>
      </c>
      <c r="C20" s="29" t="n">
        <v>31234</v>
      </c>
      <c r="D20" s="29" t="n">
        <v>31244</v>
      </c>
      <c r="E20" s="29">
        <f>C20-D20</f>
        <v/>
      </c>
      <c r="F20" s="50" t="n"/>
      <c r="G20" s="50" t="n"/>
      <c r="H20" s="50" t="n"/>
      <c r="I20" s="50" t="n"/>
      <c r="J20" s="50" t="n"/>
    </row>
    <row r="21">
      <c r="A21" s="58" t="n">
        <v>2026</v>
      </c>
      <c r="B21" s="31" t="n">
        <v>6</v>
      </c>
      <c r="C21" s="31" t="n">
        <v>31225</v>
      </c>
      <c r="D21" s="31" t="n">
        <v>31235</v>
      </c>
      <c r="E21" s="31">
        <f>C21-D21</f>
        <v/>
      </c>
      <c r="F21" s="50" t="n"/>
      <c r="G21" s="50" t="n"/>
      <c r="H21" s="50" t="n"/>
      <c r="I21" s="50" t="n"/>
      <c r="J21" s="50" t="n"/>
    </row>
    <row r="22">
      <c r="A22" s="50" t="n"/>
      <c r="B22" s="50" t="n"/>
      <c r="C22" s="50" t="n"/>
      <c r="D22" s="50" t="n"/>
      <c r="E22" s="50" t="n"/>
      <c r="F22" s="50" t="n"/>
      <c r="G22" s="50" t="n"/>
      <c r="H22" s="50" t="n"/>
      <c r="I22" s="50" t="n"/>
      <c r="J22" s="50" t="n"/>
    </row>
    <row r="23">
      <c r="A23" s="8" t="inlineStr">
        <is>
          <t>Année</t>
        </is>
      </c>
      <c r="B23" s="8" t="inlineStr">
        <is>
          <t>Mois couverts</t>
        </is>
      </c>
      <c r="C23" s="8" t="inlineStr">
        <is>
          <t>Lignes</t>
        </is>
      </c>
      <c r="D23" s="8" t="inlineStr">
        <is>
          <t>Rapport médian 8Z6 / 936</t>
        </is>
      </c>
      <c r="E23" s="8" t="inlineStr">
        <is>
          <t>Part des lignes à 1,23 / 3,77</t>
        </is>
      </c>
      <c r="F23" s="50" t="n"/>
      <c r="G23" s="50" t="n"/>
      <c r="H23" s="50" t="n"/>
      <c r="I23" s="50" t="n"/>
      <c r="J23" s="50" t="n"/>
    </row>
    <row r="24">
      <c r="A24" s="58" t="n">
        <v>2024</v>
      </c>
      <c r="B24" s="29" t="n">
        <v>5</v>
      </c>
      <c r="C24" s="29" t="n">
        <v>120102</v>
      </c>
      <c r="D24" s="55" t="n">
        <v>0.3262179376829059</v>
      </c>
      <c r="E24" s="32" t="n">
        <v>0.664934805415397</v>
      </c>
      <c r="F24" s="50" t="n"/>
      <c r="G24" s="50" t="n"/>
      <c r="H24" s="50" t="n"/>
      <c r="I24" s="50" t="n"/>
      <c r="J24" s="50" t="n"/>
    </row>
    <row r="25">
      <c r="A25" s="58" t="n">
        <v>2025</v>
      </c>
      <c r="B25" s="31" t="n">
        <v>11</v>
      </c>
      <c r="C25" s="31" t="n">
        <v>329048</v>
      </c>
      <c r="D25" s="57" t="n">
        <v>0.3262320693083369</v>
      </c>
      <c r="E25" s="33" t="n">
        <v>0.9999118669616591</v>
      </c>
      <c r="F25" s="50" t="n"/>
      <c r="G25" s="50" t="n"/>
      <c r="H25" s="50" t="n"/>
      <c r="I25" s="50" t="n"/>
      <c r="J25" s="50" t="n"/>
    </row>
    <row r="26">
      <c r="A26" s="58" t="n">
        <v>2026</v>
      </c>
      <c r="B26" s="29" t="n">
        <v>9</v>
      </c>
      <c r="C26" s="29" t="n">
        <v>285495</v>
      </c>
      <c r="D26" s="55" t="n">
        <v>0.3262292977275645</v>
      </c>
      <c r="E26" s="32" t="n">
        <v>0.9998598924674688</v>
      </c>
      <c r="F26" s="50" t="n"/>
      <c r="G26" s="50" t="n"/>
      <c r="H26" s="50" t="n"/>
      <c r="I26" s="50" t="n"/>
      <c r="J26" s="50" t="n"/>
    </row>
    <row r="27">
      <c r="A27" s="50" t="n"/>
      <c r="B27" s="50" t="n"/>
      <c r="C27" s="50" t="n"/>
      <c r="D27" s="50" t="n"/>
      <c r="E27" s="50" t="n"/>
      <c r="F27" s="50" t="n"/>
      <c r="G27" s="50" t="n"/>
      <c r="H27" s="50" t="n"/>
      <c r="I27" s="50" t="n"/>
      <c r="J27" s="50" t="n"/>
    </row>
    <row r="28">
      <c r="A28" s="8" t="inlineStr">
        <is>
          <t>Exercice</t>
        </is>
      </c>
      <c r="B28" s="8" t="inlineStr">
        <is>
          <t>Comptes comparés</t>
        </is>
      </c>
      <c r="C28" s="8" t="inlineStr">
        <is>
          <t>Comptes dont l'à-nouveau diffère du solde N-1</t>
        </is>
      </c>
      <c r="D28" s="8" t="inlineStr">
        <is>
          <t>Écart absolu cumulé</t>
        </is>
      </c>
      <c r="E28" s="50" t="n"/>
      <c r="F28" s="50" t="n"/>
      <c r="G28" s="50" t="n"/>
      <c r="H28" s="50" t="n"/>
      <c r="I28" s="50" t="n"/>
      <c r="J28" s="50" t="n"/>
    </row>
    <row r="29">
      <c r="A29" s="58" t="n">
        <v>2021</v>
      </c>
      <c r="B29" s="29" t="n">
        <v>100</v>
      </c>
      <c r="C29" s="29" t="n">
        <v>0</v>
      </c>
      <c r="D29" s="29" t="n">
        <v>0</v>
      </c>
      <c r="E29" s="50" t="n"/>
      <c r="F29" s="50" t="n"/>
      <c r="G29" s="50" t="n"/>
      <c r="H29" s="50" t="n"/>
      <c r="I29" s="50" t="n"/>
      <c r="J29" s="50" t="n"/>
    </row>
    <row r="30">
      <c r="A30" s="58" t="n">
        <v>2022</v>
      </c>
      <c r="B30" s="31" t="n">
        <v>104</v>
      </c>
      <c r="C30" s="31" t="n">
        <v>0</v>
      </c>
      <c r="D30" s="31" t="n">
        <v>0</v>
      </c>
      <c r="E30" s="50" t="n"/>
      <c r="F30" s="50" t="n"/>
      <c r="G30" s="50" t="n"/>
      <c r="H30" s="50" t="n"/>
      <c r="I30" s="50" t="n"/>
      <c r="J30" s="50" t="n"/>
    </row>
    <row r="31">
      <c r="A31" s="58" t="n">
        <v>2023</v>
      </c>
      <c r="B31" s="29" t="n">
        <v>103</v>
      </c>
      <c r="C31" s="29" t="n">
        <v>0</v>
      </c>
      <c r="D31" s="29" t="n">
        <v>0</v>
      </c>
      <c r="E31" s="50" t="n"/>
      <c r="F31" s="50" t="n"/>
      <c r="G31" s="50" t="n"/>
      <c r="H31" s="50" t="n"/>
      <c r="I31" s="50" t="n"/>
      <c r="J31" s="50" t="n"/>
    </row>
    <row r="32">
      <c r="A32" s="58" t="n">
        <v>2024</v>
      </c>
      <c r="B32" s="31" t="n">
        <v>99</v>
      </c>
      <c r="C32" s="31" t="n">
        <v>4</v>
      </c>
      <c r="D32" s="31" t="n">
        <v>1123680</v>
      </c>
      <c r="E32" s="50" t="n"/>
      <c r="F32" s="50" t="n"/>
      <c r="G32" s="50" t="n"/>
      <c r="H32" s="50" t="n"/>
      <c r="I32" s="50" t="n"/>
      <c r="J32" s="50" t="n"/>
    </row>
    <row r="33">
      <c r="A33" s="58" t="n">
        <v>2025</v>
      </c>
      <c r="B33" s="29" t="n">
        <v>103</v>
      </c>
      <c r="C33" s="29" t="n">
        <v>0</v>
      </c>
      <c r="D33" s="29" t="n">
        <v>0</v>
      </c>
      <c r="E33" s="50" t="n"/>
      <c r="F33" s="50" t="n"/>
      <c r="G33" s="50" t="n"/>
      <c r="H33" s="50" t="n"/>
      <c r="I33" s="50" t="n"/>
      <c r="J33" s="50" t="n"/>
    </row>
    <row r="34">
      <c r="A34" s="58" t="n">
        <v>2026</v>
      </c>
      <c r="B34" s="31" t="n">
        <v>105</v>
      </c>
      <c r="C34" s="31" t="n">
        <v>2</v>
      </c>
      <c r="D34" s="31" t="n">
        <v>105600</v>
      </c>
      <c r="E34" s="50" t="n"/>
      <c r="F34" s="50" t="n"/>
      <c r="G34" s="50" t="n"/>
      <c r="H34" s="50" t="n"/>
      <c r="I34" s="50" t="n"/>
      <c r="J34" s="50" t="n"/>
    </row>
    <row r="35">
      <c r="A35" s="50" t="n"/>
      <c r="B35" s="50" t="n"/>
      <c r="C35" s="50" t="n"/>
      <c r="D35" s="50" t="n"/>
      <c r="E35" s="50" t="n"/>
      <c r="F35" s="50" t="n"/>
      <c r="G35" s="50" t="n"/>
      <c r="H35" s="50" t="n"/>
      <c r="I35" s="50" t="n"/>
      <c r="J35" s="50" t="n"/>
    </row>
    <row r="36">
      <c r="A36" s="8" t="inlineStr">
        <is>
          <t>Exercice</t>
        </is>
      </c>
      <c r="B36" s="8" t="inlineStr">
        <is>
          <t>Comptes bancaires rapprochés</t>
        </is>
      </c>
      <c r="C36" s="8" t="inlineStr">
        <is>
          <t>Soldes égaux à la balance</t>
        </is>
      </c>
      <c r="D36" s="8" t="inlineStr">
        <is>
          <t>Solde comptable (rapprochements)</t>
        </is>
      </c>
      <c r="E36" s="8" t="inlineStr">
        <is>
          <t>Solde bancaire (rapprochements)</t>
        </is>
      </c>
      <c r="F36" s="8" t="inlineStr">
        <is>
          <t>Chèques en suspens &gt; 1 an</t>
        </is>
      </c>
      <c r="G36" s="8" t="inlineStr">
        <is>
          <t>Montant</t>
        </is>
      </c>
      <c r="H36" s="8" t="inlineStr">
        <is>
          <t>Plus ancien</t>
        </is>
      </c>
      <c r="I36" s="50" t="n"/>
      <c r="J36" s="50" t="n"/>
    </row>
    <row r="37">
      <c r="A37" s="58" t="n">
        <v>2020</v>
      </c>
      <c r="B37" s="29" t="n">
        <v>5</v>
      </c>
      <c r="C37" s="29" t="n">
        <v>5</v>
      </c>
      <c r="D37" s="29" t="n">
        <v>241249481</v>
      </c>
      <c r="E37" s="29" t="n">
        <v>276678044</v>
      </c>
      <c r="F37" s="29" t="n">
        <v>4</v>
      </c>
      <c r="G37" s="29" t="n">
        <v>2609083</v>
      </c>
      <c r="H37" s="54" t="n">
        <v>43340</v>
      </c>
      <c r="I37" s="50" t="n"/>
      <c r="J37" s="50" t="n"/>
    </row>
    <row r="38">
      <c r="A38" s="58" t="n">
        <v>2021</v>
      </c>
      <c r="B38" s="31" t="n">
        <v>6</v>
      </c>
      <c r="C38" s="31" t="n">
        <v>6</v>
      </c>
      <c r="D38" s="31" t="n">
        <v>2435456722</v>
      </c>
      <c r="E38" s="31" t="n">
        <v>2526941293</v>
      </c>
      <c r="F38" s="31" t="n">
        <v>0</v>
      </c>
      <c r="G38" s="31" t="n">
        <v>0</v>
      </c>
      <c r="H38" s="56" t="n"/>
      <c r="I38" s="50" t="n"/>
      <c r="J38" s="50" t="n"/>
    </row>
    <row r="39">
      <c r="A39" s="58" t="n">
        <v>2022</v>
      </c>
      <c r="B39" s="29" t="n">
        <v>5</v>
      </c>
      <c r="C39" s="29" t="n">
        <v>5</v>
      </c>
      <c r="D39" s="29" t="n">
        <v>638155842</v>
      </c>
      <c r="E39" s="29" t="n">
        <v>746468428</v>
      </c>
      <c r="F39" s="29" t="n">
        <v>5</v>
      </c>
      <c r="G39" s="29" t="n">
        <v>8791200</v>
      </c>
      <c r="H39" s="54" t="n">
        <v>44253</v>
      </c>
      <c r="I39" s="50" t="n"/>
      <c r="J39" s="50" t="n"/>
    </row>
    <row r="40">
      <c r="A40" s="58" t="n">
        <v>2023</v>
      </c>
      <c r="B40" s="31" t="n">
        <v>5</v>
      </c>
      <c r="C40" s="31" t="n">
        <v>5</v>
      </c>
      <c r="D40" s="31" t="n">
        <v>695388139</v>
      </c>
      <c r="E40" s="31" t="n">
        <v>776810618</v>
      </c>
      <c r="F40" s="31" t="n">
        <v>14</v>
      </c>
      <c r="G40" s="31" t="n">
        <v>10505723</v>
      </c>
      <c r="H40" s="56" t="n">
        <v>44273</v>
      </c>
      <c r="I40" s="50" t="n"/>
      <c r="J40" s="50" t="n"/>
    </row>
    <row r="41">
      <c r="A41" s="58" t="n">
        <v>2024</v>
      </c>
      <c r="B41" s="29" t="n">
        <v>6</v>
      </c>
      <c r="C41" s="29" t="n">
        <v>6</v>
      </c>
      <c r="D41" s="29" t="n">
        <v>438360275</v>
      </c>
      <c r="E41" s="29" t="n">
        <v>714979473</v>
      </c>
      <c r="F41" s="29" t="n">
        <v>33</v>
      </c>
      <c r="G41" s="29" t="n">
        <v>14286786</v>
      </c>
      <c r="H41" s="54" t="n">
        <v>44273</v>
      </c>
      <c r="I41" s="50" t="n"/>
      <c r="J41" s="50" t="n"/>
    </row>
    <row r="42">
      <c r="A42" s="58" t="n">
        <v>2025</v>
      </c>
      <c r="B42" s="31" t="n">
        <v>6</v>
      </c>
      <c r="C42" s="31" t="n">
        <v>6</v>
      </c>
      <c r="D42" s="31" t="n">
        <v>1449586812</v>
      </c>
      <c r="E42" s="31" t="n">
        <v>1588906901</v>
      </c>
      <c r="F42" s="31" t="n">
        <v>49</v>
      </c>
      <c r="G42" s="31" t="n">
        <v>14464730</v>
      </c>
      <c r="H42" s="56" t="n">
        <v>44273</v>
      </c>
      <c r="I42" s="50" t="n"/>
      <c r="J42" s="50" t="n"/>
    </row>
  </sheetData>
  <pageMargins left="0.75" right="0.75" top="1" bottom="1" header="0.5" footer="0.5"/>
  <pageSetup orientation="landscape" fitToHeight="0" fitToWidth="1"/>
</worksheet>
</file>

<file path=xl/worksheets/sheet60.xml><?xml version="1.0" encoding="utf-8"?>
<worksheet xmlns="http://schemas.openxmlformats.org/spreadsheetml/2006/main">
  <sheetPr>
    <tabColor rgb="00EFAC62"/>
    <outlinePr summaryBelow="1" summaryRight="1"/>
    <pageSetUpPr fitToPage="1"/>
  </sheetPr>
  <dimension ref="A1:I19"/>
  <sheetViews>
    <sheetView showGridLines="0"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18" customWidth="1" min="6" max="6"/>
    <col width="18" customWidth="1" min="7" max="7"/>
    <col width="16" customWidth="1" min="8" max="8"/>
    <col width="18" customWidth="1" min="9" max="9"/>
  </cols>
  <sheetData>
    <row r="1">
      <c r="A1" s="5" t="inlineStr">
        <is>
          <t>Provision maladie : en combien de temps le FPPN paie-t-il les cliniques ?</t>
        </is>
      </c>
    </row>
    <row r="2"/>
    <row r="3" ht="25" customHeight="1">
      <c r="A3" s="25" t="inlineStr">
        <is>
          <t>À quoi sert cet onglet</t>
        </is>
      </c>
      <c r="B3" s="26" t="inlineStr">
        <is>
          <t>Vérifier si les factures des cliniques sont payées dans les 3 mois (règlement intérieur, art. 52). Si c'est le cas, la provision pour prestations à payer en maladie peut être calculée sur quelques mois, et non sur plusieurs années.</t>
        </is>
      </c>
    </row>
    <row r="4" ht="50" customHeight="1">
      <c r="A4" s="25" t="inlineStr">
        <is>
          <t>D'où viennent les chiffres</t>
        </is>
      </c>
      <c r="B4" s="26" t="inlineStr">
        <is>
          <t>Compte 40110000 « Fournisseurs cliniques privées » et provision maladie (comptes 19011000 puis 15801000) des balances des comptes du FPPN (Sage 100) : « BALANCE FORMAT EXCEL DE 09-2020 AU 31-12-2020.xlsx », « BALANCE FPPN FORMAT EXCEL DU 01-01-2021 AU 31-12-2026.xlsx » (exercice 2021), « BALANCE FPPN 2022.xlsx » à « BALANCE FPPN 2025.xlsx », « BALANCE FPPN DU 01-01-2026 AU 31-08-2026.xlsx » (provisoire) ; prestations maladie : comptes 601, 6013, 6018 et 60800007 des mêmes balances.</t>
        </is>
      </c>
    </row>
    <row r="5" ht="37.5" customHeight="1">
      <c r="A5" s="25" t="inlineStr">
        <is>
          <t>Comment le calcul est fait</t>
        </is>
      </c>
      <c r="B5" s="26" t="inlineStr">
        <is>
          <t>1) Factures enregistrées dans l'année = crédits du compte 40110000. 2) Factures moyennes d'un mois = factures de l'année / nombre de mois. 3) Délai moyen de paiement (en mois) = factures non payées en fin d'année / factures moyennes d'un mois. Exemple : 300 de factures non payées pour 100 de factures par mois donnent 3 mois d'attente en moyenne.</t>
        </is>
      </c>
    </row>
    <row r="6" ht="25" customHeight="1">
      <c r="A6" s="25" t="inlineStr">
        <is>
          <t>Comment lire le résultat</t>
        </is>
      </c>
      <c r="B6" s="26" t="inlineStr">
        <is>
          <t>Un délai de 3 mois ou moins respecte l'article 52. Au-delà, des factures attendent plus longtemps que la règle. La dernière colonne compare la provision maladie inscrite au bilan aux prestations d'un mois.</t>
        </is>
      </c>
    </row>
    <row r="7" ht="25" customHeight="1">
      <c r="A7" s="25" t="inlineStr">
        <is>
          <t>Valable pour</t>
        </is>
      </c>
      <c r="B7" s="26" t="inlineStr">
        <is>
          <t>Factures des cliniques enregistrées au compte 40110000, exercices 2020 à 2025 et du 01/01 au 31/08/2026. Ne couvre pas les remboursements aux mutualistes ni les bons de prise en charge payés hors de ce compte.</t>
        </is>
      </c>
    </row>
    <row r="8" ht="25" customHeight="1">
      <c r="A8" s="25" t="inlineStr">
        <is>
          <t>Limites</t>
        </is>
      </c>
      <c r="B8" s="26" t="inlineStr">
        <is>
          <t>Mesure moyenne : elle ne dit pas facture par facture qui a attendu combien de temps. La date des soins n'est pas dans les comptes : on mesure le délai entre l'enregistrement de la facture et son paiement.</t>
        </is>
      </c>
    </row>
    <row r="9"/>
    <row r="10" ht="30" customHeight="1">
      <c r="A10" s="8" t="inlineStr">
        <is>
          <t>Exercice</t>
        </is>
      </c>
      <c r="B10" s="8" t="inlineStr">
        <is>
          <t>Factures enregistrées (crédits 40110000)</t>
        </is>
      </c>
      <c r="C10" s="8" t="inlineStr">
        <is>
          <t>Paiements (débits 40110000)</t>
        </is>
      </c>
      <c r="D10" s="8" t="inlineStr">
        <is>
          <t>Factures non payées en fin de période</t>
        </is>
      </c>
      <c r="E10" s="8" t="inlineStr">
        <is>
          <t>Mois couverts</t>
        </is>
      </c>
      <c r="F10" s="8" t="inlineStr">
        <is>
          <t>Factures moyennes d'un mois</t>
        </is>
      </c>
      <c r="G10" s="8" t="inlineStr">
        <is>
          <t>Délai moyen de paiement (mois)</t>
        </is>
      </c>
      <c r="H10" s="8" t="inlineStr">
        <is>
          <t>Prestations maladie de l'année</t>
        </is>
      </c>
      <c r="I10" s="8" t="inlineStr">
        <is>
          <t>Provision maladie au bilan (en mois de prestations)</t>
        </is>
      </c>
    </row>
    <row r="11">
      <c r="A11" s="9" t="inlineStr">
        <is>
          <t>2020</t>
        </is>
      </c>
      <c r="B11" s="58" t="n">
        <v>313578298</v>
      </c>
      <c r="C11" s="58" t="n">
        <v>315748758</v>
      </c>
      <c r="D11" s="58" t="n">
        <v>1394774547</v>
      </c>
      <c r="E11" s="34" t="n">
        <v>12</v>
      </c>
      <c r="F11" s="58">
        <f>B11/E11</f>
        <v/>
      </c>
      <c r="G11" s="61">
        <f>D11/F11</f>
        <v/>
      </c>
      <c r="H11" s="58" t="n">
        <v>205812056</v>
      </c>
      <c r="I11" s="61">
        <f>2867602878.0/(H11/E11)</f>
        <v/>
      </c>
    </row>
    <row r="12">
      <c r="A12" s="9" t="inlineStr">
        <is>
          <t>2021</t>
        </is>
      </c>
      <c r="B12" s="58" t="n">
        <v>103385027</v>
      </c>
      <c r="C12" s="58" t="n">
        <v>622939017</v>
      </c>
      <c r="D12" s="58" t="n">
        <v>875220557</v>
      </c>
      <c r="E12" s="34" t="n">
        <v>12</v>
      </c>
      <c r="F12" s="58">
        <f>B12/E12</f>
        <v/>
      </c>
      <c r="G12" s="61">
        <f>D12/F12</f>
        <v/>
      </c>
      <c r="H12" s="58" t="n">
        <v>101453171</v>
      </c>
      <c r="I12" s="61">
        <f>2867602878.0/(H12/E12)</f>
        <v/>
      </c>
    </row>
    <row r="13">
      <c r="A13" s="9" t="inlineStr">
        <is>
          <t>2022</t>
        </is>
      </c>
      <c r="B13" s="58" t="n">
        <v>104085535</v>
      </c>
      <c r="C13" s="58" t="n">
        <v>446161744</v>
      </c>
      <c r="D13" s="58" t="n">
        <v>533144348</v>
      </c>
      <c r="E13" s="34" t="n">
        <v>12</v>
      </c>
      <c r="F13" s="58">
        <f>B13/E13</f>
        <v/>
      </c>
      <c r="G13" s="61">
        <f>D13/F13</f>
        <v/>
      </c>
      <c r="H13" s="58" t="n">
        <v>115237773</v>
      </c>
      <c r="I13" s="61">
        <f>2867602878.0/(H13/E13)</f>
        <v/>
      </c>
    </row>
    <row r="14">
      <c r="A14" s="9" t="inlineStr">
        <is>
          <t>2023</t>
        </is>
      </c>
      <c r="B14" s="58" t="n">
        <v>312091366</v>
      </c>
      <c r="C14" s="58" t="n">
        <v>573964958</v>
      </c>
      <c r="D14" s="58" t="n">
        <v>271270756</v>
      </c>
      <c r="E14" s="34" t="n">
        <v>12</v>
      </c>
      <c r="F14" s="58">
        <f>B14/E14</f>
        <v/>
      </c>
      <c r="G14" s="61">
        <f>D14/F14</f>
        <v/>
      </c>
      <c r="H14" s="58" t="n">
        <v>521004362</v>
      </c>
      <c r="I14" s="61">
        <f>2867602878.0/(H14/E14)</f>
        <v/>
      </c>
    </row>
    <row r="15">
      <c r="A15" s="9" t="inlineStr">
        <is>
          <t>2024</t>
        </is>
      </c>
      <c r="B15" s="58" t="n">
        <v>613863474</v>
      </c>
      <c r="C15" s="58" t="n">
        <v>648416917</v>
      </c>
      <c r="D15" s="58" t="n">
        <v>236353873</v>
      </c>
      <c r="E15" s="34" t="n">
        <v>12</v>
      </c>
      <c r="F15" s="58">
        <f>B15/E15</f>
        <v/>
      </c>
      <c r="G15" s="61">
        <f>D15/F15</f>
        <v/>
      </c>
      <c r="H15" s="58" t="n">
        <v>1060419627</v>
      </c>
      <c r="I15" s="61">
        <f>2867602878.0/(H15/E15)</f>
        <v/>
      </c>
    </row>
    <row r="16">
      <c r="A16" s="9" t="inlineStr">
        <is>
          <t>2025</t>
        </is>
      </c>
      <c r="B16" s="58" t="n">
        <v>1107859142</v>
      </c>
      <c r="C16" s="58" t="n">
        <v>1102072146</v>
      </c>
      <c r="D16" s="58" t="n">
        <v>242140869</v>
      </c>
      <c r="E16" s="34" t="n">
        <v>12</v>
      </c>
      <c r="F16" s="58">
        <f>B16/E16</f>
        <v/>
      </c>
      <c r="G16" s="61">
        <f>D16/F16</f>
        <v/>
      </c>
      <c r="H16" s="58" t="n">
        <v>1771635361</v>
      </c>
      <c r="I16" s="61">
        <f>2867602878.0/(H16/E16)</f>
        <v/>
      </c>
    </row>
    <row r="17">
      <c r="A17" s="9" t="inlineStr">
        <is>
          <t>31/08/2026</t>
        </is>
      </c>
      <c r="B17" s="58" t="n">
        <v>1104671563</v>
      </c>
      <c r="C17" s="58" t="n">
        <v>656525181</v>
      </c>
      <c r="D17" s="58" t="n">
        <v>690234451</v>
      </c>
      <c r="E17" s="34" t="n">
        <v>8</v>
      </c>
      <c r="F17" s="58">
        <f>B17/E17</f>
        <v/>
      </c>
      <c r="G17" s="61">
        <f>D17/F17</f>
        <v/>
      </c>
      <c r="H17" s="58" t="n">
        <v>1646039117</v>
      </c>
      <c r="I17" s="61">
        <f>2867602878.0/(H17/E17)</f>
        <v/>
      </c>
    </row>
    <row r="18"/>
    <row r="19" ht="25" customHeight="1">
      <c r="A19" s="62" t="inlineStr">
        <is>
          <t>Lecture : de 2020 à 2022, les factures non payées représentent plusieurs années de factures (arriérés). De 2023 au 31/08/2026, le délai moyen s'approche de la règle des 3 mois sans la respecter chaque année.</t>
        </is>
      </c>
    </row>
  </sheetData>
  <mergeCells count="7">
    <mergeCell ref="A19:I19"/>
    <mergeCell ref="B7:I7"/>
    <mergeCell ref="B6:I6"/>
    <mergeCell ref="B3:I3"/>
    <mergeCell ref="B5:I5"/>
    <mergeCell ref="B8:I8"/>
    <mergeCell ref="B4:I4"/>
  </mergeCells>
  <pageMargins left="0.75" right="0.75" top="1" bottom="1" header="0.5" footer="0.5"/>
  <pageSetup orientation="landscape" fitToHeight="0" fitToWidth="1"/>
  <legacyDrawing xmlns:r="http://schemas.openxmlformats.org/officeDocument/2006/relationships" r:id="anysvml"/>
</worksheet>
</file>

<file path=xl/worksheets/sheet61.xml><?xml version="1.0" encoding="utf-8"?>
<worksheet xmlns="http://schemas.openxmlformats.org/spreadsheetml/2006/main">
  <sheetPr>
    <tabColor rgb="00EFAC62"/>
    <outlinePr summaryBelow="1" summaryRight="1"/>
    <pageSetUpPr fitToPage="1"/>
  </sheetPr>
  <dimension ref="A1:H13"/>
  <sheetViews>
    <sheetView showGridLines="0" workbookViewId="0">
      <selection activeCell="A1" sqref="A1"/>
    </sheetView>
  </sheetViews>
  <sheetFormatPr baseColWidth="8" defaultRowHeight="15"/>
  <cols>
    <col width="14" customWidth="1" min="1" max="1"/>
    <col width="34" customWidth="1" min="2" max="2"/>
    <col width="18" customWidth="1" min="3" max="3"/>
    <col width="18" customWidth="1" min="4" max="4"/>
    <col width="14" customWidth="1" min="5" max="5"/>
    <col width="18" customWidth="1" min="6" max="6"/>
    <col width="14" customWidth="1" min="7" max="7"/>
    <col width="18" customWidth="1" min="8" max="8"/>
  </cols>
  <sheetData>
    <row r="1">
      <c r="A1" s="5" t="inlineStr">
        <is>
          <t>Provision maladie : les factures d'une année arrivent-elles l'année suivante ?</t>
        </is>
      </c>
    </row>
    <row r="2"/>
    <row r="3" ht="25" customHeight="1">
      <c r="A3" s="25" t="inlineStr">
        <is>
          <t>À quoi sert cet onglet</t>
        </is>
      </c>
      <c r="B3" s="26" t="inlineStr">
        <is>
          <t>Mesurer les soins d'une année facturés et enregistrés seulement l'année suivante. Ce sont les « sinistres survenus mais non déclarés » que la provision doit couvrir (statuts, art. 89 ; règlement d'exécution n° 004/2022, art. 10).</t>
        </is>
      </c>
    </row>
    <row r="4" ht="25" customHeight="1">
      <c r="A4" s="25" t="inlineStr">
        <is>
          <t>D'où viennent les chiffres</t>
        </is>
      </c>
      <c r="B4" s="26" t="inlineStr">
        <is>
          <t>Grands livres des tiers « GRAND LIVRE DES TIERS FPPN 2023.xlsx », « GRAND LIVRE DES TIERS 2024.xlsx », « GRAND LIVRES DES TIERS 2025.xlsx » : écritures du journal SIN (sinistres) au crédit des comptes de cliniques (401…), colonne « N° facture ».</t>
        </is>
      </c>
    </row>
    <row r="5" ht="25" customHeight="1">
      <c r="A5" s="25" t="inlineStr">
        <is>
          <t>Comment le calcul est fait</t>
        </is>
      </c>
      <c r="B5" s="26" t="inlineStr">
        <is>
          <t>Pour chaque facture enregistrée, l'année est lue dans son numéro (par exemple « E24-000042 » ou « B.F.A N°23/24 » pour 2024). Une facture enregistrée en 2024 avec un numéro de 2023 est une facture de 2023 arrivée en retard. Son montant est ce que la provision au 31/12/2023 aurait dû couvrir.</t>
        </is>
      </c>
    </row>
    <row r="6" ht="15" customHeight="1">
      <c r="A6" s="25" t="inlineStr">
        <is>
          <t>Comment lire le résultat</t>
        </is>
      </c>
      <c r="B6" s="26" t="inlineStr">
        <is>
          <t>Plus la part des factures de l'année précédente est faible, plus les factures arrivent vite et plus la provision nécessaire est petite.</t>
        </is>
      </c>
    </row>
    <row r="7" ht="25" customHeight="1">
      <c r="A7" s="25" t="inlineStr">
        <is>
          <t>Valable pour</t>
        </is>
      </c>
      <c r="B7" s="26" t="inlineStr">
        <is>
          <t>Factures de cliniques enregistrées au journal SIN en 2023, 2024 et 2025, dont l'année est lisible dans le numéro. Ne couvre pas les factures sans année lisible (colonne « Part non identifiée »).</t>
        </is>
      </c>
    </row>
    <row r="8" ht="25" customHeight="1">
      <c r="A8" s="25" t="inlineStr">
        <is>
          <t>Limites</t>
        </is>
      </c>
      <c r="B8" s="26" t="inlineStr">
        <is>
          <t>L'année du numéro de facture est celle de la facture, pas toujours celle des soins. Les factures dont le numéro ne contient pas d'année ne sont pas classées.</t>
        </is>
      </c>
    </row>
    <row r="9"/>
    <row r="10" ht="30" customHeight="1">
      <c r="A10" s="8" t="inlineStr">
        <is>
          <t>Clôture concernée</t>
        </is>
      </c>
      <c r="B10" s="8" t="inlineStr">
        <is>
          <t>Grand livre lu</t>
        </is>
      </c>
      <c r="C10" s="8" t="inlineStr">
        <is>
          <t>Factures du journal SIN dans l'année suivante</t>
        </is>
      </c>
      <c r="D10" s="8" t="inlineStr">
        <is>
          <t>Dont année lisible</t>
        </is>
      </c>
      <c r="E10" s="8" t="inlineStr">
        <is>
          <t>Part non identifiée</t>
        </is>
      </c>
      <c r="F10" s="8" t="inlineStr">
        <is>
          <t>Dont factures de l'année de clôture (arrivées en retard)</t>
        </is>
      </c>
      <c r="G10" s="8" t="inlineStr">
        <is>
          <t>Nombre de ces factures</t>
        </is>
      </c>
      <c r="H10" s="8" t="inlineStr">
        <is>
          <t>Part des factures en retard</t>
        </is>
      </c>
    </row>
    <row r="11">
      <c r="A11" s="9" t="inlineStr">
        <is>
          <t>31/12/2022</t>
        </is>
      </c>
      <c r="B11" s="9" t="inlineStr">
        <is>
          <t>GRAND LIVRE DES TIERS FPPN 2023.xlsx</t>
        </is>
      </c>
      <c r="C11" s="58" t="n">
        <v>309338647</v>
      </c>
      <c r="D11" s="58" t="n">
        <v>251467780</v>
      </c>
      <c r="E11" s="40">
        <f>1-D11/C11</f>
        <v/>
      </c>
      <c r="F11" s="58" t="n">
        <v>2748440</v>
      </c>
      <c r="G11" s="34" t="n">
        <v>200</v>
      </c>
      <c r="H11" s="40">
        <f>F11/C11</f>
        <v/>
      </c>
    </row>
    <row r="12">
      <c r="A12" s="9" t="inlineStr">
        <is>
          <t>31/12/2023</t>
        </is>
      </c>
      <c r="B12" s="9" t="inlineStr">
        <is>
          <t>GRAND LIVRE DES TIERS 2024.xlsx</t>
        </is>
      </c>
      <c r="C12" s="58" t="n">
        <v>609600324</v>
      </c>
      <c r="D12" s="58" t="n">
        <v>530061481</v>
      </c>
      <c r="E12" s="40">
        <f>1-D12/C12</f>
        <v/>
      </c>
      <c r="F12" s="58" t="n">
        <v>1308550</v>
      </c>
      <c r="G12" s="34" t="n">
        <v>47</v>
      </c>
      <c r="H12" s="40">
        <f>F12/C12</f>
        <v/>
      </c>
    </row>
    <row r="13">
      <c r="A13" s="9" t="inlineStr">
        <is>
          <t>31/12/2024</t>
        </is>
      </c>
      <c r="B13" s="9" t="inlineStr">
        <is>
          <t>GRAND LIVRES DES TIERS 2025.xlsx</t>
        </is>
      </c>
      <c r="C13" s="58" t="n">
        <v>844124742</v>
      </c>
      <c r="D13" s="58" t="n">
        <v>131469227</v>
      </c>
      <c r="E13" s="40">
        <f>1-D13/C13</f>
        <v/>
      </c>
      <c r="F13" s="58" t="n">
        <v>1215600</v>
      </c>
      <c r="G13" s="34" t="n">
        <v>42</v>
      </c>
      <c r="H13" s="40">
        <f>F13/C13</f>
        <v/>
      </c>
    </row>
  </sheetData>
  <mergeCells count="6">
    <mergeCell ref="B8:H8"/>
    <mergeCell ref="B4:H4"/>
    <mergeCell ref="B6:H6"/>
    <mergeCell ref="B7:H7"/>
    <mergeCell ref="B3:H3"/>
    <mergeCell ref="B5:H5"/>
  </mergeCells>
  <pageMargins left="0.75" right="0.75" top="1" bottom="1" header="0.5" footer="0.5"/>
  <pageSetup orientation="landscape" fitToHeight="0" fitToWidth="1"/>
</worksheet>
</file>

<file path=xl/worksheets/sheet62.xml><?xml version="1.0" encoding="utf-8"?>
<worksheet xmlns="http://schemas.openxmlformats.org/spreadsheetml/2006/main">
  <sheetPr>
    <tabColor rgb="00EFAC62"/>
    <outlinePr summaryBelow="1" summaryRight="1"/>
    <pageSetUpPr fitToPage="1"/>
  </sheetPr>
  <dimension ref="A1:I13"/>
  <sheetViews>
    <sheetView showGridLines="0" workbookViewId="0">
      <selection activeCell="A1" sqref="A1"/>
    </sheetView>
  </sheetViews>
  <sheetFormatPr baseColWidth="8" defaultRowHeight="15"/>
  <cols>
    <col width="16" customWidth="1" min="1" max="1"/>
    <col width="18" customWidth="1" min="2" max="2"/>
    <col width="18" customWidth="1" min="3" max="3"/>
    <col width="14" customWidth="1" min="4" max="4"/>
    <col width="16" customWidth="1" min="5" max="5"/>
    <col width="18" customWidth="1" min="6" max="6"/>
    <col width="18" customWidth="1" min="7" max="7"/>
    <col width="18" customWidth="1" min="8" max="8"/>
    <col width="12" customWidth="1" min="9" max="9"/>
  </cols>
  <sheetData>
    <row r="1">
      <c r="A1" s="5" t="inlineStr">
        <is>
          <t>Provision maladie : montant nécessaire et comparaison avec le bilan</t>
        </is>
      </c>
    </row>
    <row r="2"/>
    <row r="3" ht="15" customHeight="1">
      <c r="A3" s="25" t="inlineStr">
        <is>
          <t>À quoi sert cet onglet</t>
        </is>
      </c>
      <c r="B3" s="26" t="inlineStr">
        <is>
          <t>Estimer la provision maladie dont le FPPN a besoin, et la comparer à celle de son bilan (2 867 602 878 FCFA, inchangée depuis 2020).</t>
        </is>
      </c>
    </row>
    <row r="4" ht="15" customHeight="1">
      <c r="A4" s="25" t="inlineStr">
        <is>
          <t>D'où viennent les chiffres</t>
        </is>
      </c>
      <c r="B4" s="26" t="inlineStr">
        <is>
          <t>Onglets 18a et 18b ; provision maladie des balances (comptes 19011000 puis 15801000).</t>
        </is>
      </c>
    </row>
    <row r="5" ht="50" customHeight="1">
      <c r="A5" s="25" t="inlineStr">
        <is>
          <t>Comment le calcul est fait</t>
        </is>
      </c>
      <c r="B5" s="26" t="inlineStr">
        <is>
          <t>Provision nécessaire = factures déjà reçues et non payées + soins de l'année facturés l'année suivante. Les factures déjà reçues sont déjà inscrites au passif dans le compte 40110000 : elles ne doivent pas être provisionnées une deuxième fois. La provision au compte 158 ne doit donc couvrir que les soins facturés plus tard. Estimation élargie = factures en retard mesurées / part des factures dont l'année est lisible × (prestations maladie / factures de cliniques), pour couvrir aussi les factures sans année lisible et les prestations payées hors du compte 40110000.</t>
        </is>
      </c>
    </row>
    <row r="6" ht="25" customHeight="1">
      <c r="A6" s="25" t="inlineStr">
        <is>
          <t>Comment lire le résultat</t>
        </is>
      </c>
      <c r="B6" s="26" t="inlineStr">
        <is>
          <t>Si la provision du bilan dépasse largement les soins facturés plus tard, elle est excédentaire : une partie est une réserve qui ne dit pas son nom.</t>
        </is>
      </c>
    </row>
    <row r="7" ht="15" customHeight="1">
      <c r="A7" s="25" t="inlineStr">
        <is>
          <t>Valable pour</t>
        </is>
      </c>
      <c r="B7" s="26" t="inlineStr">
        <is>
          <t>Clôtures 2022, 2023 et 2024 (années mesurées dans l'onglet 18b), factures de cliniques au journal SIN.</t>
        </is>
      </c>
    </row>
    <row r="8" ht="25" customHeight="1">
      <c r="A8" s="25" t="inlineStr">
        <is>
          <t>Limites</t>
        </is>
      </c>
      <c r="B8" s="26" t="inlineStr">
        <is>
          <t>Les remboursements aux mutualistes (jusqu'à 9 mois de délai, art. 57) et les prestations payées hors du compte 40110000 ne sont pas mesurés : la base des prestations avec les dates des soins, du dépôt et du paiement reste nécessaire (PBC, item 71).</t>
        </is>
      </c>
    </row>
    <row r="9"/>
    <row r="10" ht="30" customHeight="1">
      <c r="A10" s="8" t="inlineStr">
        <is>
          <t>Clôture</t>
        </is>
      </c>
      <c r="B10" s="8" t="inlineStr">
        <is>
          <t>Factures reçues non payées (déjà au passif, 40110000)</t>
        </is>
      </c>
      <c r="C10" s="8" t="inlineStr">
        <is>
          <t>Soins de l'année facturés l'année suivante (18b, années lisibles)</t>
        </is>
      </c>
      <c r="D10" s="8" t="inlineStr">
        <is>
          <t>Part des factures dont l'année est lisible</t>
        </is>
      </c>
      <c r="E10" s="8" t="inlineStr">
        <is>
          <t>Prestations maladie / factures de cliniques de l'année suivante</t>
        </is>
      </c>
      <c r="F10" s="8" t="inlineStr">
        <is>
          <t>Provision nécessaire estimée (élargie)</t>
        </is>
      </c>
      <c r="G10" s="8" t="inlineStr">
        <is>
          <t>Provision maladie au bilan</t>
        </is>
      </c>
      <c r="H10" s="8" t="inlineStr">
        <is>
          <t>Écart (bilan - nécessaire)</t>
        </is>
      </c>
      <c r="I10" s="8" t="inlineStr">
        <is>
          <t>Bilan / nécessaire (fois)</t>
        </is>
      </c>
    </row>
    <row r="11">
      <c r="A11" s="9" t="inlineStr">
        <is>
          <t>31/12/2022</t>
        </is>
      </c>
      <c r="B11" s="58" t="n">
        <v>533144348</v>
      </c>
      <c r="C11" s="58" t="n">
        <v>2748440</v>
      </c>
      <c r="D11" s="40" t="n">
        <v>0.8129206694306127</v>
      </c>
      <c r="E11" s="41" t="n">
        <v>1.669396909877988</v>
      </c>
      <c r="F11" s="58">
        <f>C11/D11*E11</f>
        <v/>
      </c>
      <c r="G11" s="58" t="n">
        <v>2867602878</v>
      </c>
      <c r="H11" s="58">
        <f>G11-F11</f>
        <v/>
      </c>
      <c r="I11" s="61">
        <f>G11/F11</f>
        <v/>
      </c>
    </row>
    <row r="12">
      <c r="A12" s="9" t="inlineStr">
        <is>
          <t>31/12/2023</t>
        </is>
      </c>
      <c r="B12" s="58" t="n">
        <v>271270756</v>
      </c>
      <c r="C12" s="58" t="n">
        <v>1308550</v>
      </c>
      <c r="D12" s="40" t="n">
        <v>0.869522964689238</v>
      </c>
      <c r="E12" s="41" t="n">
        <v>1.727451904069471</v>
      </c>
      <c r="F12" s="58">
        <f>C12/D12*E12</f>
        <v/>
      </c>
      <c r="G12" s="58" t="n">
        <v>2867602878</v>
      </c>
      <c r="H12" s="58">
        <f>G12-F12</f>
        <v/>
      </c>
      <c r="I12" s="61">
        <f>G12/F12</f>
        <v/>
      </c>
    </row>
    <row r="13">
      <c r="A13" s="9" t="inlineStr">
        <is>
          <t>31/12/2024</t>
        </is>
      </c>
      <c r="B13" s="58" t="n">
        <v>236353873</v>
      </c>
      <c r="C13" s="58" t="n">
        <v>1215600</v>
      </c>
      <c r="D13" s="40" t="n">
        <v>0.1557462072353283</v>
      </c>
      <c r="E13" s="41" t="n">
        <v>1.599152179041187</v>
      </c>
      <c r="F13" s="58">
        <f>C13/D13*E13</f>
        <v/>
      </c>
      <c r="G13" s="58" t="n">
        <v>2867602878</v>
      </c>
      <c r="H13" s="58">
        <f>G13-F13</f>
        <v/>
      </c>
      <c r="I13" s="61">
        <f>G13/F13</f>
        <v/>
      </c>
    </row>
  </sheetData>
  <mergeCells count="6">
    <mergeCell ref="B7:I7"/>
    <mergeCell ref="B6:I6"/>
    <mergeCell ref="B3:I3"/>
    <mergeCell ref="B5:I5"/>
    <mergeCell ref="B8:I8"/>
    <mergeCell ref="B4:I4"/>
  </mergeCells>
  <pageMargins left="0.75" right="0.75" top="1" bottom="1" header="0.5" footer="0.5"/>
  <pageSetup orientation="landscape" fitToHeight="0" fitToWidth="1"/>
  <legacyDrawing xmlns:r="http://schemas.openxmlformats.org/officeDocument/2006/relationships" r:id="anysvml"/>
</worksheet>
</file>

<file path=xl/worksheets/sheet63.xml><?xml version="1.0" encoding="utf-8"?>
<worksheet xmlns="http://schemas.openxmlformats.org/spreadsheetml/2006/main">
  <sheetPr>
    <tabColor rgb="00EFAC62"/>
    <outlinePr summaryBelow="1" summaryRight="1"/>
    <pageSetUpPr fitToPage="1"/>
  </sheetPr>
  <dimension ref="A1:I15"/>
  <sheetViews>
    <sheetView showGridLines="0" workbookViewId="0">
      <selection activeCell="A1" sqref="A1"/>
    </sheetView>
  </sheetViews>
  <sheetFormatPr baseColWidth="8" defaultRowHeight="15"/>
  <cols>
    <col width="12" customWidth="1" min="1" max="1"/>
    <col width="50" customWidth="1" min="2" max="2"/>
    <col width="30" customWidth="1" min="3" max="3"/>
    <col width="16" customWidth="1" min="4" max="4"/>
    <col width="14" customWidth="1" min="5" max="5"/>
    <col width="16" customWidth="1" min="6" max="6"/>
    <col width="18" customWidth="1" min="7" max="7"/>
    <col width="18" customWidth="1" min="8" max="8"/>
    <col width="16" customWidth="1" min="9" max="9"/>
  </cols>
  <sheetData>
    <row r="1">
      <c r="A1" s="5" t="inlineStr">
        <is>
          <t>Allocations décès : le calcul de fin d'année du FPPN</t>
        </is>
      </c>
    </row>
    <row r="2"/>
    <row r="3" ht="15" customHeight="1">
      <c r="A3" s="25" t="inlineStr">
        <is>
          <t>À quoi sert cet onglet</t>
        </is>
      </c>
      <c r="B3" s="26" t="inlineStr">
        <is>
          <t>Montrer comment le FPPN calcule chaque 31 décembre les allocations décès restant à payer, et où il les enregistre.</t>
        </is>
      </c>
    </row>
    <row r="4" ht="37.5" customHeight="1">
      <c r="A4" s="25" t="inlineStr">
        <is>
          <t>D'où viennent les chiffres</t>
        </is>
      </c>
      <c r="B4" s="26" t="inlineStr">
        <is>
          <t>Fichiers « PROV ALLOCATION DECES 2021.xlsx », « PROV ALLOCATION DECES 2022.xlsx », « ALLOC DECES 2023 PAYER ET A PROVISIONNER .xlsx », « PROV ALLOCATION DECES 2024.xlsx », « PROV ALLOCATIONS DECES ET FRAIS FUNERAIRES 2025.xlsx » (reçus le 22/10/2026) ; crédits du compte 41591000 « Clients créditeurs / ALLOCATION DECES » dans les balances ; « GRAND LIVRE FPPN 2024.xlsx » (écriture du 31/12/2024 « PROVISION ALLO DECES 2024 »).</t>
        </is>
      </c>
    </row>
    <row r="5" ht="25" customHeight="1">
      <c r="A5" s="25" t="inlineStr">
        <is>
          <t>Comment le calcul est fait</t>
        </is>
      </c>
      <c r="B5" s="26" t="inlineStr">
        <is>
          <t>Le FPPN liste chaque décès non encore payé et lui applique le barème du grade (sous-officier 1 400 000 FCFA, officier 1 600 000, commissaire 2 200 000 ; conjoint 600 000 à 700 000 ; enfant 120 000 à 150 000). Le total est passé au crédit du compte 41591000. On compare le total du fichier au crédit de l'année.</t>
        </is>
      </c>
    </row>
    <row r="6" ht="15" customHeight="1">
      <c r="A6" s="25" t="inlineStr">
        <is>
          <t>Comment lire le résultat</t>
        </is>
      </c>
      <c r="B6" s="26" t="inlineStr">
        <is>
          <t>Un écart nul prouve que le fichier est bien celui comptabilisé. Un écart signale une différence à expliquer.</t>
        </is>
      </c>
    </row>
    <row r="7" ht="15" customHeight="1">
      <c r="A7" s="25" t="inlineStr">
        <is>
          <t>Valable pour</t>
        </is>
      </c>
      <c r="B7" s="26" t="inlineStr">
        <is>
          <t>États de fin d'année 2021 à 2025 tels que reçus ; le fichier 2024 porte la mention « BILAN NON EXHAUSTIF ».</t>
        </is>
      </c>
    </row>
    <row r="8" ht="15" customHeight="1">
      <c r="A8" s="25" t="inlineStr">
        <is>
          <t>Limites</t>
        </is>
      </c>
      <c r="B8" s="26" t="inlineStr">
        <is>
          <t>Le compte 41591000 a été ouvert en 2021 avec un premier crédit qui reprend aussi des dossiers antérieurs : l'écart de 2021 n'est pas une erreur du fichier.</t>
        </is>
      </c>
    </row>
    <row r="9"/>
    <row r="10" ht="30" customHeight="1">
      <c r="A10" s="8" t="inlineStr">
        <is>
          <t>Exercice</t>
        </is>
      </c>
      <c r="B10" s="8" t="inlineStr">
        <is>
          <t>Fichier</t>
        </is>
      </c>
      <c r="C10" s="8" t="inlineStr">
        <is>
          <t>Feuille</t>
        </is>
      </c>
      <c r="D10" s="8" t="inlineStr">
        <is>
          <t>Total imprimé dans le fichier</t>
        </is>
      </c>
      <c r="E10" s="8" t="inlineStr">
        <is>
          <t>Dossiers valorisés</t>
        </is>
      </c>
      <c r="F10" s="8" t="inlineStr">
        <is>
          <t>Somme des lignes</t>
        </is>
      </c>
      <c r="G10" s="8" t="inlineStr">
        <is>
          <t>Crédit de l'année au 41591000</t>
        </is>
      </c>
      <c r="H10" s="8" t="inlineStr">
        <is>
          <t>Écart (crédit - total imprimé)</t>
        </is>
      </c>
      <c r="I10" s="8" t="inlineStr">
        <is>
          <t>Écart lignes - total</t>
        </is>
      </c>
    </row>
    <row r="11">
      <c r="A11" s="34" t="n">
        <v>2021</v>
      </c>
      <c r="B11" s="9" t="inlineStr">
        <is>
          <t>PROV ALLOCATION DECES 2021.xlsx</t>
        </is>
      </c>
      <c r="C11" s="9" t="inlineStr">
        <is>
          <t>IMPAYEES GLOBAL 2021</t>
        </is>
      </c>
      <c r="D11" s="58" t="n">
        <v>112820000</v>
      </c>
      <c r="E11" s="34" t="n">
        <v>81</v>
      </c>
      <c r="F11" s="58" t="n">
        <v>112820000</v>
      </c>
      <c r="G11" s="58" t="n">
        <v>370503332</v>
      </c>
      <c r="H11" s="58">
        <f>G11-D11</f>
        <v/>
      </c>
      <c r="I11" s="58">
        <f>F11-D11</f>
        <v/>
      </c>
    </row>
    <row r="12">
      <c r="A12" s="34" t="n">
        <v>2022</v>
      </c>
      <c r="B12" s="9" t="inlineStr">
        <is>
          <t>PROV ALLOCATION DECES 2022.xlsx</t>
        </is>
      </c>
      <c r="C12" s="9" t="inlineStr">
        <is>
          <t xml:space="preserve">ALLOCATION DECES </t>
        </is>
      </c>
      <c r="D12" s="58" t="n">
        <v>88000000</v>
      </c>
      <c r="E12" s="34" t="n">
        <v>62</v>
      </c>
      <c r="F12" s="58" t="n">
        <v>88000000</v>
      </c>
      <c r="G12" s="58" t="n">
        <v>97653333</v>
      </c>
      <c r="H12" s="58">
        <f>G12-D12</f>
        <v/>
      </c>
      <c r="I12" s="58">
        <f>F12-D12</f>
        <v/>
      </c>
    </row>
    <row r="13">
      <c r="A13" s="34" t="n">
        <v>2023</v>
      </c>
      <c r="B13" s="9" t="inlineStr">
        <is>
          <t>ALLOC DECES 2023 PAYER ET A PROVISIONNER .xlsx</t>
        </is>
      </c>
      <c r="C13" s="9" t="inlineStr">
        <is>
          <t>ALL DECES  A PROVISIONNER 2023</t>
        </is>
      </c>
      <c r="D13" s="58" t="n">
        <v>124690000</v>
      </c>
      <c r="E13" s="34" t="n">
        <v>106</v>
      </c>
      <c r="F13" s="58" t="n">
        <v>141490000</v>
      </c>
      <c r="G13" s="58" t="n">
        <v>120690000</v>
      </c>
      <c r="H13" s="58">
        <f>G13-D13</f>
        <v/>
      </c>
      <c r="I13" s="58">
        <f>F13-D13</f>
        <v/>
      </c>
    </row>
    <row r="14">
      <c r="A14" s="34" t="n">
        <v>2024</v>
      </c>
      <c r="B14" s="9" t="inlineStr">
        <is>
          <t>PROV ALLOCATION DECES 2024.xlsx</t>
        </is>
      </c>
      <c r="C14" s="9" t="inlineStr">
        <is>
          <t>PROVISIONS DECES 2024 (2)</t>
        </is>
      </c>
      <c r="D14" s="58" t="n">
        <v>140800000</v>
      </c>
      <c r="E14" s="34" t="n">
        <v>99</v>
      </c>
      <c r="F14" s="58" t="n">
        <v>142200000</v>
      </c>
      <c r="G14" s="58" t="n">
        <v>140800000</v>
      </c>
      <c r="H14" s="58">
        <f>G14-D14</f>
        <v/>
      </c>
      <c r="I14" s="58">
        <f>F14-D14</f>
        <v/>
      </c>
    </row>
    <row r="15">
      <c r="A15" s="34" t="n">
        <v>2025</v>
      </c>
      <c r="B15" s="9" t="inlineStr">
        <is>
          <t>PROV ALLOCATIONS DECES ET FRAIS FUNERAIRES 2025.xlsx</t>
        </is>
      </c>
      <c r="C15" s="9" t="inlineStr">
        <is>
          <t>PROV ALLO DECES 2025</t>
        </is>
      </c>
      <c r="D15" s="58" t="n">
        <v>130600000</v>
      </c>
      <c r="E15" s="34" t="n">
        <v>89</v>
      </c>
      <c r="F15" s="58" t="n">
        <v>130600000</v>
      </c>
      <c r="G15" s="58" t="n">
        <v>130600000</v>
      </c>
      <c r="H15" s="58">
        <f>G15-D15</f>
        <v/>
      </c>
      <c r="I15" s="58">
        <f>F15-D15</f>
        <v/>
      </c>
    </row>
  </sheetData>
  <mergeCells count="6">
    <mergeCell ref="B7:I7"/>
    <mergeCell ref="B6:I6"/>
    <mergeCell ref="B3:I3"/>
    <mergeCell ref="B5:I5"/>
    <mergeCell ref="B8:I8"/>
    <mergeCell ref="B4:I4"/>
  </mergeCells>
  <pageMargins left="0.75" right="0.75" top="1" bottom="1" header="0.5" footer="0.5"/>
  <pageSetup orientation="landscape" fitToHeight="0" fitToWidth="1"/>
</worksheet>
</file>

<file path=xl/worksheets/sheet64.xml><?xml version="1.0" encoding="utf-8"?>
<worksheet xmlns="http://schemas.openxmlformats.org/spreadsheetml/2006/main">
  <sheetPr>
    <tabColor rgb="00EFAC62"/>
    <outlinePr summaryBelow="1" summaryRight="1"/>
    <pageSetUpPr fitToPage="1"/>
  </sheetPr>
  <dimension ref="A1:J26"/>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8" customWidth="1" min="9" max="9"/>
    <col width="18" customWidth="1" min="10" max="10"/>
  </cols>
  <sheetData>
    <row r="1">
      <c r="A1" s="5" t="inlineStr">
        <is>
          <t>Allocations décès : dette réelle et provision obsèques</t>
        </is>
      </c>
    </row>
    <row r="2"/>
    <row r="3" ht="15" customHeight="1">
      <c r="A3" s="25" t="inlineStr">
        <is>
          <t>À quoi sert cet onglet</t>
        </is>
      </c>
      <c r="B3" s="26" t="inlineStr">
        <is>
          <t>Suivre la dette des allocations décès et frais funéraires restant à payer, année par année, et la comparer à la provision obsèques du bilan.</t>
        </is>
      </c>
    </row>
    <row r="4" ht="37.5" customHeight="1">
      <c r="A4" s="25" t="inlineStr">
        <is>
          <t>D'où viennent les chiffres</t>
        </is>
      </c>
      <c r="B4" s="26" t="inlineStr">
        <is>
          <t>Comptes 41591000 (allocations décès) et 41592000 (frais funéraires), provision obsèques (19012000 puis 15802000) : balances des comptes du FPPN (Sage 100) : « BALANCE FORMAT EXCEL DE 09-2020 AU 31-12-2020.xlsx », « BALANCE FPPN FORMAT EXCEL DU 01-01-2021 AU 31-12-2026.xlsx » (exercice 2021), « BALANCE FPPN 2022.xlsx » à « BALANCE FPPN 2025.xlsx », « BALANCE FPPN DU 01-01-2026 AU 31-08-2026.xlsx » (provisoire).</t>
        </is>
      </c>
    </row>
    <row r="5" ht="25" customHeight="1">
      <c r="A5" s="25" t="inlineStr">
        <is>
          <t>Comment le calcul est fait</t>
        </is>
      </c>
      <c r="B5" s="26" t="inlineStr">
        <is>
          <t>Dette en fin d'année = dette du début + allocations ajoutées (crédits) - allocations payées (débits). Dette décès totale = allocations + frais funéraires. Écart = provision obsèques - dette décès totale.</t>
        </is>
      </c>
    </row>
    <row r="6" ht="25" customHeight="1">
      <c r="A6" s="25" t="inlineStr">
        <is>
          <t>Comment lire le résultat</t>
        </is>
      </c>
      <c r="B6" s="26" t="inlineStr">
        <is>
          <t>La dette calculée par le FPPN lui-même est très inférieure à la provision obsèques, qui ne bouge pas depuis 2020. La provision ne correspond à aucun calcul transmis : elle double, au moins en partie, une dette déjà inscrite.</t>
        </is>
      </c>
    </row>
    <row r="7" ht="15" customHeight="1">
      <c r="A7" s="25" t="inlineStr">
        <is>
          <t>Valable pour</t>
        </is>
      </c>
      <c r="B7" s="26" t="inlineStr">
        <is>
          <t>Exercices 2020 à 2025 et situation au 31/08/2026 (balance provisoire).</t>
        </is>
      </c>
    </row>
    <row r="8" ht="15" customHeight="1">
      <c r="A8" s="25" t="inlineStr">
        <is>
          <t>Limites</t>
        </is>
      </c>
      <c r="B8" s="26" t="inlineStr">
        <is>
          <t>La dette du 41591000 repose sur la liste du FPPN : un décès que le FPPN ignore n'y figure pas (voir 19c).</t>
        </is>
      </c>
    </row>
    <row r="9"/>
    <row r="10" ht="30" customHeight="1">
      <c r="A10" s="8" t="inlineStr">
        <is>
          <t>Exercice</t>
        </is>
      </c>
      <c r="B10" s="8" t="inlineStr">
        <is>
          <t>Allocations : début</t>
        </is>
      </c>
      <c r="C10" s="8" t="inlineStr">
        <is>
          <t>Allocations ajoutées</t>
        </is>
      </c>
      <c r="D10" s="8" t="inlineStr">
        <is>
          <t>Allocations payées</t>
        </is>
      </c>
      <c r="E10" s="8" t="inlineStr">
        <is>
          <t>Allocations : fin</t>
        </is>
      </c>
      <c r="F10" s="8" t="inlineStr">
        <is>
          <t>Frais funéraires : fin</t>
        </is>
      </c>
      <c r="G10" s="8" t="inlineStr">
        <is>
          <t>Dette décès totale</t>
        </is>
      </c>
      <c r="H10" s="8" t="inlineStr">
        <is>
          <t>Provision obsèques au bilan</t>
        </is>
      </c>
      <c r="I10" s="8" t="inlineStr">
        <is>
          <t>Écart provision - dette</t>
        </is>
      </c>
      <c r="J10" s="8" t="inlineStr">
        <is>
          <t>Provision / dette</t>
        </is>
      </c>
    </row>
    <row r="11">
      <c r="A11" s="9" t="inlineStr">
        <is>
          <t>2020</t>
        </is>
      </c>
      <c r="B11" s="58" t="n">
        <v>0</v>
      </c>
      <c r="C11" s="58" t="n">
        <v>0</v>
      </c>
      <c r="D11" s="58" t="n">
        <v>0</v>
      </c>
      <c r="E11" s="58">
        <f>B11+C11-D11</f>
        <v/>
      </c>
      <c r="F11" s="58" t="n">
        <v>0</v>
      </c>
      <c r="G11" s="58">
        <f>E11+F11</f>
        <v/>
      </c>
      <c r="H11" s="58" t="n">
        <v>1961695412</v>
      </c>
      <c r="I11" s="58">
        <f>H11-G11</f>
        <v/>
      </c>
      <c r="J11" s="61">
        <f>IF(G11&gt;0,H11/G11,"-")</f>
        <v/>
      </c>
    </row>
    <row r="12">
      <c r="A12" s="9" t="inlineStr">
        <is>
          <t>2021</t>
        </is>
      </c>
      <c r="B12" s="58" t="n">
        <v>0</v>
      </c>
      <c r="C12" s="58" t="n">
        <v>370503332</v>
      </c>
      <c r="D12" s="58" t="n">
        <v>0</v>
      </c>
      <c r="E12" s="58">
        <f>B12+C12-D12</f>
        <v/>
      </c>
      <c r="F12" s="58" t="n">
        <v>0</v>
      </c>
      <c r="G12" s="58">
        <f>E12+F12</f>
        <v/>
      </c>
      <c r="H12" s="58" t="n">
        <v>1961695412</v>
      </c>
      <c r="I12" s="58">
        <f>H12-G12</f>
        <v/>
      </c>
      <c r="J12" s="61">
        <f>IF(G12&gt;0,H12/G12,"-")</f>
        <v/>
      </c>
    </row>
    <row r="13">
      <c r="A13" s="9" t="inlineStr">
        <is>
          <t>2022</t>
        </is>
      </c>
      <c r="B13" s="58" t="n">
        <v>370503332</v>
      </c>
      <c r="C13" s="58" t="n">
        <v>97653333</v>
      </c>
      <c r="D13" s="58" t="n">
        <v>87638748</v>
      </c>
      <c r="E13" s="58">
        <f>B13+C13-D13</f>
        <v/>
      </c>
      <c r="F13" s="58" t="n">
        <v>0</v>
      </c>
      <c r="G13" s="58">
        <f>E13+F13</f>
        <v/>
      </c>
      <c r="H13" s="58" t="n">
        <v>1961695412</v>
      </c>
      <c r="I13" s="58">
        <f>H13-G13</f>
        <v/>
      </c>
      <c r="J13" s="61">
        <f>IF(G13&gt;0,H13/G13,"-")</f>
        <v/>
      </c>
    </row>
    <row r="14">
      <c r="A14" s="9" t="inlineStr">
        <is>
          <t>2023</t>
        </is>
      </c>
      <c r="B14" s="58" t="n">
        <v>380517917</v>
      </c>
      <c r="C14" s="58" t="n">
        <v>120690000</v>
      </c>
      <c r="D14" s="58" t="n">
        <v>64112728</v>
      </c>
      <c r="E14" s="58">
        <f>B14+C14-D14</f>
        <v/>
      </c>
      <c r="F14" s="58" t="n">
        <v>0</v>
      </c>
      <c r="G14" s="58">
        <f>E14+F14</f>
        <v/>
      </c>
      <c r="H14" s="58" t="n">
        <v>1961695412</v>
      </c>
      <c r="I14" s="58">
        <f>H14-G14</f>
        <v/>
      </c>
      <c r="J14" s="61">
        <f>IF(G14&gt;0,H14/G14,"-")</f>
        <v/>
      </c>
    </row>
    <row r="15">
      <c r="A15" s="9" t="inlineStr">
        <is>
          <t>2024</t>
        </is>
      </c>
      <c r="B15" s="58" t="n">
        <v>437095189</v>
      </c>
      <c r="C15" s="58" t="n">
        <v>140800000</v>
      </c>
      <c r="D15" s="58" t="n">
        <v>185943302</v>
      </c>
      <c r="E15" s="58">
        <f>B15+C15-D15</f>
        <v/>
      </c>
      <c r="F15" s="58" t="n">
        <v>0</v>
      </c>
      <c r="G15" s="58">
        <f>E15+F15</f>
        <v/>
      </c>
      <c r="H15" s="58" t="n">
        <v>1961695412</v>
      </c>
      <c r="I15" s="58">
        <f>H15-G15</f>
        <v/>
      </c>
      <c r="J15" s="61">
        <f>IF(G15&gt;0,H15/G15,"-")</f>
        <v/>
      </c>
    </row>
    <row r="16">
      <c r="A16" s="9" t="inlineStr">
        <is>
          <t>2025</t>
        </is>
      </c>
      <c r="B16" s="58" t="n">
        <v>391951887</v>
      </c>
      <c r="C16" s="58" t="n">
        <v>130600000</v>
      </c>
      <c r="D16" s="58" t="n">
        <v>107207220</v>
      </c>
      <c r="E16" s="58">
        <f>B16+C16-D16</f>
        <v/>
      </c>
      <c r="F16" s="58" t="n">
        <v>17100000</v>
      </c>
      <c r="G16" s="58">
        <f>E16+F16</f>
        <v/>
      </c>
      <c r="H16" s="58" t="n">
        <v>1961695412</v>
      </c>
      <c r="I16" s="58">
        <f>H16-G16</f>
        <v/>
      </c>
      <c r="J16" s="61">
        <f>IF(G16&gt;0,H16/G16,"-")</f>
        <v/>
      </c>
    </row>
    <row r="17">
      <c r="A17" s="9" t="inlineStr">
        <is>
          <t>31/08/2026</t>
        </is>
      </c>
      <c r="B17" s="58" t="n">
        <v>415344667</v>
      </c>
      <c r="C17" s="58" t="n">
        <v>111000000</v>
      </c>
      <c r="D17" s="58" t="n">
        <v>69324998</v>
      </c>
      <c r="E17" s="58">
        <f>B17+C17-D17</f>
        <v/>
      </c>
      <c r="F17" s="58" t="n">
        <v>32400000</v>
      </c>
      <c r="G17" s="58">
        <f>E17+F17</f>
        <v/>
      </c>
      <c r="H17" s="58" t="n">
        <v>1961695412</v>
      </c>
      <c r="I17" s="58">
        <f>H17-G17</f>
        <v/>
      </c>
      <c r="J17" s="61">
        <f>IF(G17&gt;0,H17/G17,"-")</f>
        <v/>
      </c>
    </row>
    <row r="18"/>
    <row r="19">
      <c r="A19" s="63" t="inlineStr">
        <is>
          <t>Ancienneté de la dette au 31/08/2026 (règle « premier entré, premier payé »)</t>
        </is>
      </c>
    </row>
    <row r="20" ht="30" customHeight="1">
      <c r="A20" s="8" t="inlineStr">
        <is>
          <t>Année d'inscription</t>
        </is>
      </c>
      <c r="B20" s="8" t="inlineStr">
        <is>
          <t>Allocations inscrites</t>
        </is>
      </c>
      <c r="C20" s="8" t="inlineStr">
        <is>
          <t>Payées (premier entré, premier payé)</t>
        </is>
      </c>
      <c r="D20" s="8" t="inlineStr">
        <is>
          <t>Restant dû</t>
        </is>
      </c>
      <c r="E20" s="8" t="inlineStr">
        <is>
          <t>Plus de 3 ans au 31/08/2026 ?</t>
        </is>
      </c>
    </row>
    <row r="21">
      <c r="A21" s="34" t="n">
        <v>2021</v>
      </c>
      <c r="B21" s="58" t="n">
        <v>370503332</v>
      </c>
      <c r="C21" s="58" t="n">
        <v>370503332</v>
      </c>
      <c r="D21" s="58">
        <f>B21-C21</f>
        <v/>
      </c>
      <c r="E21" s="9" t="inlineStr">
        <is>
          <t>Oui</t>
        </is>
      </c>
    </row>
    <row r="22">
      <c r="A22" s="34" t="n">
        <v>2022</v>
      </c>
      <c r="B22" s="58" t="n">
        <v>97653333</v>
      </c>
      <c r="C22" s="58" t="n">
        <v>97653333</v>
      </c>
      <c r="D22" s="58">
        <f>B22-C22</f>
        <v/>
      </c>
      <c r="E22" s="9" t="inlineStr">
        <is>
          <t>Oui</t>
        </is>
      </c>
    </row>
    <row r="23">
      <c r="A23" s="34" t="n">
        <v>2023</v>
      </c>
      <c r="B23" s="58" t="n">
        <v>120690000</v>
      </c>
      <c r="C23" s="58" t="n">
        <v>46070331</v>
      </c>
      <c r="D23" s="58">
        <f>B23-C23</f>
        <v/>
      </c>
      <c r="E23" s="9" t="inlineStr">
        <is>
          <t>Non</t>
        </is>
      </c>
    </row>
    <row r="24">
      <c r="A24" s="34" t="n">
        <v>2024</v>
      </c>
      <c r="B24" s="58" t="n">
        <v>140800000</v>
      </c>
      <c r="C24" s="58" t="n">
        <v>0</v>
      </c>
      <c r="D24" s="58">
        <f>B24-C24</f>
        <v/>
      </c>
      <c r="E24" s="9" t="inlineStr">
        <is>
          <t>Non</t>
        </is>
      </c>
    </row>
    <row r="25">
      <c r="A25" s="34" t="n">
        <v>2025</v>
      </c>
      <c r="B25" s="58" t="n">
        <v>130600000</v>
      </c>
      <c r="C25" s="58" t="n">
        <v>0</v>
      </c>
      <c r="D25" s="58">
        <f>B25-C25</f>
        <v/>
      </c>
      <c r="E25" s="9" t="inlineStr">
        <is>
          <t>Non</t>
        </is>
      </c>
    </row>
    <row r="26">
      <c r="A26" s="34" t="n">
        <v>2026</v>
      </c>
      <c r="B26" s="58" t="n">
        <v>111000000</v>
      </c>
      <c r="C26" s="58" t="n">
        <v>0</v>
      </c>
      <c r="D26" s="58">
        <f>B26-C26</f>
        <v/>
      </c>
      <c r="E26" s="9" t="inlineStr">
        <is>
          <t>Non</t>
        </is>
      </c>
    </row>
  </sheetData>
  <mergeCells count="6">
    <mergeCell ref="B7:J7"/>
    <mergeCell ref="B3:J3"/>
    <mergeCell ref="B5:J5"/>
    <mergeCell ref="B8:J8"/>
    <mergeCell ref="B4:J4"/>
    <mergeCell ref="B6:J6"/>
  </mergeCells>
  <pageMargins left="0.75" right="0.75" top="1" bottom="1" header="0.5" footer="0.5"/>
  <pageSetup orientation="landscape" fitToHeight="0" fitToWidth="1"/>
</worksheet>
</file>

<file path=xl/worksheets/sheet65.xml><?xml version="1.0" encoding="utf-8"?>
<worksheet xmlns="http://schemas.openxmlformats.org/spreadsheetml/2006/main">
  <sheetPr>
    <tabColor rgb="00EFAC62"/>
    <outlinePr summaryBelow="1" summaryRight="1"/>
    <pageSetUpPr fitToPage="1"/>
  </sheetPr>
  <dimension ref="A1:D17"/>
  <sheetViews>
    <sheetView showGridLines="0" workbookViewId="0">
      <selection activeCell="A1" sqref="A1"/>
    </sheetView>
  </sheetViews>
  <sheetFormatPr baseColWidth="8" defaultRowHeight="15"/>
  <cols>
    <col width="12" customWidth="1" min="1" max="1"/>
    <col width="16" customWidth="1" min="2" max="2"/>
    <col width="18" customWidth="1" min="3" max="3"/>
    <col width="18" customWidth="1" min="4" max="4"/>
  </cols>
  <sheetData>
    <row r="1">
      <c r="A1" s="5" t="inlineStr">
        <is>
          <t>Allocations décès : décès connus après la clôture</t>
        </is>
      </c>
    </row>
    <row r="2"/>
    <row r="3" ht="50" customHeight="1">
      <c r="A3" s="25" t="inlineStr">
        <is>
          <t>À quoi sert cet onglet</t>
        </is>
      </c>
      <c r="B3" s="26" t="inlineStr">
        <is>
          <t>Mesurer les décès d'une année que le FPPN n'enregistre qu'après le 31 décembre. Ils manquent dans la liste de fin d'année et doivent être ajoutés à la provision (statuts, art. 89).</t>
        </is>
      </c>
    </row>
    <row r="4" ht="50" customHeight="1">
      <c r="A4" s="25" t="inlineStr">
        <is>
          <t>D'où viennent les chiffres</t>
        </is>
      </c>
      <c r="B4" s="26" t="inlineStr">
        <is>
          <t>Colonnes « DATE D'ENREGISTREMENT » et « DATE DECES » de « PROV ALLOCATION DECES 2021.xlsx » (feuille IMPAYEES GLOBAL 2021) et de « ALLOC DECES 2023 PAYER ET A PROVISIONNER .xlsx » (feuille ALL DECES  A PROVISIONNER 2023).</t>
        </is>
      </c>
    </row>
    <row r="5" ht="37.5" customHeight="1">
      <c r="A5" s="25" t="inlineStr">
        <is>
          <t>Comment le calcul est fait</t>
        </is>
      </c>
      <c r="B5" s="26" t="inlineStr">
        <is>
          <t>On retient les dossiers dont le décès date d'une année et l'enregistrement de l'année suivante, puis on additionne leurs montants.</t>
        </is>
      </c>
    </row>
    <row r="6" ht="25" customHeight="1">
      <c r="A6" s="25" t="inlineStr">
        <is>
          <t>Comment lire le résultat</t>
        </is>
      </c>
      <c r="B6" s="26" t="inlineStr">
        <is>
          <t>Ces montants donnent l'ordre de grandeur de ce qui manque chaque 31 décembre dans la liste du FPPN.</t>
        </is>
      </c>
    </row>
    <row r="7" ht="25" customHeight="1">
      <c r="A7" s="25" t="inlineStr">
        <is>
          <t>Valable pour</t>
        </is>
      </c>
      <c r="B7" s="26" t="inlineStr">
        <is>
          <t>Fichiers 2021 et 2023, les seuls qui portent les deux dates.</t>
        </is>
      </c>
    </row>
    <row r="8" ht="37.5" customHeight="1">
      <c r="A8" s="25" t="inlineStr">
        <is>
          <t>Limites</t>
        </is>
      </c>
      <c r="B8" s="26" t="inlineStr">
        <is>
          <t>Deux années seulement : l'ordre de grandeur est indicatif. Les dossiers sans date d'enregistrement ne sont pas comptés.</t>
        </is>
      </c>
    </row>
    <row r="9"/>
    <row r="10" ht="30" customHeight="1">
      <c r="A10" s="8" t="inlineStr">
        <is>
          <t>État</t>
        </is>
      </c>
      <c r="B10" s="8" t="inlineStr">
        <is>
          <t>Date du décès</t>
        </is>
      </c>
      <c r="C10" s="8" t="inlineStr">
        <is>
          <t>Date d'enregistrement</t>
        </is>
      </c>
      <c r="D10" s="8" t="inlineStr">
        <is>
          <t>Montant</t>
        </is>
      </c>
    </row>
    <row r="11">
      <c r="A11" s="34" t="n">
        <v>2021</v>
      </c>
      <c r="B11" s="9" t="inlineStr">
        <is>
          <t>2021-12-27</t>
        </is>
      </c>
      <c r="C11" s="9" t="inlineStr">
        <is>
          <t>2022-01-03</t>
        </is>
      </c>
      <c r="D11" s="58" t="n">
        <v>1400000</v>
      </c>
    </row>
    <row r="12">
      <c r="A12" s="34" t="n">
        <v>2021</v>
      </c>
      <c r="B12" s="9" t="inlineStr">
        <is>
          <t>2021-11-02</t>
        </is>
      </c>
      <c r="C12" s="9" t="inlineStr">
        <is>
          <t>2022-01-05</t>
        </is>
      </c>
      <c r="D12" s="58" t="n">
        <v>600000</v>
      </c>
    </row>
    <row r="13">
      <c r="A13" s="34" t="n">
        <v>2021</v>
      </c>
      <c r="B13" s="9" t="inlineStr">
        <is>
          <t>2021-12-21</t>
        </is>
      </c>
      <c r="C13" s="9" t="inlineStr">
        <is>
          <t>2022-01-12</t>
        </is>
      </c>
      <c r="D13" s="58" t="n">
        <v>1400000</v>
      </c>
    </row>
    <row r="14">
      <c r="A14" s="34" t="n">
        <v>2021</v>
      </c>
      <c r="B14" s="9" t="inlineStr">
        <is>
          <t>2021-12-15</t>
        </is>
      </c>
      <c r="C14" s="9" t="inlineStr">
        <is>
          <t>2022-01-12</t>
        </is>
      </c>
      <c r="D14" s="58" t="n">
        <v>1400000</v>
      </c>
    </row>
    <row r="15">
      <c r="A15" s="34" t="n">
        <v>2021</v>
      </c>
      <c r="B15" s="9" t="inlineStr">
        <is>
          <t>2021-12-22</t>
        </is>
      </c>
      <c r="C15" s="9" t="inlineStr">
        <is>
          <t>2022-01-14</t>
        </is>
      </c>
      <c r="D15" s="58" t="n">
        <v>1600000</v>
      </c>
    </row>
    <row r="16">
      <c r="A16" s="34" t="n">
        <v>2021</v>
      </c>
      <c r="B16" s="9" t="inlineStr">
        <is>
          <t>2021-08-16</t>
        </is>
      </c>
      <c r="C16" s="9" t="inlineStr">
        <is>
          <t>2022-03-28</t>
        </is>
      </c>
      <c r="D16" s="58" t="n">
        <v>700000</v>
      </c>
    </row>
    <row r="17">
      <c r="A17" s="64" t="inlineStr">
        <is>
          <t>Total</t>
        </is>
      </c>
      <c r="B17" s="27" t="n"/>
      <c r="C17" s="27" t="n"/>
      <c r="D17" s="58">
        <f>SUM(D11:D16)</f>
        <v/>
      </c>
    </row>
  </sheetData>
  <mergeCells count="6">
    <mergeCell ref="B3:D3"/>
    <mergeCell ref="B5:D5"/>
    <mergeCell ref="B8:D8"/>
    <mergeCell ref="B4:D4"/>
    <mergeCell ref="B7:D7"/>
    <mergeCell ref="B6:D6"/>
  </mergeCells>
  <pageMargins left="0.75" right="0.75" top="1" bottom="1" header="0.5" footer="0.5"/>
  <pageSetup orientation="landscape" fitToHeight="0" fitToWidth="1"/>
</worksheet>
</file>

<file path=xl/worksheets/sheet66.xml><?xml version="1.0" encoding="utf-8"?>
<worksheet xmlns="http://schemas.openxmlformats.org/spreadsheetml/2006/main">
  <sheetPr>
    <tabColor rgb="00EFAC62"/>
    <outlinePr summaryBelow="1" summaryRight="1"/>
    <pageSetUpPr fitToPage="1"/>
  </sheetPr>
  <dimension ref="A1:F17"/>
  <sheetViews>
    <sheetView showGridLines="0" workbookViewId="0">
      <selection activeCell="A1" sqref="A1"/>
    </sheetView>
  </sheetViews>
  <sheetFormatPr baseColWidth="8" defaultRowHeight="15"/>
  <cols>
    <col width="12" customWidth="1" min="1" max="1"/>
    <col width="20" customWidth="1" min="2" max="2"/>
    <col width="20" customWidth="1" min="3" max="3"/>
    <col width="20" customWidth="1" min="4" max="4"/>
    <col width="16" customWidth="1" min="5" max="5"/>
    <col width="20" customWidth="1" min="6" max="6"/>
  </cols>
  <sheetData>
    <row r="1">
      <c r="A1" s="5" t="inlineStr">
        <is>
          <t>Provision pour risques courts (statuts, article 88)</t>
        </is>
      </c>
    </row>
    <row r="2"/>
    <row r="3" ht="25" customHeight="1">
      <c r="A3" s="25" t="inlineStr">
        <is>
          <t>À quoi sert cet onglet</t>
        </is>
      </c>
      <c r="B3" s="26" t="inlineStr">
        <is>
          <t>Calculer la provision qui couvre les prestations et les frais entre la date de clôture et la prochaine échéance de cotisation.</t>
        </is>
      </c>
    </row>
    <row r="4" ht="50" customHeight="1">
      <c r="A4" s="25" t="inlineStr">
        <is>
          <t>D'où viennent les chiffres</t>
        </is>
      </c>
      <c r="B4" s="26" t="inlineStr">
        <is>
          <t>Statuts du FPPN édités le 15/06/2023, art. 88 ; prestations et frais de gestion de l'année : balances des comptes du FPPN (Sage 100) : « BALANCE FORMAT EXCEL DE 09-2020 AU 31-12-2020.xlsx », « BALANCE FPPN FORMAT EXCEL DU 01-01-2021 AU 31-12-2026.xlsx » (exercice 2021), « BALANCE FPPN 2022.xlsx » à « BALANCE FPPN 2025.xlsx », « BALANCE FPPN DU 01-01-2026 AU 31-08-2026.xlsx » (provisoire).</t>
        </is>
      </c>
    </row>
    <row r="5" ht="37.5" customHeight="1">
      <c r="A5" s="25" t="inlineStr">
        <is>
          <t>Comment le calcul est fait</t>
        </is>
      </c>
      <c r="B5" s="26" t="inlineStr">
        <is>
          <t>Provision = (prestations + frais de l'année) / 365 × nombre de jours non couverts par des cotisations. Les cotisations sont précomptées chaque mois sur la solde pour le mois en cours : la cotisation de décembre couvre décembre, la prochaine échéance est le 1er janvier. Le nombre de jours non couverts vaut donc 0.</t>
        </is>
      </c>
    </row>
    <row r="6" ht="37.5" customHeight="1">
      <c r="A6" s="25" t="inlineStr">
        <is>
          <t>Comment lire le résultat</t>
        </is>
      </c>
      <c r="B6" s="26" t="inlineStr">
        <is>
          <t>Une provision nulle est cohérente avec des cotisations mensuelles qui couvrent leur mois. La cellule orange permet de tester un décalage (par exemple 30 jours si une cotisation arrivait avec un mois de retard).</t>
        </is>
      </c>
    </row>
    <row r="7" ht="15" customHeight="1">
      <c r="A7" s="25" t="inlineStr">
        <is>
          <t>Valable pour</t>
        </is>
      </c>
      <c r="B7" s="26" t="inlineStr">
        <is>
          <t>Cotisations maladie et décès précomptées chaque mois par la Solde (postes 936 et 8Z6) et par la CGRAE.</t>
        </is>
      </c>
    </row>
    <row r="8" ht="25" customHeight="1">
      <c r="A8" s="25" t="inlineStr">
        <is>
          <t>Limites</t>
        </is>
      </c>
      <c r="B8" s="26" t="inlineStr">
        <is>
          <t>Si des cotisations étaient encaissées d'avance pour plusieurs mois, la provision ne serait plus nulle : aucun cas n'a été relevé dans les fichiers de précomptes.</t>
        </is>
      </c>
    </row>
    <row r="9"/>
    <row r="10" ht="30" customHeight="1">
      <c r="A10" s="8" t="inlineStr">
        <is>
          <t>Exercice</t>
        </is>
      </c>
      <c r="B10" s="8" t="inlineStr">
        <is>
          <t>Prestations maladie et décès</t>
        </is>
      </c>
      <c r="C10" s="8" t="inlineStr">
        <is>
          <t>Frais de gestion</t>
        </is>
      </c>
      <c r="D10" s="8" t="inlineStr">
        <is>
          <t>Coût d'un jour</t>
        </is>
      </c>
      <c r="E10" s="8" t="inlineStr">
        <is>
          <t>Jours non couverts</t>
        </is>
      </c>
      <c r="F10" s="8" t="inlineStr">
        <is>
          <t>Provision pour risques courts</t>
        </is>
      </c>
    </row>
    <row r="11">
      <c r="A11" s="9" t="inlineStr">
        <is>
          <t>2020</t>
        </is>
      </c>
      <c r="B11" s="58" t="n">
        <v>209745391</v>
      </c>
      <c r="C11" s="58" t="n">
        <v>1210624559</v>
      </c>
      <c r="D11" s="58">
        <f>(B11+C11)/365</f>
        <v/>
      </c>
      <c r="E11" s="52" t="n">
        <v>0</v>
      </c>
      <c r="F11" s="58">
        <f>D11*E11</f>
        <v/>
      </c>
    </row>
    <row r="12">
      <c r="A12" s="9" t="inlineStr">
        <is>
          <t>2021</t>
        </is>
      </c>
      <c r="B12" s="58" t="n">
        <v>503309837</v>
      </c>
      <c r="C12" s="58" t="n">
        <v>961975477</v>
      </c>
      <c r="D12" s="58">
        <f>(B12+C12)/365</f>
        <v/>
      </c>
      <c r="E12" s="52" t="n">
        <v>0</v>
      </c>
      <c r="F12" s="58">
        <f>D12*E12</f>
        <v/>
      </c>
    </row>
    <row r="13">
      <c r="A13" s="9" t="inlineStr">
        <is>
          <t>2022</t>
        </is>
      </c>
      <c r="B13" s="58" t="n">
        <v>231327773</v>
      </c>
      <c r="C13" s="58" t="n">
        <v>1020461388</v>
      </c>
      <c r="D13" s="58">
        <f>(B13+C13)/365</f>
        <v/>
      </c>
      <c r="E13" s="52" t="n">
        <v>0</v>
      </c>
      <c r="F13" s="58">
        <f>D13*E13</f>
        <v/>
      </c>
    </row>
    <row r="14">
      <c r="A14" s="9" t="inlineStr">
        <is>
          <t>2023</t>
        </is>
      </c>
      <c r="B14" s="58" t="n">
        <v>662494362</v>
      </c>
      <c r="C14" s="58" t="n">
        <v>1039977199</v>
      </c>
      <c r="D14" s="58">
        <f>(B14+C14)/365</f>
        <v/>
      </c>
      <c r="E14" s="52" t="n">
        <v>0</v>
      </c>
      <c r="F14" s="58">
        <f>D14*E14</f>
        <v/>
      </c>
    </row>
    <row r="15">
      <c r="A15" s="9" t="inlineStr">
        <is>
          <t>2024</t>
        </is>
      </c>
      <c r="B15" s="58" t="n">
        <v>1264221291</v>
      </c>
      <c r="C15" s="58" t="n">
        <v>987308865</v>
      </c>
      <c r="D15" s="58">
        <f>(B15+C15)/365</f>
        <v/>
      </c>
      <c r="E15" s="52" t="n">
        <v>0</v>
      </c>
      <c r="F15" s="58">
        <f>D15*E15</f>
        <v/>
      </c>
    </row>
    <row r="16">
      <c r="A16" s="9" t="inlineStr">
        <is>
          <t>2025</t>
        </is>
      </c>
      <c r="B16" s="58" t="n">
        <v>1964772027</v>
      </c>
      <c r="C16" s="58" t="n">
        <v>1101350021</v>
      </c>
      <c r="D16" s="58">
        <f>(B16+C16)/365</f>
        <v/>
      </c>
      <c r="E16" s="52" t="n">
        <v>0</v>
      </c>
      <c r="F16" s="58">
        <f>D16*E16</f>
        <v/>
      </c>
    </row>
    <row r="17">
      <c r="A17" s="9" t="inlineStr">
        <is>
          <t>31/08/2026</t>
        </is>
      </c>
      <c r="B17" s="58" t="n">
        <v>1798855783</v>
      </c>
      <c r="C17" s="58" t="n">
        <v>1055460837</v>
      </c>
      <c r="D17" s="58">
        <f>(B17+C17)/243</f>
        <v/>
      </c>
      <c r="E17" s="52" t="n">
        <v>0</v>
      </c>
      <c r="F17" s="58">
        <f>D17*E17</f>
        <v/>
      </c>
    </row>
  </sheetData>
  <mergeCells count="6">
    <mergeCell ref="B4:F4"/>
    <mergeCell ref="B7:F7"/>
    <mergeCell ref="B6:F6"/>
    <mergeCell ref="B3:F3"/>
    <mergeCell ref="B5:F5"/>
    <mergeCell ref="B8:F8"/>
  </mergeCells>
  <pageMargins left="0.75" right="0.75" top="1" bottom="1" header="0.5" footer="0.5"/>
  <pageSetup orientation="landscape" fitToHeight="0" fitToWidth="1"/>
</worksheet>
</file>

<file path=xl/worksheets/sheet67.xml><?xml version="1.0" encoding="utf-8"?>
<worksheet xmlns="http://schemas.openxmlformats.org/spreadsheetml/2006/main">
  <sheetPr>
    <tabColor rgb="00EFAC62"/>
    <outlinePr summaryBelow="1" summaryRight="1"/>
    <pageSetUpPr fitToPage="1"/>
  </sheetPr>
  <dimension ref="A1:J21"/>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5" t="inlineStr">
        <is>
          <t>Épargne : ce que le FPPN doit vraiment, intérêts compris</t>
        </is>
      </c>
    </row>
    <row r="2"/>
    <row r="3" ht="25" customHeight="1">
      <c r="A3" s="25" t="inlineStr">
        <is>
          <t>À quoi sert cet onglet</t>
        </is>
      </c>
      <c r="B3" s="26" t="inlineStr">
        <is>
          <t>Le solde comptable de l'épargne ne contient aucun intérêt. Cet onglet calcule les intérêts dus depuis le 01/01/2020 selon chaque taux écrit, puis l'engagement réel.</t>
        </is>
      </c>
    </row>
    <row r="4" ht="50" customHeight="1">
      <c r="A4" s="25" t="inlineStr">
        <is>
          <t>D'où viennent les chiffres</t>
        </is>
      </c>
      <c r="B4" s="26" t="inlineStr">
        <is>
          <t>Comptes 41195100 (PEP) et 41195200 (EFC) : balances des comptes du FPPN (Sage 100) : « BALANCE FORMAT EXCEL DE 09-2020 AU 31-12-2020.xlsx », « BALANCE FPPN FORMAT EXCEL DU 01-01-2021 AU 31-12-2026.xlsx » (exercice 2021), « BALANCE FPPN 2022.xlsx » à « BALANCE FPPN 2025.xlsx », « BALANCE FPPN DU 01-01-2026 AU 31-08-2026.xlsx » (provisoire). Taux : « MANUEL DE PRODUIT D'EPARGNE FPPN VF VF.docx » (PEP 3,5 % par an, EFC 5,5 % par an, intérêts non capitalisés), « CARTOGRAPHIE DES RISQUES COUVERTS ET DES PRESTATIONS OFFERTES.docx » (EFC 5,5 % à partir de 2024), entretien du chef comptable du 19/10/2026 (3,5 %).</t>
        </is>
      </c>
    </row>
    <row r="5" ht="25" customHeight="1">
      <c r="A5" s="25" t="inlineStr">
        <is>
          <t>Comment le calcul est fait</t>
        </is>
      </c>
      <c r="B5" s="26" t="inlineStr">
        <is>
          <t>Encours moyen de l'année = (encours du début + encours de fin) / 2. Intérêts de l'année = encours moyen × taux × mois / 12. Les intérêts ne sont pas capitalisés (manuel) : ils s'additionnent d'année en année sans produire eux-mêmes d'intérêts.</t>
        </is>
      </c>
    </row>
    <row r="6" ht="15" customHeight="1">
      <c r="A6" s="25" t="inlineStr">
        <is>
          <t>Comment lire le résultat</t>
        </is>
      </c>
      <c r="B6" s="26" t="inlineStr">
        <is>
          <t>L'engagement réel = solde comptable + intérêts dus cumulés. Les cellules orange permettent de changer les taux.</t>
        </is>
      </c>
    </row>
    <row r="7" ht="15" customHeight="1">
      <c r="A7" s="25" t="inlineStr">
        <is>
          <t>Valable pour</t>
        </is>
      </c>
      <c r="B7" s="26" t="inlineStr">
        <is>
          <t>Intérêts dus du 01/01/2020 au 31/08/2026 : c'est une borne basse, car les intérêts dus avant 2020 ne sont pas comptés.</t>
        </is>
      </c>
    </row>
    <row r="8" ht="25" customHeight="1">
      <c r="A8" s="25" t="inlineStr">
        <is>
          <t>Limites</t>
        </is>
      </c>
      <c r="B8" s="26" t="inlineStr">
        <is>
          <t>Le taux réellement promis n'est pas arrêté par une décision (3,5 %, 5,5 % ou 14 %). On ne sait pas si des intérêts ont été payés hors comptabilité. Le taux de 14 % (intérêt simple, période non précisée) n'est pas repris ici.</t>
        </is>
      </c>
    </row>
    <row r="9"/>
    <row r="10">
      <c r="A10" s="63" t="inlineStr">
        <is>
          <t>Taux retenus (modifiables)</t>
        </is>
      </c>
    </row>
    <row r="11">
      <c r="A11" s="50" t="inlineStr">
        <is>
          <t>Taux PEP</t>
        </is>
      </c>
      <c r="B11" s="65" t="n">
        <v>0.035</v>
      </c>
    </row>
    <row r="12">
      <c r="A12" s="50" t="inlineStr">
        <is>
          <t>Taux EFC</t>
        </is>
      </c>
      <c r="B12" s="65" t="n">
        <v>0.055</v>
      </c>
    </row>
    <row r="13"/>
    <row r="14" ht="30" customHeight="1">
      <c r="A14" s="8" t="inlineStr">
        <is>
          <t>Exercice</t>
        </is>
      </c>
      <c r="B14" s="8" t="inlineStr">
        <is>
          <t>PEP : début</t>
        </is>
      </c>
      <c r="C14" s="8" t="inlineStr">
        <is>
          <t>PEP : fin</t>
        </is>
      </c>
      <c r="D14" s="8" t="inlineStr">
        <is>
          <t>Intérêts PEP de l'année</t>
        </is>
      </c>
      <c r="E14" s="8" t="inlineStr">
        <is>
          <t>EFC : début</t>
        </is>
      </c>
      <c r="F14" s="8" t="inlineStr">
        <is>
          <t>EFC : fin</t>
        </is>
      </c>
      <c r="G14" s="8" t="inlineStr">
        <is>
          <t>Intérêts EFC de l'année</t>
        </is>
      </c>
      <c r="H14" s="8" t="inlineStr">
        <is>
          <t>Intérêts de l'année</t>
        </is>
      </c>
      <c r="I14" s="8" t="inlineStr">
        <is>
          <t>Intérêts cumulés</t>
        </is>
      </c>
      <c r="J14" s="8" t="inlineStr">
        <is>
          <t>Engagement réel (solde + intérêts cumulés)</t>
        </is>
      </c>
    </row>
    <row r="15">
      <c r="A15" s="9" t="inlineStr">
        <is>
          <t>2020</t>
        </is>
      </c>
      <c r="B15" s="58" t="n">
        <v>7712960166</v>
      </c>
      <c r="C15" s="58" t="n">
        <v>7366229747</v>
      </c>
      <c r="D15" s="58">
        <f>(B15+C15)/2*$B$11*12/12</f>
        <v/>
      </c>
      <c r="E15" s="58" t="n">
        <v>3519378973</v>
      </c>
      <c r="F15" s="58" t="n">
        <v>3461975893</v>
      </c>
      <c r="G15" s="58">
        <f>(E15+F15)/2*$B$12*12/12</f>
        <v/>
      </c>
      <c r="H15" s="58">
        <f>D15+G15</f>
        <v/>
      </c>
      <c r="I15" s="58">
        <f>SUM(H$15:H15)</f>
        <v/>
      </c>
      <c r="J15" s="58">
        <f>C15+F15+I15</f>
        <v/>
      </c>
    </row>
    <row r="16">
      <c r="A16" s="9" t="inlineStr">
        <is>
          <t>2021</t>
        </is>
      </c>
      <c r="B16" s="58" t="n">
        <v>7366229747</v>
      </c>
      <c r="C16" s="58" t="n">
        <v>6362356294</v>
      </c>
      <c r="D16" s="58">
        <f>(B16+C16)/2*$B$11*12/12</f>
        <v/>
      </c>
      <c r="E16" s="58" t="n">
        <v>3461975893</v>
      </c>
      <c r="F16" s="58" t="n">
        <v>3785064982</v>
      </c>
      <c r="G16" s="58">
        <f>(E16+F16)/2*$B$12*12/12</f>
        <v/>
      </c>
      <c r="H16" s="58">
        <f>D16+G16</f>
        <v/>
      </c>
      <c r="I16" s="58">
        <f>SUM(H$15:H16)</f>
        <v/>
      </c>
      <c r="J16" s="58">
        <f>C16+F16+I16</f>
        <v/>
      </c>
    </row>
    <row r="17">
      <c r="A17" s="9" t="inlineStr">
        <is>
          <t>2022</t>
        </is>
      </c>
      <c r="B17" s="58" t="n">
        <v>6362356294</v>
      </c>
      <c r="C17" s="58" t="n">
        <v>4910897006</v>
      </c>
      <c r="D17" s="58">
        <f>(B17+C17)/2*$B$11*12/12</f>
        <v/>
      </c>
      <c r="E17" s="58" t="n">
        <v>3785064982</v>
      </c>
      <c r="F17" s="58" t="n">
        <v>4453948287</v>
      </c>
      <c r="G17" s="58">
        <f>(E17+F17)/2*$B$12*12/12</f>
        <v/>
      </c>
      <c r="H17" s="58">
        <f>D17+G17</f>
        <v/>
      </c>
      <c r="I17" s="58">
        <f>SUM(H$15:H17)</f>
        <v/>
      </c>
      <c r="J17" s="58">
        <f>C17+F17+I17</f>
        <v/>
      </c>
    </row>
    <row r="18">
      <c r="A18" s="9" t="inlineStr">
        <is>
          <t>2023</t>
        </is>
      </c>
      <c r="B18" s="58" t="n">
        <v>4910897006</v>
      </c>
      <c r="C18" s="58" t="n">
        <v>3560105617</v>
      </c>
      <c r="D18" s="58">
        <f>(B18+C18)/2*$B$11*12/12</f>
        <v/>
      </c>
      <c r="E18" s="58" t="n">
        <v>4453948287</v>
      </c>
      <c r="F18" s="58" t="n">
        <v>5561470959</v>
      </c>
      <c r="G18" s="58">
        <f>(E18+F18)/2*$B$12*12/12</f>
        <v/>
      </c>
      <c r="H18" s="58">
        <f>D18+G18</f>
        <v/>
      </c>
      <c r="I18" s="58">
        <f>SUM(H$15:H18)</f>
        <v/>
      </c>
      <c r="J18" s="58">
        <f>C18+F18+I18</f>
        <v/>
      </c>
    </row>
    <row r="19">
      <c r="A19" s="9" t="inlineStr">
        <is>
          <t>2024</t>
        </is>
      </c>
      <c r="B19" s="58" t="n">
        <v>3560105617</v>
      </c>
      <c r="C19" s="58" t="n">
        <v>3830323779</v>
      </c>
      <c r="D19" s="58">
        <f>(B19+C19)/2*$B$11*12/12</f>
        <v/>
      </c>
      <c r="E19" s="58" t="n">
        <v>5561470959</v>
      </c>
      <c r="F19" s="58" t="n">
        <v>6954740653</v>
      </c>
      <c r="G19" s="58">
        <f>(E19+F19)/2*$B$12*12/12</f>
        <v/>
      </c>
      <c r="H19" s="58">
        <f>D19+G19</f>
        <v/>
      </c>
      <c r="I19" s="58">
        <f>SUM(H$15:H19)</f>
        <v/>
      </c>
      <c r="J19" s="58">
        <f>C19+F19+I19</f>
        <v/>
      </c>
    </row>
    <row r="20">
      <c r="A20" s="9" t="inlineStr">
        <is>
          <t>2025</t>
        </is>
      </c>
      <c r="B20" s="58" t="n">
        <v>3830323779</v>
      </c>
      <c r="C20" s="58" t="n">
        <v>4965221920</v>
      </c>
      <c r="D20" s="58">
        <f>(B20+C20)/2*$B$11*12/12</f>
        <v/>
      </c>
      <c r="E20" s="58" t="n">
        <v>6954740653</v>
      </c>
      <c r="F20" s="58" t="n">
        <v>8848845044</v>
      </c>
      <c r="G20" s="58">
        <f>(E20+F20)/2*$B$12*12/12</f>
        <v/>
      </c>
      <c r="H20" s="58">
        <f>D20+G20</f>
        <v/>
      </c>
      <c r="I20" s="58">
        <f>SUM(H$15:H20)</f>
        <v/>
      </c>
      <c r="J20" s="58">
        <f>C20+F20+I20</f>
        <v/>
      </c>
    </row>
    <row r="21">
      <c r="A21" s="9" t="inlineStr">
        <is>
          <t>31/08/2026</t>
        </is>
      </c>
      <c r="B21" s="58" t="n">
        <v>4965221920</v>
      </c>
      <c r="C21" s="58" t="n">
        <v>5229245425</v>
      </c>
      <c r="D21" s="58">
        <f>(B21+C21)/2*$B$11*8/12</f>
        <v/>
      </c>
      <c r="E21" s="58" t="n">
        <v>8848845044</v>
      </c>
      <c r="F21" s="58" t="n">
        <v>10514270966</v>
      </c>
      <c r="G21" s="58">
        <f>(E21+F21)/2*$B$12*8/12</f>
        <v/>
      </c>
      <c r="H21" s="58">
        <f>D21+G21</f>
        <v/>
      </c>
      <c r="I21" s="58">
        <f>SUM(H$15:H21)</f>
        <v/>
      </c>
      <c r="J21" s="58">
        <f>C21+F21+I21</f>
        <v/>
      </c>
    </row>
  </sheetData>
  <mergeCells count="6">
    <mergeCell ref="B7:J7"/>
    <mergeCell ref="B3:J3"/>
    <mergeCell ref="B5:J5"/>
    <mergeCell ref="B8:J8"/>
    <mergeCell ref="B4:J4"/>
    <mergeCell ref="B6:J6"/>
  </mergeCells>
  <pageMargins left="0.75" right="0.75" top="1" bottom="1" header="0.5" footer="0.5"/>
  <pageSetup orientation="landscape" fitToHeight="0" fitToWidth="1"/>
</worksheet>
</file>

<file path=xl/worksheets/sheet68.xml><?xml version="1.0" encoding="utf-8"?>
<worksheet xmlns="http://schemas.openxmlformats.org/spreadsheetml/2006/main">
  <sheetPr>
    <tabColor rgb="00EFAC62"/>
    <outlinePr summaryBelow="1" summaryRight="1"/>
    <pageSetUpPr fitToPage="1"/>
  </sheetPr>
  <dimension ref="A1:D151"/>
  <sheetViews>
    <sheetView showGridLines="0" workbookViewId="0">
      <selection activeCell="A1" sqref="A1"/>
    </sheetView>
  </sheetViews>
  <sheetFormatPr baseColWidth="8" defaultRowHeight="15"/>
  <cols>
    <col width="14" customWidth="1" min="1" max="1"/>
    <col width="16" customWidth="1" min="2" max="2"/>
    <col width="18" customWidth="1" min="3" max="3"/>
    <col width="18" customWidth="1" min="4" max="4"/>
  </cols>
  <sheetData>
    <row r="1">
      <c r="A1" s="5" t="inlineStr">
        <is>
          <t>Santé des policiers retraités : ce que l'on peut mesurer</t>
        </is>
      </c>
    </row>
    <row r="2"/>
    <row r="3" ht="25" customHeight="1">
      <c r="A3" s="25" t="inlineStr">
        <is>
          <t>À quoi sert cet onglet</t>
        </is>
      </c>
      <c r="B3" s="26" t="inlineStr">
        <is>
          <t>Décrire la garantie santé des retraités : nombre de retraités qui cotisent, cotisation moyenne, évolution.</t>
        </is>
      </c>
    </row>
    <row r="4" ht="62.5" customHeight="1">
      <c r="A4" s="25" t="inlineStr">
        <is>
          <t>D'où viennent les chiffres</t>
        </is>
      </c>
      <c r="B4" s="26" t="inlineStr">
        <is>
          <t>Fichiers retour de la CGRAE reçus le 15/10/2026 (février 2024 à septembre 2026) ; « CONVENTION DE PARTENARIAT ENTRE IPS-CGRAE ET LE FPPN.pdf » ; « ETUDE DES RATIO MALADIE DECES 2.xlsx », feuille Notes (cotisations des retraités au 30/06/2026 : 41 520 789 FCFA).</t>
        </is>
      </c>
    </row>
    <row r="5" ht="25" customHeight="1">
      <c r="A5" s="25" t="inlineStr">
        <is>
          <t>Comment le calcul est fait</t>
        </is>
      </c>
      <c r="B5" s="26" t="inlineStr">
        <is>
          <t>Cotisation moyenne du mois = montant précompté par la CGRAE / nombre de retraités précomptés.</t>
        </is>
      </c>
    </row>
    <row r="6" ht="37.5" customHeight="1">
      <c r="A6" s="25" t="inlineStr">
        <is>
          <t>Comment lire le résultat</t>
        </is>
      </c>
      <c r="B6" s="26" t="inlineStr">
        <is>
          <t>La population de retraités cotisants augmente vite. Leurs prestations ne sont pas isolées dans les comptes : on ne peut pas dire si la garantie est équilibrée.</t>
        </is>
      </c>
    </row>
    <row r="7" ht="25" customHeight="1">
      <c r="A7" s="25" t="inlineStr">
        <is>
          <t>Valable pour</t>
        </is>
      </c>
      <c r="B7" s="26" t="inlineStr">
        <is>
          <t>Retraités précomptés par la CGRAE, février 2024 à septembre 2026.</t>
        </is>
      </c>
    </row>
    <row r="8" ht="37.5" customHeight="1">
      <c r="A8" s="25" t="inlineStr">
        <is>
          <t>Limites</t>
        </is>
      </c>
      <c r="B8" s="26" t="inlineStr">
        <is>
          <t>Sans les âges des retraités ni leurs prestations, aucune provision pour cette garantie ne peut être calculée (voir l'annexe des méthodes non retenues).</t>
        </is>
      </c>
    </row>
    <row r="9"/>
    <row r="10" ht="30" customHeight="1">
      <c r="A10" s="8" t="inlineStr">
        <is>
          <t>Mois</t>
        </is>
      </c>
      <c r="B10" s="8" t="inlineStr">
        <is>
          <t>Retraités précomptés</t>
        </is>
      </c>
      <c r="C10" s="8" t="inlineStr">
        <is>
          <t>Montant précompté</t>
        </is>
      </c>
      <c r="D10" s="8" t="inlineStr">
        <is>
          <t>Cotisation moyenne</t>
        </is>
      </c>
    </row>
    <row r="11">
      <c r="A11" s="9" t="inlineStr">
        <is>
          <t>févr. 24</t>
        </is>
      </c>
      <c r="B11" s="34" t="n">
        <v>16</v>
      </c>
      <c r="C11" s="58" t="n">
        <v>202655</v>
      </c>
      <c r="D11" s="58">
        <f>C11/B11</f>
        <v/>
      </c>
    </row>
    <row r="12">
      <c r="A12" s="9" t="inlineStr">
        <is>
          <t>mars 24</t>
        </is>
      </c>
      <c r="B12" s="34" t="n">
        <v>84</v>
      </c>
      <c r="C12" s="58" t="n">
        <v>973058</v>
      </c>
      <c r="D12" s="58">
        <f>C12/B12</f>
        <v/>
      </c>
    </row>
    <row r="13">
      <c r="A13" s="9" t="inlineStr">
        <is>
          <t>avr. 24</t>
        </is>
      </c>
      <c r="B13" s="34" t="n">
        <v>105</v>
      </c>
      <c r="C13" s="58" t="n">
        <v>1225639</v>
      </c>
      <c r="D13" s="58">
        <f>C13/B13</f>
        <v/>
      </c>
    </row>
    <row r="14">
      <c r="A14" s="9" t="inlineStr">
        <is>
          <t>mai 24</t>
        </is>
      </c>
      <c r="B14" s="34" t="n">
        <v>134</v>
      </c>
      <c r="C14" s="58" t="n">
        <v>1530085</v>
      </c>
      <c r="D14" s="58">
        <f>C14/B14</f>
        <v/>
      </c>
    </row>
    <row r="15">
      <c r="A15" s="9" t="inlineStr">
        <is>
          <t>juil. 24</t>
        </is>
      </c>
      <c r="B15" s="34" t="n">
        <v>176</v>
      </c>
      <c r="C15" s="58" t="n">
        <v>2097392</v>
      </c>
      <c r="D15" s="58">
        <f>C15/B15</f>
        <v/>
      </c>
    </row>
    <row r="16">
      <c r="A16" s="9" t="inlineStr">
        <is>
          <t>août 24</t>
        </is>
      </c>
      <c r="B16" s="34" t="n">
        <v>196</v>
      </c>
      <c r="C16" s="58" t="n">
        <v>2328547</v>
      </c>
      <c r="D16" s="58">
        <f>C16/B16</f>
        <v/>
      </c>
    </row>
    <row r="17">
      <c r="A17" s="9" t="inlineStr">
        <is>
          <t>sept. 24</t>
        </is>
      </c>
      <c r="B17" s="34" t="n">
        <v>237</v>
      </c>
      <c r="C17" s="58" t="n">
        <v>2778100</v>
      </c>
      <c r="D17" s="58">
        <f>C17/B17</f>
        <v/>
      </c>
    </row>
    <row r="18">
      <c r="A18" s="9" t="inlineStr">
        <is>
          <t>oct. 24</t>
        </is>
      </c>
      <c r="B18" s="34" t="n">
        <v>255</v>
      </c>
      <c r="C18" s="58" t="n">
        <v>3019776</v>
      </c>
      <c r="D18" s="58">
        <f>C18/B18</f>
        <v/>
      </c>
    </row>
    <row r="19">
      <c r="A19" s="9" t="inlineStr">
        <is>
          <t>nov. 24</t>
        </is>
      </c>
      <c r="B19" s="34" t="n">
        <v>280</v>
      </c>
      <c r="C19" s="58" t="n">
        <v>3347635</v>
      </c>
      <c r="D19" s="58">
        <f>C19/B19</f>
        <v/>
      </c>
    </row>
    <row r="20">
      <c r="A20" s="9" t="inlineStr">
        <is>
          <t>déc. 24</t>
        </is>
      </c>
      <c r="B20" s="34" t="n">
        <v>291</v>
      </c>
      <c r="C20" s="58" t="n">
        <v>3477487</v>
      </c>
      <c r="D20" s="58">
        <f>C20/B20</f>
        <v/>
      </c>
    </row>
    <row r="21">
      <c r="A21" s="9" t="inlineStr">
        <is>
          <t>janv. 25</t>
        </is>
      </c>
      <c r="B21" s="34" t="n">
        <v>306</v>
      </c>
      <c r="C21" s="58" t="n">
        <v>3640015</v>
      </c>
      <c r="D21" s="58">
        <f>C21/B21</f>
        <v/>
      </c>
    </row>
    <row r="22">
      <c r="A22" s="9" t="inlineStr">
        <is>
          <t>févr. 25</t>
        </is>
      </c>
      <c r="B22" s="34" t="n">
        <v>314</v>
      </c>
      <c r="C22" s="58" t="n">
        <v>3705595</v>
      </c>
      <c r="D22" s="58">
        <f>C22/B22</f>
        <v/>
      </c>
    </row>
    <row r="23">
      <c r="A23" s="9" t="inlineStr">
        <is>
          <t>mars 25</t>
        </is>
      </c>
      <c r="B23" s="34" t="n">
        <v>322</v>
      </c>
      <c r="C23" s="58" t="n">
        <v>3945438</v>
      </c>
      <c r="D23" s="58">
        <f>C23/B23</f>
        <v/>
      </c>
    </row>
    <row r="24">
      <c r="A24" s="9" t="inlineStr">
        <is>
          <t>avr. 25</t>
        </is>
      </c>
      <c r="B24" s="34" t="n">
        <v>336</v>
      </c>
      <c r="C24" s="58" t="n">
        <v>4100298</v>
      </c>
      <c r="D24" s="58">
        <f>C24/B24</f>
        <v/>
      </c>
    </row>
    <row r="25">
      <c r="A25" s="9" t="inlineStr">
        <is>
          <t>mai 25</t>
        </is>
      </c>
      <c r="B25" s="34" t="n">
        <v>358</v>
      </c>
      <c r="C25" s="58" t="n">
        <v>4388319</v>
      </c>
      <c r="D25" s="58">
        <f>C25/B25</f>
        <v/>
      </c>
    </row>
    <row r="26">
      <c r="A26" s="9" t="inlineStr">
        <is>
          <t>juin 25</t>
        </is>
      </c>
      <c r="B26" s="34" t="n">
        <v>368</v>
      </c>
      <c r="C26" s="58" t="n">
        <v>4547518</v>
      </c>
      <c r="D26" s="58">
        <f>C26/B26</f>
        <v/>
      </c>
    </row>
    <row r="27">
      <c r="A27" s="9" t="inlineStr">
        <is>
          <t>juil. 25</t>
        </is>
      </c>
      <c r="B27" s="34" t="n">
        <v>386</v>
      </c>
      <c r="C27" s="58" t="n">
        <v>4646872</v>
      </c>
      <c r="D27" s="58">
        <f>C27/B27</f>
        <v/>
      </c>
    </row>
    <row r="28">
      <c r="A28" s="9" t="inlineStr">
        <is>
          <t>août 25</t>
        </is>
      </c>
      <c r="B28" s="34" t="n">
        <v>409</v>
      </c>
      <c r="C28" s="58" t="n">
        <v>4951746</v>
      </c>
      <c r="D28" s="58">
        <f>C28/B28</f>
        <v/>
      </c>
    </row>
    <row r="29">
      <c r="A29" s="9" t="inlineStr">
        <is>
          <t>sept. 25</t>
        </is>
      </c>
      <c r="B29" s="34" t="n">
        <v>468</v>
      </c>
      <c r="C29" s="58" t="n">
        <v>5714322</v>
      </c>
      <c r="D29" s="58">
        <f>C29/B29</f>
        <v/>
      </c>
    </row>
    <row r="30">
      <c r="A30" s="9" t="inlineStr">
        <is>
          <t>oct. 25</t>
        </is>
      </c>
      <c r="B30" s="34" t="n">
        <v>495</v>
      </c>
      <c r="C30" s="58" t="n">
        <v>6007335</v>
      </c>
      <c r="D30" s="58">
        <f>C30/B30</f>
        <v/>
      </c>
    </row>
    <row r="31">
      <c r="A31" s="9" t="inlineStr">
        <is>
          <t>nov. 25</t>
        </is>
      </c>
      <c r="B31" s="34" t="n">
        <v>506</v>
      </c>
      <c r="C31" s="58" t="n">
        <v>6010492</v>
      </c>
      <c r="D31" s="58">
        <f>C31/B31</f>
        <v/>
      </c>
    </row>
    <row r="32">
      <c r="A32" s="9" t="inlineStr">
        <is>
          <t>déc. 25</t>
        </is>
      </c>
      <c r="B32" s="34" t="n">
        <v>532</v>
      </c>
      <c r="C32" s="58" t="n">
        <v>6289780</v>
      </c>
      <c r="D32" s="58">
        <f>C32/B32</f>
        <v/>
      </c>
    </row>
    <row r="33">
      <c r="A33" s="9" t="inlineStr">
        <is>
          <t>janv. 26</t>
        </is>
      </c>
      <c r="B33" s="34" t="n">
        <v>592</v>
      </c>
      <c r="C33" s="58" t="n">
        <v>6949591</v>
      </c>
      <c r="D33" s="58">
        <f>C33/B33</f>
        <v/>
      </c>
    </row>
    <row r="34">
      <c r="A34" s="9" t="inlineStr">
        <is>
          <t>févr. 26</t>
        </is>
      </c>
      <c r="B34" s="34" t="n">
        <v>587</v>
      </c>
      <c r="C34" s="58" t="n">
        <v>6904766</v>
      </c>
      <c r="D34" s="58">
        <f>C34/B34</f>
        <v/>
      </c>
    </row>
    <row r="35">
      <c r="A35" s="9" t="inlineStr">
        <is>
          <t>mars 26</t>
        </is>
      </c>
      <c r="B35" s="34" t="n">
        <v>584</v>
      </c>
      <c r="C35" s="58" t="n">
        <v>6862774</v>
      </c>
      <c r="D35" s="58">
        <f>C35/B35</f>
        <v/>
      </c>
    </row>
    <row r="36">
      <c r="A36" s="9" t="inlineStr">
        <is>
          <t>avr. 26</t>
        </is>
      </c>
      <c r="B36" s="34" t="n">
        <v>580</v>
      </c>
      <c r="C36" s="58" t="n">
        <v>6822690</v>
      </c>
      <c r="D36" s="58">
        <f>C36/B36</f>
        <v/>
      </c>
    </row>
    <row r="37">
      <c r="A37" s="9" t="inlineStr">
        <is>
          <t>mai 26</t>
        </is>
      </c>
      <c r="B37" s="34" t="n">
        <v>584</v>
      </c>
      <c r="C37" s="58" t="n">
        <v>6940839</v>
      </c>
      <c r="D37" s="58">
        <f>C37/B37</f>
        <v/>
      </c>
    </row>
    <row r="38">
      <c r="A38" s="9" t="inlineStr">
        <is>
          <t>juin 26</t>
        </is>
      </c>
      <c r="B38" s="34" t="n">
        <v>591</v>
      </c>
      <c r="C38" s="58" t="n">
        <v>7040129</v>
      </c>
      <c r="D38" s="58">
        <f>C38/B38</f>
        <v/>
      </c>
    </row>
    <row r="39">
      <c r="A39" s="9" t="inlineStr">
        <is>
          <t>juil. 26</t>
        </is>
      </c>
      <c r="B39" s="34" t="n">
        <v>600</v>
      </c>
      <c r="C39" s="58" t="n">
        <v>7117178</v>
      </c>
      <c r="D39" s="58">
        <f>C39/B39</f>
        <v/>
      </c>
    </row>
    <row r="40">
      <c r="A40" s="9" t="inlineStr">
        <is>
          <t>août 26</t>
        </is>
      </c>
      <c r="B40" s="34" t="n">
        <v>610</v>
      </c>
      <c r="C40" s="58" t="n">
        <v>7292072</v>
      </c>
      <c r="D40" s="58">
        <f>C40/B40</f>
        <v/>
      </c>
    </row>
    <row r="41"/>
    <row r="42"/>
    <row r="43">
      <c r="A43" s="63" t="inlineStr">
        <is>
          <t>Retraités dont la date de naissance figure dans les fichiers de la CGRAE</t>
        </is>
      </c>
    </row>
    <row r="44" ht="25" customHeight="1">
      <c r="A44" s="62" t="inlineStr">
        <is>
          <t>Seuls les fichiers retour de la CGRAE de février à avril 2024 portent la date de naissance. L'année y est écrite sur deux chiffres : une année lue après 2026 est ramenée au siècle précédent (par exemple 2062 devient 1962). Âge calculé au 30/09/2026.</t>
        </is>
      </c>
    </row>
    <row r="45" ht="30" customHeight="1">
      <c r="A45" s="8" t="inlineStr">
        <is>
          <t>Retraité (matricule CGRAE)</t>
        </is>
      </c>
      <c r="B45" s="8" t="inlineStr">
        <is>
          <t>Date de naissance</t>
        </is>
      </c>
      <c r="C45" s="8" t="inlineStr">
        <is>
          <t>Âge au 30/09/2026</t>
        </is>
      </c>
    </row>
    <row r="46">
      <c r="A46" s="9" t="inlineStr">
        <is>
          <t>2013218780</t>
        </is>
      </c>
      <c r="B46" s="66" t="n">
        <v>22702</v>
      </c>
      <c r="C46" s="61">
        <f>(DATE(2026,9,30)-B46)/365.25</f>
        <v/>
      </c>
    </row>
    <row r="47">
      <c r="A47" s="9" t="inlineStr">
        <is>
          <t>20182064663</t>
        </is>
      </c>
      <c r="B47" s="66" t="n">
        <v>22914</v>
      </c>
      <c r="C47" s="61">
        <f>(DATE(2026,9,30)-B47)/365.25</f>
        <v/>
      </c>
    </row>
    <row r="48">
      <c r="A48" s="9" t="inlineStr">
        <is>
          <t>20182064785</t>
        </is>
      </c>
      <c r="B48" s="66" t="n">
        <v>22751</v>
      </c>
      <c r="C48" s="61">
        <f>(DATE(2026,9,30)-B48)/365.25</f>
        <v/>
      </c>
    </row>
    <row r="49">
      <c r="A49" s="9" t="inlineStr">
        <is>
          <t>20182065138</t>
        </is>
      </c>
      <c r="B49" s="66" t="n">
        <v>22995</v>
      </c>
      <c r="C49" s="61">
        <f>(DATE(2026,9,30)-B49)/365.25</f>
        <v/>
      </c>
    </row>
    <row r="50">
      <c r="A50" s="9" t="inlineStr">
        <is>
          <t>20182065427</t>
        </is>
      </c>
      <c r="B50" s="66" t="n">
        <v>22647</v>
      </c>
      <c r="C50" s="61">
        <f>(DATE(2026,9,30)-B50)/365.25</f>
        <v/>
      </c>
    </row>
    <row r="51">
      <c r="A51" s="9" t="inlineStr">
        <is>
          <t>20182065493</t>
        </is>
      </c>
      <c r="B51" s="66" t="n">
        <v>22647</v>
      </c>
      <c r="C51" s="61">
        <f>(DATE(2026,9,30)-B51)/365.25</f>
        <v/>
      </c>
    </row>
    <row r="52">
      <c r="A52" s="9" t="inlineStr">
        <is>
          <t>20182065645</t>
        </is>
      </c>
      <c r="B52" s="66" t="n">
        <v>22657</v>
      </c>
      <c r="C52" s="61">
        <f>(DATE(2026,9,30)-B52)/365.25</f>
        <v/>
      </c>
    </row>
    <row r="53">
      <c r="A53" s="9" t="inlineStr">
        <is>
          <t>20182387130</t>
        </is>
      </c>
      <c r="B53" s="66" t="n">
        <v>22878</v>
      </c>
      <c r="C53" s="61">
        <f>(DATE(2026,9,30)-B53)/365.25</f>
        <v/>
      </c>
    </row>
    <row r="54">
      <c r="A54" s="9" t="inlineStr">
        <is>
          <t>20192004307</t>
        </is>
      </c>
      <c r="B54" s="66" t="n">
        <v>23012</v>
      </c>
      <c r="C54" s="61">
        <f>(DATE(2026,9,30)-B54)/365.25</f>
        <v/>
      </c>
    </row>
    <row r="55">
      <c r="A55" s="9" t="inlineStr">
        <is>
          <t>20192004340</t>
        </is>
      </c>
      <c r="B55" s="66" t="n">
        <v>20455</v>
      </c>
      <c r="C55" s="61">
        <f>(DATE(2026,9,30)-B55)/365.25</f>
        <v/>
      </c>
    </row>
    <row r="56">
      <c r="A56" s="9" t="inlineStr">
        <is>
          <t>20192004902</t>
        </is>
      </c>
      <c r="B56" s="66" t="n">
        <v>23085</v>
      </c>
      <c r="C56" s="61">
        <f>(DATE(2026,9,30)-B56)/365.25</f>
        <v/>
      </c>
    </row>
    <row r="57">
      <c r="A57" s="9" t="inlineStr">
        <is>
          <t>20192005426</t>
        </is>
      </c>
      <c r="B57" s="66" t="n">
        <v>23177</v>
      </c>
      <c r="C57" s="61">
        <f>(DATE(2026,9,30)-B57)/365.25</f>
        <v/>
      </c>
    </row>
    <row r="58">
      <c r="A58" s="9" t="inlineStr">
        <is>
          <t>20192006013</t>
        </is>
      </c>
      <c r="B58" s="66" t="n">
        <v>23012</v>
      </c>
      <c r="C58" s="61">
        <f>(DATE(2026,9,30)-B58)/365.25</f>
        <v/>
      </c>
    </row>
    <row r="59">
      <c r="A59" s="9" t="inlineStr">
        <is>
          <t>20192006471</t>
        </is>
      </c>
      <c r="B59" s="66" t="n">
        <v>23012</v>
      </c>
      <c r="C59" s="61">
        <f>(DATE(2026,9,30)-B59)/365.25</f>
        <v/>
      </c>
    </row>
    <row r="60">
      <c r="A60" s="9" t="inlineStr">
        <is>
          <t>20192007454</t>
        </is>
      </c>
      <c r="B60" s="66" t="n">
        <v>23362</v>
      </c>
      <c r="C60" s="61">
        <f>(DATE(2026,9,30)-B60)/365.25</f>
        <v/>
      </c>
    </row>
    <row r="61">
      <c r="A61" s="9" t="inlineStr">
        <is>
          <t>20192007453</t>
        </is>
      </c>
      <c r="B61" s="66" t="n">
        <v>23012</v>
      </c>
      <c r="C61" s="61">
        <f>(DATE(2026,9,30)-B61)/365.25</f>
        <v/>
      </c>
    </row>
    <row r="62">
      <c r="A62" s="9" t="inlineStr">
        <is>
          <t>20192007706</t>
        </is>
      </c>
      <c r="B62" s="66" t="n">
        <v>23231</v>
      </c>
      <c r="C62" s="61">
        <f>(DATE(2026,9,30)-B62)/365.25</f>
        <v/>
      </c>
    </row>
    <row r="63">
      <c r="A63" s="9" t="inlineStr">
        <is>
          <t>20192007836</t>
        </is>
      </c>
      <c r="B63" s="66" t="n">
        <v>23012</v>
      </c>
      <c r="C63" s="61">
        <f>(DATE(2026,9,30)-B63)/365.25</f>
        <v/>
      </c>
    </row>
    <row r="64">
      <c r="A64" s="9" t="inlineStr">
        <is>
          <t>20192028259</t>
        </is>
      </c>
      <c r="B64" s="66" t="n">
        <v>23012</v>
      </c>
      <c r="C64" s="61">
        <f>(DATE(2026,9,30)-B64)/365.25</f>
        <v/>
      </c>
    </row>
    <row r="65">
      <c r="A65" s="9" t="inlineStr">
        <is>
          <t>20202491120</t>
        </is>
      </c>
      <c r="B65" s="66" t="n">
        <v>23377</v>
      </c>
      <c r="C65" s="61">
        <f>(DATE(2026,9,30)-B65)/365.25</f>
        <v/>
      </c>
    </row>
    <row r="66">
      <c r="A66" s="9" t="inlineStr">
        <is>
          <t>20202397834</t>
        </is>
      </c>
      <c r="B66" s="66" t="n">
        <v>23683</v>
      </c>
      <c r="C66" s="61">
        <f>(DATE(2026,9,30)-B66)/365.25</f>
        <v/>
      </c>
    </row>
    <row r="67">
      <c r="A67" s="9" t="inlineStr">
        <is>
          <t>20202266413</t>
        </is>
      </c>
      <c r="B67" s="66" t="n">
        <v>23578</v>
      </c>
      <c r="C67" s="61">
        <f>(DATE(2026,9,30)-B67)/365.25</f>
        <v/>
      </c>
    </row>
    <row r="68">
      <c r="A68" s="9" t="inlineStr">
        <is>
          <t>20202440146</t>
        </is>
      </c>
      <c r="B68" s="66" t="n">
        <v>23566</v>
      </c>
      <c r="C68" s="61">
        <f>(DATE(2026,9,30)-B68)/365.25</f>
        <v/>
      </c>
    </row>
    <row r="69">
      <c r="A69" s="9" t="inlineStr">
        <is>
          <t>20202482313</t>
        </is>
      </c>
      <c r="B69" s="66" t="n">
        <v>23522</v>
      </c>
      <c r="C69" s="61">
        <f>(DATE(2026,9,30)-B69)/365.25</f>
        <v/>
      </c>
    </row>
    <row r="70">
      <c r="A70" s="9" t="inlineStr">
        <is>
          <t>20202296197</t>
        </is>
      </c>
      <c r="B70" s="66" t="n">
        <v>23451</v>
      </c>
      <c r="C70" s="61">
        <f>(DATE(2026,9,30)-B70)/365.25</f>
        <v/>
      </c>
    </row>
    <row r="71">
      <c r="A71" s="9" t="inlineStr">
        <is>
          <t>20202378247</t>
        </is>
      </c>
      <c r="B71" s="66" t="n">
        <v>23696</v>
      </c>
      <c r="C71" s="61">
        <f>(DATE(2026,9,30)-B71)/365.25</f>
        <v/>
      </c>
    </row>
    <row r="72">
      <c r="A72" s="9" t="inlineStr">
        <is>
          <t>20202250872</t>
        </is>
      </c>
      <c r="B72" s="66" t="n">
        <v>23398</v>
      </c>
      <c r="C72" s="61">
        <f>(DATE(2026,9,30)-B72)/365.25</f>
        <v/>
      </c>
    </row>
    <row r="73">
      <c r="A73" s="9" t="inlineStr">
        <is>
          <t>20202452777</t>
        </is>
      </c>
      <c r="B73" s="66" t="n">
        <v>23741</v>
      </c>
      <c r="C73" s="61">
        <f>(DATE(2026,9,30)-B73)/365.25</f>
        <v/>
      </c>
    </row>
    <row r="74">
      <c r="A74" s="9" t="inlineStr">
        <is>
          <t>20202499261</t>
        </is>
      </c>
      <c r="B74" s="66" t="n">
        <v>23377</v>
      </c>
      <c r="C74" s="61">
        <f>(DATE(2026,9,30)-B74)/365.25</f>
        <v/>
      </c>
    </row>
    <row r="75">
      <c r="A75" s="9" t="inlineStr">
        <is>
          <t>20202297775</t>
        </is>
      </c>
      <c r="B75" s="66" t="n">
        <v>23701</v>
      </c>
      <c r="C75" s="61">
        <f>(DATE(2026,9,30)-B75)/365.25</f>
        <v/>
      </c>
    </row>
    <row r="76">
      <c r="A76" s="9" t="inlineStr">
        <is>
          <t>20202499283</t>
        </is>
      </c>
      <c r="B76" s="66" t="n">
        <v>23385</v>
      </c>
      <c r="C76" s="61">
        <f>(DATE(2026,9,30)-B76)/365.25</f>
        <v/>
      </c>
    </row>
    <row r="77">
      <c r="A77" s="9" t="inlineStr">
        <is>
          <t>20202250889</t>
        </is>
      </c>
      <c r="B77" s="66" t="n">
        <v>23723</v>
      </c>
      <c r="C77" s="61">
        <f>(DATE(2026,9,30)-B77)/365.25</f>
        <v/>
      </c>
    </row>
    <row r="78">
      <c r="A78" s="9" t="inlineStr">
        <is>
          <t>20202299223</t>
        </is>
      </c>
      <c r="B78" s="66" t="n">
        <v>23379</v>
      </c>
      <c r="C78" s="61">
        <f>(DATE(2026,9,30)-B78)/365.25</f>
        <v/>
      </c>
    </row>
    <row r="79">
      <c r="A79" s="9" t="inlineStr">
        <is>
          <t>20202439301</t>
        </is>
      </c>
      <c r="B79" s="66" t="n">
        <v>23377</v>
      </c>
      <c r="C79" s="61">
        <f>(DATE(2026,9,30)-B79)/365.25</f>
        <v/>
      </c>
    </row>
    <row r="80">
      <c r="A80" s="9" t="inlineStr">
        <is>
          <t>20202437185</t>
        </is>
      </c>
      <c r="B80" s="66" t="n">
        <v>23936</v>
      </c>
      <c r="C80" s="61">
        <f>(DATE(2026,9,30)-B80)/365.25</f>
        <v/>
      </c>
    </row>
    <row r="81">
      <c r="A81" s="9" t="inlineStr">
        <is>
          <t>20201489193</t>
        </is>
      </c>
      <c r="B81" s="66" t="n">
        <v>23803</v>
      </c>
      <c r="C81" s="61">
        <f>(DATE(2026,9,30)-B81)/365.25</f>
        <v/>
      </c>
    </row>
    <row r="82">
      <c r="A82" s="9" t="inlineStr">
        <is>
          <t>20202344545</t>
        </is>
      </c>
      <c r="B82" s="66" t="n">
        <v>23746</v>
      </c>
      <c r="C82" s="61">
        <f>(DATE(2026,9,30)-B82)/365.25</f>
        <v/>
      </c>
    </row>
    <row r="83">
      <c r="A83" s="9" t="inlineStr">
        <is>
          <t>20202405901</t>
        </is>
      </c>
      <c r="B83" s="66" t="n">
        <v>23748</v>
      </c>
      <c r="C83" s="61">
        <f>(DATE(2026,9,30)-B83)/365.25</f>
        <v/>
      </c>
    </row>
    <row r="84">
      <c r="A84" s="9" t="inlineStr">
        <is>
          <t>20202342870</t>
        </is>
      </c>
      <c r="B84" s="66" t="n">
        <v>24105</v>
      </c>
      <c r="C84" s="61">
        <f>(DATE(2026,9,30)-B84)/365.25</f>
        <v/>
      </c>
    </row>
    <row r="85">
      <c r="A85" s="9" t="inlineStr">
        <is>
          <t>20201468298</t>
        </is>
      </c>
      <c r="B85" s="66" t="n">
        <v>23845</v>
      </c>
      <c r="C85" s="61">
        <f>(DATE(2026,9,30)-B85)/365.25</f>
        <v/>
      </c>
    </row>
    <row r="86">
      <c r="A86" s="9" t="inlineStr">
        <is>
          <t>20202296303</t>
        </is>
      </c>
      <c r="B86" s="66" t="n">
        <v>23743</v>
      </c>
      <c r="C86" s="61">
        <f>(DATE(2026,9,30)-B86)/365.25</f>
        <v/>
      </c>
    </row>
    <row r="87">
      <c r="A87" s="9" t="inlineStr">
        <is>
          <t>20202358001</t>
        </is>
      </c>
      <c r="B87" s="66" t="n">
        <v>23949</v>
      </c>
      <c r="C87" s="61">
        <f>(DATE(2026,9,30)-B87)/365.25</f>
        <v/>
      </c>
    </row>
    <row r="88">
      <c r="A88" s="9" t="inlineStr">
        <is>
          <t>20202300833</t>
        </is>
      </c>
      <c r="B88" s="66" t="n">
        <v>23889</v>
      </c>
      <c r="C88" s="61">
        <f>(DATE(2026,9,30)-B88)/365.25</f>
        <v/>
      </c>
    </row>
    <row r="89">
      <c r="A89" s="9" t="inlineStr">
        <is>
          <t>20202426063</t>
        </is>
      </c>
      <c r="B89" s="66" t="n">
        <v>23794</v>
      </c>
      <c r="C89" s="61">
        <f>(DATE(2026,9,30)-B89)/365.25</f>
        <v/>
      </c>
    </row>
    <row r="90">
      <c r="A90" s="9" t="inlineStr">
        <is>
          <t>20202328956</t>
        </is>
      </c>
      <c r="B90" s="66" t="n">
        <v>23894</v>
      </c>
      <c r="C90" s="61">
        <f>(DATE(2026,9,30)-B90)/365.25</f>
        <v/>
      </c>
    </row>
    <row r="91">
      <c r="A91" s="9" t="inlineStr">
        <is>
          <t>20202379100</t>
        </is>
      </c>
      <c r="B91" s="66" t="n">
        <v>23894</v>
      </c>
      <c r="C91" s="61">
        <f>(DATE(2026,9,30)-B91)/365.25</f>
        <v/>
      </c>
    </row>
    <row r="92">
      <c r="A92" s="9" t="inlineStr">
        <is>
          <t>20202343142</t>
        </is>
      </c>
      <c r="B92" s="66" t="n">
        <v>23928</v>
      </c>
      <c r="C92" s="61">
        <f>(DATE(2026,9,30)-B92)/365.25</f>
        <v/>
      </c>
    </row>
    <row r="93">
      <c r="A93" s="9" t="inlineStr">
        <is>
          <t>20202269466</t>
        </is>
      </c>
      <c r="B93" s="66" t="n">
        <v>23765</v>
      </c>
      <c r="C93" s="61">
        <f>(DATE(2026,9,30)-B93)/365.25</f>
        <v/>
      </c>
    </row>
    <row r="94">
      <c r="A94" s="9" t="inlineStr">
        <is>
          <t>20202310464</t>
        </is>
      </c>
      <c r="B94" s="66" t="n">
        <v>23953</v>
      </c>
      <c r="C94" s="61">
        <f>(DATE(2026,9,30)-B94)/365.25</f>
        <v/>
      </c>
    </row>
    <row r="95">
      <c r="A95" s="9" t="inlineStr">
        <is>
          <t>2017261375</t>
        </is>
      </c>
      <c r="B95" s="66" t="n">
        <v>24077</v>
      </c>
      <c r="C95" s="61">
        <f>(DATE(2026,9,30)-B95)/365.25</f>
        <v/>
      </c>
    </row>
    <row r="96">
      <c r="A96" s="9" t="inlineStr">
        <is>
          <t>2013215025</t>
        </is>
      </c>
      <c r="B96" s="66" t="n">
        <v>21110</v>
      </c>
      <c r="C96" s="61">
        <f>(DATE(2026,9,30)-B96)/365.25</f>
        <v/>
      </c>
    </row>
    <row r="97">
      <c r="A97" s="9" t="inlineStr">
        <is>
          <t>20202482619</t>
        </is>
      </c>
      <c r="B97" s="66" t="n">
        <v>23776</v>
      </c>
      <c r="C97" s="61">
        <f>(DATE(2026,9,30)-B97)/365.25</f>
        <v/>
      </c>
    </row>
    <row r="98">
      <c r="A98" s="9" t="inlineStr">
        <is>
          <t>20202420539</t>
        </is>
      </c>
      <c r="B98" s="66" t="n">
        <v>23894</v>
      </c>
      <c r="C98" s="61">
        <f>(DATE(2026,9,30)-B98)/365.25</f>
        <v/>
      </c>
    </row>
    <row r="99">
      <c r="A99" s="9" t="inlineStr">
        <is>
          <t>20202420521</t>
        </is>
      </c>
      <c r="B99" s="66" t="n">
        <v>24077</v>
      </c>
      <c r="C99" s="61">
        <f>(DATE(2026,9,30)-B99)/365.25</f>
        <v/>
      </c>
    </row>
    <row r="100">
      <c r="A100" s="9" t="inlineStr">
        <is>
          <t>20202303678</t>
        </is>
      </c>
      <c r="B100" s="66" t="n">
        <v>24412</v>
      </c>
      <c r="C100" s="61">
        <f>(DATE(2026,9,30)-B100)/365.25</f>
        <v/>
      </c>
    </row>
    <row r="101">
      <c r="A101" s="9" t="inlineStr">
        <is>
          <t>20202266415</t>
        </is>
      </c>
      <c r="B101" s="66" t="n">
        <v>24320</v>
      </c>
      <c r="C101" s="61">
        <f>(DATE(2026,9,30)-B101)/365.25</f>
        <v/>
      </c>
    </row>
    <row r="102">
      <c r="A102" s="9" t="inlineStr">
        <is>
          <t>20202440912</t>
        </is>
      </c>
      <c r="B102" s="66" t="n">
        <v>24139</v>
      </c>
      <c r="C102" s="61">
        <f>(DATE(2026,9,30)-B102)/365.25</f>
        <v/>
      </c>
    </row>
    <row r="103">
      <c r="A103" s="9" t="inlineStr">
        <is>
          <t>20201343080</t>
        </is>
      </c>
      <c r="B103" s="66" t="n">
        <v>24139</v>
      </c>
      <c r="C103" s="61">
        <f>(DATE(2026,9,30)-B103)/365.25</f>
        <v/>
      </c>
    </row>
    <row r="104">
      <c r="A104" s="9" t="inlineStr">
        <is>
          <t>20202348507</t>
        </is>
      </c>
      <c r="B104" s="66" t="n">
        <v>24442</v>
      </c>
      <c r="C104" s="61">
        <f>(DATE(2026,9,30)-B104)/365.25</f>
        <v/>
      </c>
    </row>
    <row r="105">
      <c r="A105" s="9" t="inlineStr">
        <is>
          <t>20202436841</t>
        </is>
      </c>
      <c r="B105" s="66" t="n">
        <v>24471</v>
      </c>
      <c r="C105" s="61">
        <f>(DATE(2026,9,30)-B105)/365.25</f>
        <v/>
      </c>
    </row>
    <row r="106">
      <c r="A106" s="9" t="inlineStr">
        <is>
          <t>20202286811</t>
        </is>
      </c>
      <c r="B106" s="66" t="n">
        <v>24351</v>
      </c>
      <c r="C106" s="61">
        <f>(DATE(2026,9,30)-B106)/365.25</f>
        <v/>
      </c>
    </row>
    <row r="107">
      <c r="A107" s="9" t="inlineStr">
        <is>
          <t>20202348506</t>
        </is>
      </c>
      <c r="B107" s="66" t="n">
        <v>24108</v>
      </c>
      <c r="C107" s="61">
        <f>(DATE(2026,9,30)-B107)/365.25</f>
        <v/>
      </c>
    </row>
    <row r="108">
      <c r="A108" s="9" t="inlineStr">
        <is>
          <t>20202421512</t>
        </is>
      </c>
      <c r="B108" s="66" t="n">
        <v>24381</v>
      </c>
      <c r="C108" s="61">
        <f>(DATE(2026,9,30)-B108)/365.25</f>
        <v/>
      </c>
    </row>
    <row r="109">
      <c r="A109" s="9" t="inlineStr">
        <is>
          <t>20202420180</t>
        </is>
      </c>
      <c r="B109" s="66" t="n">
        <v>24381</v>
      </c>
      <c r="C109" s="61">
        <f>(DATE(2026,9,30)-B109)/365.25</f>
        <v/>
      </c>
    </row>
    <row r="110">
      <c r="A110" s="9" t="inlineStr">
        <is>
          <t>20202327173</t>
        </is>
      </c>
      <c r="B110" s="66" t="n">
        <v>24108</v>
      </c>
      <c r="C110" s="61">
        <f>(DATE(2026,9,30)-B110)/365.25</f>
        <v/>
      </c>
    </row>
    <row r="111">
      <c r="A111" s="9" t="inlineStr">
        <is>
          <t>20201283456</t>
        </is>
      </c>
      <c r="B111" s="66" t="n">
        <v>24212</v>
      </c>
      <c r="C111" s="61">
        <f>(DATE(2026,9,30)-B111)/365.25</f>
        <v/>
      </c>
    </row>
    <row r="112">
      <c r="A112" s="9" t="inlineStr">
        <is>
          <t>20202374201</t>
        </is>
      </c>
      <c r="B112" s="66" t="n">
        <v>24108</v>
      </c>
      <c r="C112" s="61">
        <f>(DATE(2026,9,30)-B112)/365.25</f>
        <v/>
      </c>
    </row>
    <row r="113">
      <c r="A113" s="9" t="inlineStr">
        <is>
          <t>20202476100</t>
        </is>
      </c>
      <c r="B113" s="66" t="n">
        <v>24155</v>
      </c>
      <c r="C113" s="61">
        <f>(DATE(2026,9,30)-B113)/365.25</f>
        <v/>
      </c>
    </row>
    <row r="114">
      <c r="A114" s="9" t="inlineStr">
        <is>
          <t>20202467083</t>
        </is>
      </c>
      <c r="B114" s="66" t="n">
        <v>24694</v>
      </c>
      <c r="C114" s="61">
        <f>(DATE(2026,9,30)-B114)/365.25</f>
        <v/>
      </c>
    </row>
    <row r="115">
      <c r="A115" s="9" t="inlineStr">
        <is>
          <t>20202313386</t>
        </is>
      </c>
      <c r="B115" s="66" t="n">
        <v>24758</v>
      </c>
      <c r="C115" s="61">
        <f>(DATE(2026,9,30)-B115)/365.25</f>
        <v/>
      </c>
    </row>
    <row r="116">
      <c r="A116" s="9" t="inlineStr">
        <is>
          <t>20202374483</t>
        </is>
      </c>
      <c r="B116" s="66" t="n">
        <v>24640</v>
      </c>
      <c r="C116" s="61">
        <f>(DATE(2026,9,30)-B116)/365.25</f>
        <v/>
      </c>
    </row>
    <row r="117">
      <c r="A117" s="9" t="inlineStr">
        <is>
          <t>20202281498</t>
        </is>
      </c>
      <c r="B117" s="66" t="n">
        <v>24711</v>
      </c>
      <c r="C117" s="61">
        <f>(DATE(2026,9,30)-B117)/365.25</f>
        <v/>
      </c>
    </row>
    <row r="118">
      <c r="A118" s="9" t="inlineStr">
        <is>
          <t>20202281922</t>
        </is>
      </c>
      <c r="B118" s="66" t="n">
        <v>24796</v>
      </c>
      <c r="C118" s="61">
        <f>(DATE(2026,9,30)-B118)/365.25</f>
        <v/>
      </c>
    </row>
    <row r="119">
      <c r="A119" s="9" t="inlineStr">
        <is>
          <t>20202499039</t>
        </is>
      </c>
      <c r="B119" s="66" t="n">
        <v>24571</v>
      </c>
      <c r="C119" s="61">
        <f>(DATE(2026,9,30)-B119)/365.25</f>
        <v/>
      </c>
    </row>
    <row r="120">
      <c r="A120" s="9" t="inlineStr">
        <is>
          <t>20202407121</t>
        </is>
      </c>
      <c r="B120" s="66" t="n">
        <v>24500</v>
      </c>
      <c r="C120" s="61">
        <f>(DATE(2026,9,30)-B120)/365.25</f>
        <v/>
      </c>
    </row>
    <row r="121">
      <c r="A121" s="9" t="inlineStr">
        <is>
          <t>20202279002</t>
        </is>
      </c>
      <c r="B121" s="66" t="n">
        <v>24546</v>
      </c>
      <c r="C121" s="61">
        <f>(DATE(2026,9,30)-B121)/365.25</f>
        <v/>
      </c>
    </row>
    <row r="122">
      <c r="A122" s="9" t="inlineStr">
        <is>
          <t>20202482385</t>
        </is>
      </c>
      <c r="B122" s="66" t="n">
        <v>24582</v>
      </c>
      <c r="C122" s="61">
        <f>(DATE(2026,9,30)-B122)/365.25</f>
        <v/>
      </c>
    </row>
    <row r="123">
      <c r="A123" s="9" t="inlineStr">
        <is>
          <t>20202483417</t>
        </is>
      </c>
      <c r="B123" s="66" t="n">
        <v>24561</v>
      </c>
      <c r="C123" s="61">
        <f>(DATE(2026,9,30)-B123)/365.25</f>
        <v/>
      </c>
    </row>
    <row r="124">
      <c r="A124" s="9" t="inlineStr">
        <is>
          <t>20202437056</t>
        </is>
      </c>
      <c r="B124" s="66" t="n">
        <v>24634</v>
      </c>
      <c r="C124" s="61">
        <f>(DATE(2026,9,30)-B124)/365.25</f>
        <v/>
      </c>
    </row>
    <row r="125">
      <c r="A125" s="9" t="inlineStr">
        <is>
          <t>20202286815</t>
        </is>
      </c>
      <c r="B125" s="66" t="n">
        <v>24613</v>
      </c>
      <c r="C125" s="61">
        <f>(DATE(2026,9,30)-B125)/365.25</f>
        <v/>
      </c>
    </row>
    <row r="126">
      <c r="A126" s="9" t="inlineStr">
        <is>
          <t>20202350513</t>
        </is>
      </c>
      <c r="B126" s="66" t="n">
        <v>24814</v>
      </c>
      <c r="C126" s="61">
        <f>(DATE(2026,9,30)-B126)/365.25</f>
        <v/>
      </c>
    </row>
    <row r="127">
      <c r="A127" s="9" t="inlineStr">
        <is>
          <t>20202404818</t>
        </is>
      </c>
      <c r="B127" s="66" t="n">
        <v>24826</v>
      </c>
      <c r="C127" s="61">
        <f>(DATE(2026,9,30)-B127)/365.25</f>
        <v/>
      </c>
    </row>
    <row r="128">
      <c r="A128" s="9" t="inlineStr">
        <is>
          <t>20202342795</t>
        </is>
      </c>
      <c r="B128" s="66" t="n">
        <v>24473</v>
      </c>
      <c r="C128" s="61">
        <f>(DATE(2026,9,30)-B128)/365.25</f>
        <v/>
      </c>
    </row>
    <row r="129">
      <c r="A129" s="9" t="inlineStr">
        <is>
          <t>2013213176</t>
        </is>
      </c>
      <c r="B129" s="66" t="n">
        <v>18264</v>
      </c>
      <c r="C129" s="61">
        <f>(DATE(2026,9,30)-B129)/365.25</f>
        <v/>
      </c>
    </row>
    <row r="130">
      <c r="A130" s="9" t="inlineStr">
        <is>
          <t>2013245800</t>
        </is>
      </c>
      <c r="B130" s="66" t="n">
        <v>16049</v>
      </c>
      <c r="C130" s="61">
        <f>(DATE(2026,9,30)-B130)/365.25</f>
        <v/>
      </c>
    </row>
    <row r="131">
      <c r="A131" s="9" t="inlineStr">
        <is>
          <t>2013239187</t>
        </is>
      </c>
      <c r="B131" s="66" t="n">
        <v>19360</v>
      </c>
      <c r="C131" s="61">
        <f>(DATE(2026,9,30)-B131)/365.25</f>
        <v/>
      </c>
    </row>
    <row r="132">
      <c r="A132" s="9" t="inlineStr">
        <is>
          <t>2013214302</t>
        </is>
      </c>
      <c r="B132" s="66" t="n">
        <v>20090</v>
      </c>
      <c r="C132" s="61">
        <f>(DATE(2026,9,30)-B132)/365.25</f>
        <v/>
      </c>
    </row>
    <row r="133">
      <c r="A133" s="9" t="inlineStr">
        <is>
          <t>2014200281</t>
        </is>
      </c>
      <c r="B133" s="66" t="n">
        <v>20455</v>
      </c>
      <c r="C133" s="61">
        <f>(DATE(2026,9,30)-B133)/365.25</f>
        <v/>
      </c>
    </row>
    <row r="134">
      <c r="A134" s="9" t="inlineStr">
        <is>
          <t>2013246040</t>
        </is>
      </c>
      <c r="B134" s="66" t="n">
        <v>21119</v>
      </c>
      <c r="C134" s="61">
        <f>(DATE(2026,9,30)-B134)/365.25</f>
        <v/>
      </c>
    </row>
    <row r="135">
      <c r="A135" s="9" t="inlineStr">
        <is>
          <t>2014203317</t>
        </is>
      </c>
      <c r="B135" s="66" t="n">
        <v>21228</v>
      </c>
      <c r="C135" s="61">
        <f>(DATE(2026,9,30)-B135)/365.25</f>
        <v/>
      </c>
    </row>
    <row r="136">
      <c r="A136" s="9" t="inlineStr">
        <is>
          <t>2013215488</t>
        </is>
      </c>
      <c r="B136" s="66" t="n">
        <v>18264</v>
      </c>
      <c r="C136" s="61">
        <f>(DATE(2026,9,30)-B136)/365.25</f>
        <v/>
      </c>
    </row>
    <row r="137">
      <c r="A137" s="9" t="inlineStr">
        <is>
          <t>2016100609</t>
        </is>
      </c>
      <c r="B137" s="66" t="n">
        <v>22080</v>
      </c>
      <c r="C137" s="61">
        <f>(DATE(2026,9,30)-B137)/365.25</f>
        <v/>
      </c>
    </row>
    <row r="138">
      <c r="A138" s="9" t="inlineStr">
        <is>
          <t>2014203489</t>
        </is>
      </c>
      <c r="B138" s="66" t="n">
        <v>21186</v>
      </c>
      <c r="C138" s="61">
        <f>(DATE(2026,9,30)-B138)/365.25</f>
        <v/>
      </c>
    </row>
    <row r="139">
      <c r="A139" s="9" t="inlineStr">
        <is>
          <t>2017261134</t>
        </is>
      </c>
      <c r="B139" s="66" t="n">
        <v>22554</v>
      </c>
      <c r="C139" s="61">
        <f>(DATE(2026,9,30)-B139)/365.25</f>
        <v/>
      </c>
    </row>
    <row r="140">
      <c r="A140" s="9" t="inlineStr">
        <is>
          <t>2016200134</t>
        </is>
      </c>
      <c r="B140" s="66" t="n">
        <v>21878</v>
      </c>
      <c r="C140" s="61">
        <f>(DATE(2026,9,30)-B140)/365.25</f>
        <v/>
      </c>
    </row>
    <row r="141">
      <c r="A141" s="9" t="inlineStr">
        <is>
          <t>2017201798</t>
        </is>
      </c>
      <c r="B141" s="66" t="n">
        <v>22490</v>
      </c>
      <c r="C141" s="61">
        <f>(DATE(2026,9,30)-B141)/365.25</f>
        <v/>
      </c>
    </row>
    <row r="142">
      <c r="A142" s="9" t="inlineStr">
        <is>
          <t>2017200324</t>
        </is>
      </c>
      <c r="B142" s="66" t="n">
        <v>22629</v>
      </c>
      <c r="C142" s="61">
        <f>(DATE(2026,9,30)-B142)/365.25</f>
        <v/>
      </c>
    </row>
    <row r="143">
      <c r="A143" s="9" t="inlineStr">
        <is>
          <t>2014203344</t>
        </is>
      </c>
      <c r="B143" s="66" t="n">
        <v>21551</v>
      </c>
      <c r="C143" s="61">
        <f>(DATE(2026,9,30)-B143)/365.25</f>
        <v/>
      </c>
    </row>
    <row r="144">
      <c r="A144" s="9" t="inlineStr">
        <is>
          <t>2013214497</t>
        </is>
      </c>
      <c r="B144" s="66" t="n">
        <v>20821</v>
      </c>
      <c r="C144" s="61">
        <f>(DATE(2026,9,30)-B144)/365.25</f>
        <v/>
      </c>
    </row>
    <row r="145">
      <c r="A145" s="9" t="inlineStr">
        <is>
          <t>2016202328</t>
        </is>
      </c>
      <c r="B145" s="66" t="n">
        <v>22199</v>
      </c>
      <c r="C145" s="61">
        <f>(DATE(2026,9,30)-B145)/365.25</f>
        <v/>
      </c>
    </row>
    <row r="146">
      <c r="A146" s="9" t="inlineStr">
        <is>
          <t>2017257859</t>
        </is>
      </c>
      <c r="B146" s="66" t="n">
        <v>21187</v>
      </c>
      <c r="C146" s="61">
        <f>(DATE(2026,9,30)-B146)/365.25</f>
        <v/>
      </c>
    </row>
    <row r="147">
      <c r="A147" s="9" t="inlineStr">
        <is>
          <t>2016202436</t>
        </is>
      </c>
      <c r="B147" s="66" t="n">
        <v>21916</v>
      </c>
      <c r="C147" s="61">
        <f>(DATE(2026,9,30)-B147)/365.25</f>
        <v/>
      </c>
    </row>
    <row r="148">
      <c r="A148" s="9" t="inlineStr">
        <is>
          <t>2014204073</t>
        </is>
      </c>
      <c r="B148" s="66" t="n">
        <v>21653</v>
      </c>
      <c r="C148" s="61">
        <f>(DATE(2026,9,30)-B148)/365.25</f>
        <v/>
      </c>
    </row>
    <row r="149">
      <c r="A149" s="9" t="inlineStr">
        <is>
          <t>2017200307</t>
        </is>
      </c>
      <c r="B149" s="66" t="n">
        <v>22282</v>
      </c>
      <c r="C149" s="61">
        <f>(DATE(2026,9,30)-B149)/365.25</f>
        <v/>
      </c>
    </row>
    <row r="150">
      <c r="A150" s="9" t="inlineStr">
        <is>
          <t>2017201563</t>
        </is>
      </c>
      <c r="B150" s="66" t="n">
        <v>22460</v>
      </c>
      <c r="C150" s="61">
        <f>(DATE(2026,9,30)-B150)/365.25</f>
        <v/>
      </c>
    </row>
    <row r="151">
      <c r="A151" s="27" t="inlineStr">
        <is>
          <t>Nombre et âge moyen</t>
        </is>
      </c>
      <c r="B151" s="30">
        <f>COUNTA(A46:A150)</f>
        <v/>
      </c>
      <c r="C151" s="67">
        <f>AVERAGE(C46:C150)</f>
        <v/>
      </c>
    </row>
  </sheetData>
  <mergeCells count="7">
    <mergeCell ref="B3:D3"/>
    <mergeCell ref="B5:D5"/>
    <mergeCell ref="B8:D8"/>
    <mergeCell ref="B4:D4"/>
    <mergeCell ref="B7:D7"/>
    <mergeCell ref="B6:D6"/>
    <mergeCell ref="A44:D44"/>
  </mergeCells>
  <pageMargins left="0.75" right="0.75" top="1" bottom="1" header="0.5" footer="0.5"/>
  <pageSetup orientation="landscape" fitToHeight="0" fitToWidth="1"/>
</worksheet>
</file>

<file path=xl/worksheets/sheet69.xml><?xml version="1.0" encoding="utf-8"?>
<worksheet xmlns="http://schemas.openxmlformats.org/spreadsheetml/2006/main">
  <sheetPr>
    <tabColor rgb="00EFAC62"/>
    <outlinePr summaryBelow="1" summaryRight="1"/>
    <pageSetUpPr fitToPage="1"/>
  </sheetPr>
  <dimension ref="A1:F22"/>
  <sheetViews>
    <sheetView showGridLines="0" workbookViewId="0">
      <selection activeCell="A1" sqref="A1"/>
    </sheetView>
  </sheetViews>
  <sheetFormatPr baseColWidth="8" defaultRowHeight="15"/>
  <cols>
    <col width="14" customWidth="1" min="1" max="1"/>
    <col width="22" customWidth="1" min="2" max="2"/>
    <col width="12" customWidth="1" min="3" max="3"/>
    <col width="18" customWidth="1" min="4" max="4"/>
    <col width="12" customWidth="1" min="5" max="5"/>
    <col width="18" customWidth="1" min="6" max="6"/>
  </cols>
  <sheetData>
    <row r="1">
      <c r="A1" s="5" t="inlineStr">
        <is>
          <t>Prêts du Grenier : dépréciation selon sa propre politique de crédit</t>
        </is>
      </c>
    </row>
    <row r="2"/>
    <row r="3" ht="25" customHeight="1">
      <c r="A3" s="25" t="inlineStr">
        <is>
          <t>À quoi sert cet onglet</t>
        </is>
      </c>
      <c r="B3" s="26" t="inlineStr">
        <is>
          <t>Calculer la perte probable sur les prêts en retard, avec les taux fixés par la politique de crédit du Grenier.</t>
        </is>
      </c>
    </row>
    <row r="4" ht="37.5" customHeight="1">
      <c r="A4" s="25" t="inlineStr">
        <is>
          <t>D'où viennent les chiffres</t>
        </is>
      </c>
      <c r="B4" s="26" t="inlineStr">
        <is>
          <t>Balances âgées du logiciel de prêts du Grenier reçues le 15/10/2026 (arrêtés du 31/12/2025 et du 31/08/2026) ; « POLITIK DE CREDIT DU GRENIER VFVF.doc », chapitre XI.3 : 40 % de 3 à 6 mois de retard, 80 % de 6 à 12 mois, 100 % de 12 à 24 mois.</t>
        </is>
      </c>
    </row>
    <row r="5" ht="37.5" customHeight="1">
      <c r="A5" s="25" t="inlineStr">
        <is>
          <t>Comment le calcul est fait</t>
        </is>
      </c>
      <c r="B5" s="26" t="inlineStr">
        <is>
          <t>Dépréciation = encours de la tranche de retard × taux de la politique. Les tranches du logiciel (91 à 180 jours, 181 à 365 jours, plus de 365 jours) correspondent aux trois paliers.</t>
        </is>
      </c>
    </row>
    <row r="6" ht="25" customHeight="1">
      <c r="A6" s="25" t="inlineStr">
        <is>
          <t>Comment lire le résultat</t>
        </is>
      </c>
      <c r="B6" s="26" t="inlineStr">
        <is>
          <t>Le total est le montant que le FPPN aurait dû constater en perte probable. Les comptes ne portent aucune dépréciation des prêts.</t>
        </is>
      </c>
    </row>
    <row r="7" ht="15" customHeight="1">
      <c r="A7" s="25" t="inlineStr">
        <is>
          <t>Valable pour</t>
        </is>
      </c>
      <c r="B7" s="26" t="inlineStr">
        <is>
          <t>Prêts du Grenier aux arrêtés du 31/12/2025 et du 31/08/2026.</t>
        </is>
      </c>
    </row>
    <row r="8" ht="25" customHeight="1">
      <c r="A8" s="25" t="inlineStr">
        <is>
          <t>Limites</t>
        </is>
      </c>
      <c r="B8" s="26" t="inlineStr">
        <is>
          <t>Les tranches du logiciel sont en jours de retard sur l'échéance la plus ancienne ; la politique parle de créance impayée « de plus de 3 mois », mesure voisine.</t>
        </is>
      </c>
    </row>
    <row r="9"/>
    <row r="10" ht="30" customHeight="1">
      <c r="A10" s="8" t="inlineStr">
        <is>
          <t>Arrêté</t>
        </is>
      </c>
      <c r="B10" s="8" t="inlineStr">
        <is>
          <t>Tranche de retard</t>
        </is>
      </c>
      <c r="C10" s="8" t="inlineStr">
        <is>
          <t>Prêts</t>
        </is>
      </c>
      <c r="D10" s="8" t="inlineStr">
        <is>
          <t>Encours</t>
        </is>
      </c>
      <c r="E10" s="8" t="inlineStr">
        <is>
          <t>Taux de la politique</t>
        </is>
      </c>
      <c r="F10" s="8" t="inlineStr">
        <is>
          <t>Dépréciation</t>
        </is>
      </c>
    </row>
    <row r="11">
      <c r="A11" s="9" t="inlineStr">
        <is>
          <t>2025-12-31</t>
        </is>
      </c>
      <c r="B11" s="9" t="inlineStr">
        <is>
          <t>À jour</t>
        </is>
      </c>
      <c r="C11" s="34" t="n">
        <v>672</v>
      </c>
      <c r="D11" s="58" t="n">
        <v>232132444</v>
      </c>
      <c r="E11" s="53" t="n">
        <v>0</v>
      </c>
      <c r="F11" s="58">
        <f>D11*E11</f>
        <v/>
      </c>
    </row>
    <row r="12">
      <c r="A12" s="9" t="inlineStr">
        <is>
          <t>2025-12-31</t>
        </is>
      </c>
      <c r="B12" s="9" t="inlineStr">
        <is>
          <t>1 à 30 jours</t>
        </is>
      </c>
      <c r="C12" s="34" t="n">
        <v>1793</v>
      </c>
      <c r="D12" s="58" t="n">
        <v>566005320</v>
      </c>
      <c r="E12" s="53" t="n">
        <v>0</v>
      </c>
      <c r="F12" s="58">
        <f>D12*E12</f>
        <v/>
      </c>
    </row>
    <row r="13">
      <c r="A13" s="9" t="inlineStr">
        <is>
          <t>2025-12-31</t>
        </is>
      </c>
      <c r="B13" s="9" t="inlineStr">
        <is>
          <t>31 à 90 jours</t>
        </is>
      </c>
      <c r="C13" s="34" t="n">
        <v>94</v>
      </c>
      <c r="D13" s="58" t="n">
        <v>24441213</v>
      </c>
      <c r="E13" s="53" t="n">
        <v>0</v>
      </c>
      <c r="F13" s="58">
        <f>D13*E13</f>
        <v/>
      </c>
    </row>
    <row r="14">
      <c r="A14" s="9" t="inlineStr">
        <is>
          <t>2025-12-31</t>
        </is>
      </c>
      <c r="B14" s="9" t="inlineStr">
        <is>
          <t>91 à 180 jours</t>
        </is>
      </c>
      <c r="C14" s="34" t="n">
        <v>21</v>
      </c>
      <c r="D14" s="58" t="n">
        <v>2683220</v>
      </c>
      <c r="E14" s="53" t="n">
        <v>0.4</v>
      </c>
      <c r="F14" s="58">
        <f>D14*E14</f>
        <v/>
      </c>
    </row>
    <row r="15">
      <c r="A15" s="9" t="inlineStr">
        <is>
          <t>2025-12-31</t>
        </is>
      </c>
      <c r="B15" s="9" t="inlineStr">
        <is>
          <t>181 à 365 jours</t>
        </is>
      </c>
      <c r="C15" s="34" t="n">
        <v>22</v>
      </c>
      <c r="D15" s="58" t="n">
        <v>3441406</v>
      </c>
      <c r="E15" s="53" t="n">
        <v>0.8</v>
      </c>
      <c r="F15" s="58">
        <f>D15*E15</f>
        <v/>
      </c>
    </row>
    <row r="16">
      <c r="A16" s="9" t="inlineStr">
        <is>
          <t>2025-12-31</t>
        </is>
      </c>
      <c r="B16" s="9" t="inlineStr">
        <is>
          <t>Plus de 365 jours</t>
        </is>
      </c>
      <c r="C16" s="34" t="n">
        <v>7</v>
      </c>
      <c r="D16" s="58" t="n">
        <v>919716</v>
      </c>
      <c r="E16" s="53" t="n">
        <v>1</v>
      </c>
      <c r="F16" s="58">
        <f>D16*E16</f>
        <v/>
      </c>
    </row>
    <row r="17">
      <c r="A17" s="9" t="inlineStr">
        <is>
          <t>2026-08-31</t>
        </is>
      </c>
      <c r="B17" s="9" t="inlineStr">
        <is>
          <t>À jour</t>
        </is>
      </c>
      <c r="C17" s="34" t="n">
        <v>2793</v>
      </c>
      <c r="D17" s="58" t="n">
        <v>1018427306</v>
      </c>
      <c r="E17" s="53" t="n">
        <v>0</v>
      </c>
      <c r="F17" s="58">
        <f>D17*E17</f>
        <v/>
      </c>
    </row>
    <row r="18">
      <c r="A18" s="9" t="inlineStr">
        <is>
          <t>2026-08-31</t>
        </is>
      </c>
      <c r="B18" s="9" t="inlineStr">
        <is>
          <t>1 à 30 jours</t>
        </is>
      </c>
      <c r="C18" s="34" t="n">
        <v>16</v>
      </c>
      <c r="D18" s="58" t="n">
        <v>6712196</v>
      </c>
      <c r="E18" s="53" t="n">
        <v>0</v>
      </c>
      <c r="F18" s="58">
        <f>D18*E18</f>
        <v/>
      </c>
    </row>
    <row r="19">
      <c r="A19" s="9" t="inlineStr">
        <is>
          <t>2026-08-31</t>
        </is>
      </c>
      <c r="B19" s="9" t="inlineStr">
        <is>
          <t>31 à 90 jours</t>
        </is>
      </c>
      <c r="C19" s="34" t="n">
        <v>7</v>
      </c>
      <c r="D19" s="58" t="n">
        <v>1317345</v>
      </c>
      <c r="E19" s="53" t="n">
        <v>0</v>
      </c>
      <c r="F19" s="58">
        <f>D19*E19</f>
        <v/>
      </c>
    </row>
    <row r="20">
      <c r="A20" s="9" t="inlineStr">
        <is>
          <t>2026-08-31</t>
        </is>
      </c>
      <c r="B20" s="9" t="inlineStr">
        <is>
          <t>91 à 180 jours</t>
        </is>
      </c>
      <c r="C20" s="34" t="n">
        <v>17</v>
      </c>
      <c r="D20" s="58" t="n">
        <v>3018448</v>
      </c>
      <c r="E20" s="53" t="n">
        <v>0.4</v>
      </c>
      <c r="F20" s="58">
        <f>D20*E20</f>
        <v/>
      </c>
    </row>
    <row r="21">
      <c r="A21" s="9" t="inlineStr">
        <is>
          <t>2026-08-31</t>
        </is>
      </c>
      <c r="B21" s="9" t="inlineStr">
        <is>
          <t>181 à 365 jours</t>
        </is>
      </c>
      <c r="C21" s="34" t="n">
        <v>99</v>
      </c>
      <c r="D21" s="58" t="n">
        <v>10088997</v>
      </c>
      <c r="E21" s="53" t="n">
        <v>0.8</v>
      </c>
      <c r="F21" s="58">
        <f>D21*E21</f>
        <v/>
      </c>
    </row>
    <row r="22">
      <c r="A22" s="9" t="inlineStr">
        <is>
          <t>2026-08-31</t>
        </is>
      </c>
      <c r="B22" s="9" t="inlineStr">
        <is>
          <t>Plus de 365 jours</t>
        </is>
      </c>
      <c r="C22" s="34" t="n">
        <v>27</v>
      </c>
      <c r="D22" s="58" t="n">
        <v>4737815</v>
      </c>
      <c r="E22" s="53" t="n">
        <v>1</v>
      </c>
      <c r="F22" s="58">
        <f>D22*E22</f>
        <v/>
      </c>
    </row>
  </sheetData>
  <mergeCells count="6">
    <mergeCell ref="B4:F4"/>
    <mergeCell ref="B7:F7"/>
    <mergeCell ref="B6:F6"/>
    <mergeCell ref="B3:F3"/>
    <mergeCell ref="B5:F5"/>
    <mergeCell ref="B8:F8"/>
  </mergeCells>
  <pageMargins left="0.75" right="0.75" top="1" bottom="1" header="0.5" footer="0.5"/>
  <pageSetup orientation="landscape" fitToHeight="0" fitToWidth="1"/>
</worksheet>
</file>

<file path=xl/worksheets/sheet70.xml><?xml version="1.0" encoding="utf-8"?>
<worksheet xmlns="http://schemas.openxmlformats.org/spreadsheetml/2006/main">
  <sheetPr>
    <tabColor rgb="00EFAC62"/>
    <outlinePr summaryBelow="1" summaryRight="1"/>
    <pageSetUpPr fitToPage="1"/>
  </sheetPr>
  <dimension ref="A1:G16"/>
  <sheetViews>
    <sheetView showGridLines="0" workbookViewId="0">
      <selection activeCell="A1" sqref="A1"/>
    </sheetView>
  </sheetViews>
  <sheetFormatPr baseColWidth="8" defaultRowHeight="15"/>
  <cols>
    <col width="12" customWidth="1" min="1" max="1"/>
    <col width="18" customWidth="1" min="2" max="2"/>
    <col width="18" customWidth="1" min="3" max="3"/>
    <col width="18" customWidth="1" min="4" max="4"/>
    <col width="14" customWidth="1" min="5" max="5"/>
    <col width="14" customWidth="1" min="6" max="6"/>
    <col width="14" customWidth="1" min="7" max="7"/>
  </cols>
  <sheetData>
    <row r="1">
      <c r="A1" s="5" t="inlineStr">
        <is>
          <t>Adossement : à quel rythme l'épargne sort-elle ?</t>
        </is>
      </c>
    </row>
    <row r="2"/>
    <row r="3" ht="25" customHeight="1">
      <c r="A3" s="25" t="inlineStr">
        <is>
          <t>À quoi sert cet onglet</t>
        </is>
      </c>
      <c r="B3" s="26" t="inlineStr">
        <is>
          <t>L'épargne n'a pas d'échéancier. On mesure la part de l'épargne qui sort chaque année (remboursements, règlements EFC, rachats) pour estimer ce qui sortira dans l'année qui vient.</t>
        </is>
      </c>
    </row>
    <row r="4" ht="50" customHeight="1">
      <c r="A4" s="25" t="inlineStr">
        <is>
          <t>D'où viennent les chiffres</t>
        </is>
      </c>
      <c r="B4" s="26" t="inlineStr">
        <is>
          <t>Débits et soldes des comptes 41195100 (PEP) et 41195200 (EFC) : balances des comptes du FPPN (Sage 100) : « BALANCE FORMAT EXCEL DE 09-2020 AU 31-12-2020.xlsx », « BALANCE FPPN FORMAT EXCEL DU 01-01-2021 AU 31-12-2026.xlsx » (exercice 2021), « BALANCE FPPN 2022.xlsx » à « BALANCE FPPN 2025.xlsx », « BALANCE FPPN DU 01-01-2026 AU 31-08-2026.xlsx » (provisoire).</t>
        </is>
      </c>
    </row>
    <row r="5" ht="37.5" customHeight="1">
      <c r="A5" s="25" t="inlineStr">
        <is>
          <t>Comment le calcul est fait</t>
        </is>
      </c>
      <c r="B5" s="26" t="inlineStr">
        <is>
          <t>Taux de sortie de l'année = sorties de l'année / épargne du début d'année. C'est la méthode de l'« écoulement conventionnel » utilisée pour les dépôts sans échéance (Vintzel, Gestion des risques bancaires, diapositives 33 à 36).</t>
        </is>
      </c>
    </row>
    <row r="6" ht="25" customHeight="1">
      <c r="A6" s="25" t="inlineStr">
        <is>
          <t>Comment lire le résultat</t>
        </is>
      </c>
      <c r="B6" s="26" t="inlineStr">
        <is>
          <t>Un taux de 20 % veut dire qu'un cinquième de l'épargne du début d'année est sorti dans l'année. La moyenne sert au scénario central, le maximum au test de résistance.</t>
        </is>
      </c>
    </row>
    <row r="7" ht="15" customHeight="1">
      <c r="A7" s="25" t="inlineStr">
        <is>
          <t>Valable pour</t>
        </is>
      </c>
      <c r="B7" s="26" t="inlineStr">
        <is>
          <t>Exercices 2021 à 2025 (années complètes).</t>
        </is>
      </c>
    </row>
    <row r="8" ht="25" customHeight="1">
      <c r="A8" s="25" t="inlineStr">
        <is>
          <t>Limites</t>
        </is>
      </c>
      <c r="B8" s="26" t="inlineStr">
        <is>
          <t>Le passé ne garantit pas l'avenir : une perte de confiance peut accélérer les retraits (Vintzel, diapositives 37 et 38).</t>
        </is>
      </c>
    </row>
    <row r="9"/>
    <row r="10" ht="30" customHeight="1">
      <c r="A10" s="8" t="inlineStr">
        <is>
          <t>Exercice</t>
        </is>
      </c>
      <c r="B10" s="8" t="inlineStr">
        <is>
          <t>Épargne du début</t>
        </is>
      </c>
      <c r="C10" s="8" t="inlineStr">
        <is>
          <t>Sorties de l'année</t>
        </is>
      </c>
      <c r="D10" s="8" t="inlineStr">
        <is>
          <t>Épargne de fin</t>
        </is>
      </c>
      <c r="E10" s="8" t="inlineStr">
        <is>
          <t>Taux de sortie PEP</t>
        </is>
      </c>
      <c r="F10" s="8" t="inlineStr">
        <is>
          <t>Taux de sortie EFC</t>
        </is>
      </c>
      <c r="G10" s="8" t="inlineStr">
        <is>
          <t>Taux de sortie total</t>
        </is>
      </c>
    </row>
    <row r="11">
      <c r="A11" s="34" t="n">
        <v>2021</v>
      </c>
      <c r="B11" s="58" t="n">
        <v>10828205640</v>
      </c>
      <c r="C11" s="58" t="n">
        <v>1652904458</v>
      </c>
      <c r="D11" s="58" t="n">
        <v>10147421276</v>
      </c>
      <c r="E11" s="40" t="n">
        <v>0.1772789248844481</v>
      </c>
      <c r="F11" s="40" t="n">
        <v>0.1002396257875964</v>
      </c>
      <c r="G11" s="40">
        <f>C11/B11</f>
        <v/>
      </c>
    </row>
    <row r="12">
      <c r="A12" s="34" t="n">
        <v>2022</v>
      </c>
      <c r="B12" s="58" t="n">
        <v>10147421276</v>
      </c>
      <c r="C12" s="58" t="n">
        <v>2317974441</v>
      </c>
      <c r="D12" s="58" t="n">
        <v>9364845293</v>
      </c>
      <c r="E12" s="40" t="n">
        <v>0.305528641933048</v>
      </c>
      <c r="F12" s="40" t="n">
        <v>0.09883380200313824</v>
      </c>
      <c r="G12" s="40">
        <f>C12/B12</f>
        <v/>
      </c>
    </row>
    <row r="13">
      <c r="A13" s="34" t="n">
        <v>2023</v>
      </c>
      <c r="B13" s="58" t="n">
        <v>9364845293</v>
      </c>
      <c r="C13" s="58" t="n">
        <v>2579886392</v>
      </c>
      <c r="D13" s="58" t="n">
        <v>9121576576</v>
      </c>
      <c r="E13" s="40" t="n">
        <v>0.4616845733538888</v>
      </c>
      <c r="F13" s="40" t="n">
        <v>0.070185144248847</v>
      </c>
      <c r="G13" s="40">
        <f>C13/B13</f>
        <v/>
      </c>
    </row>
    <row r="14">
      <c r="A14" s="34" t="n">
        <v>2024</v>
      </c>
      <c r="B14" s="58" t="n">
        <v>9121576576</v>
      </c>
      <c r="C14" s="58" t="n">
        <v>1634861234</v>
      </c>
      <c r="D14" s="58" t="n">
        <v>10785064432</v>
      </c>
      <c r="E14" s="40" t="n">
        <v>0.3344508888484473</v>
      </c>
      <c r="F14" s="40" t="n">
        <v>0.07986749355962967</v>
      </c>
      <c r="G14" s="40">
        <f>C14/B14</f>
        <v/>
      </c>
    </row>
    <row r="15">
      <c r="A15" s="34" t="n">
        <v>2025</v>
      </c>
      <c r="B15" s="58" t="n">
        <v>10785064432</v>
      </c>
      <c r="C15" s="58" t="n">
        <v>1358821103</v>
      </c>
      <c r="D15" s="58" t="n">
        <v>13814066964</v>
      </c>
      <c r="E15" s="40" t="n">
        <v>0.2360211319357501</v>
      </c>
      <c r="F15" s="40" t="n">
        <v>0.0653919062824901</v>
      </c>
      <c r="G15" s="40">
        <f>C15/B15</f>
        <v/>
      </c>
    </row>
    <row r="16">
      <c r="A16" s="64" t="inlineStr">
        <is>
          <t>Moyenne</t>
        </is>
      </c>
      <c r="B16" s="68" t="n"/>
      <c r="C16" s="68" t="n"/>
      <c r="D16" s="68" t="n"/>
      <c r="E16" s="40">
        <f>AVERAGE(E11:E15)</f>
        <v/>
      </c>
      <c r="F16" s="40">
        <f>AVERAGE(F11:F15)</f>
        <v/>
      </c>
      <c r="G16" s="40">
        <f>AVERAGE(G11:G15)</f>
        <v/>
      </c>
    </row>
  </sheetData>
  <mergeCells count="6">
    <mergeCell ref="B3:G3"/>
    <mergeCell ref="B5:G5"/>
    <mergeCell ref="B8:G8"/>
    <mergeCell ref="B4:G4"/>
    <mergeCell ref="B7:G7"/>
    <mergeCell ref="B6:G6"/>
  </mergeCells>
  <pageMargins left="0.75" right="0.75" top="1" bottom="1" header="0.5" footer="0.5"/>
  <pageSetup orientation="landscape" fitToHeight="0" fitToWidth="1"/>
</worksheet>
</file>

<file path=xl/worksheets/sheet71.xml><?xml version="1.0" encoding="utf-8"?>
<worksheet xmlns="http://schemas.openxmlformats.org/spreadsheetml/2006/main">
  <sheetPr>
    <tabColor rgb="00EFAC62"/>
    <outlinePr summaryBelow="1" summaryRight="1"/>
    <pageSetUpPr fitToPage="1"/>
  </sheetPr>
  <dimension ref="A1:E23"/>
  <sheetViews>
    <sheetView showGridLines="0" workbookViewId="0">
      <selection activeCell="A1" sqref="A1"/>
    </sheetView>
  </sheetViews>
  <sheetFormatPr baseColWidth="8" defaultRowHeight="15"/>
  <cols>
    <col width="24" customWidth="1" min="1" max="1"/>
    <col width="18" customWidth="1" min="2" max="2"/>
    <col width="18" customWidth="1" min="3" max="3"/>
    <col width="18" customWidth="1" min="4" max="4"/>
  </cols>
  <sheetData>
    <row r="1">
      <c r="A1" s="5" t="inlineStr">
        <is>
          <t>Adossement : l'argent disponible couvre-t-il ce qu'il faudra payer dans l'année ?</t>
        </is>
      </c>
    </row>
    <row r="2"/>
    <row r="3" ht="37.5" customHeight="1">
      <c r="A3" s="25" t="inlineStr">
        <is>
          <t>À quoi sert cet onglet</t>
        </is>
      </c>
      <c r="B3" s="26" t="inlineStr">
        <is>
          <t>Comparer l'actif disponible à moins d'un an et ce que le FPPN devra payer dans l'année : dettes à court terme et sorties d'épargne prévues.</t>
        </is>
      </c>
    </row>
    <row r="4" ht="37.5" customHeight="1">
      <c r="A4" s="25" t="inlineStr">
        <is>
          <t>D'où viennent les chiffres</t>
        </is>
      </c>
      <c r="B4" s="26" t="inlineStr">
        <is>
          <t>Classement des comptes du bilan par délai de mobilisation (onglet 10_actif_mobilisation) ; taux de sortie de l'onglet 24a.</t>
        </is>
      </c>
    </row>
    <row r="5" ht="162.5" customHeight="1">
      <c r="A5" s="25" t="inlineStr">
        <is>
          <t>Comment le calcul est fait</t>
        </is>
      </c>
      <c r="B5" s="26" t="inlineStr">
        <is>
          <t>Sorties d'épargne prévues = épargne × taux de sortie. Besoin d'un an = dettes à moins d'un an + sorties d'épargne prévues. Écart = actif à moins d'un an - besoin. Couverture = actif à moins d'un an / besoin. Trois scénarios : central (taux moyen), résistance (taux maximal observé), résistance sévère (taux maximal + pic de prestations maladie : hausse annuelle la plus forte observée en 2024 et 2025). Les hausses de 2021 à 2023 ne sont pas retenues : les prestations maladie comptabilisées en 2021 et 2022 (101 et 115 millions de FCFA pour 1,6 à 1,7 milliard de cotisations maladie) sont anormalement basses, alors que les factures de cliniques non payées dépassaient 500 millions ; la hausse de 2023 (+352 %) reflète ce rattrapage, pas un risque.</t>
        </is>
      </c>
    </row>
    <row r="6" ht="37.5" customHeight="1">
      <c r="A6" s="25" t="inlineStr">
        <is>
          <t>Comment lire le résultat</t>
        </is>
      </c>
      <c r="B6" s="26" t="inlineStr">
        <is>
          <t>Une couverture inférieure à 100 % signifie qu'il faudra vendre des actifs longs (terrains, clinique) ou utiliser les cotisations futures pour payer.</t>
        </is>
      </c>
    </row>
    <row r="7" ht="25" customHeight="1">
      <c r="A7" s="25" t="inlineStr">
        <is>
          <t>Valable pour</t>
        </is>
      </c>
      <c r="B7" s="26" t="inlineStr">
        <is>
          <t>Bilans au 31/12/2025 et au 31/08/2026 (balance provisoire).</t>
        </is>
      </c>
    </row>
    <row r="8" ht="25" customHeight="1">
      <c r="A8" s="25" t="inlineStr">
        <is>
          <t>Limites</t>
        </is>
      </c>
      <c r="B8" s="26" t="inlineStr">
        <is>
          <t>Les dettes à moins d'un an et les actifs sont classés d'après leur nature comptable, sans échéancier contractuel.</t>
        </is>
      </c>
    </row>
    <row r="9"/>
    <row r="10" ht="30" customHeight="1">
      <c r="A10" s="8" t="inlineStr">
        <is>
          <t>Clôture</t>
        </is>
      </c>
      <c r="B10" s="8" t="inlineStr">
        <is>
          <t>Actif à moins d'un an</t>
        </is>
      </c>
      <c r="C10" s="8" t="inlineStr">
        <is>
          <t>Dettes à moins d'un an</t>
        </is>
      </c>
      <c r="D10" s="8" t="inlineStr">
        <is>
          <t>Épargne due</t>
        </is>
      </c>
    </row>
    <row r="11">
      <c r="A11" s="9" t="inlineStr">
        <is>
          <t>31/12/2025</t>
        </is>
      </c>
      <c r="B11" s="58" t="n">
        <v>2715008827</v>
      </c>
      <c r="C11" s="58" t="n">
        <v>6535377593</v>
      </c>
      <c r="D11" s="58" t="n">
        <v>13814066964</v>
      </c>
    </row>
    <row r="12">
      <c r="A12" s="9" t="inlineStr">
        <is>
          <t>31/08/2026</t>
        </is>
      </c>
      <c r="B12" s="58" t="n">
        <v>3457866951</v>
      </c>
      <c r="C12" s="58" t="n">
        <v>7017736497</v>
      </c>
      <c r="D12" s="58" t="n">
        <v>15743516391</v>
      </c>
    </row>
    <row r="13"/>
    <row r="14">
      <c r="A14" s="50" t="inlineStr">
        <is>
          <t>Hausse maximale observée des prestations maladie (2024 et 2025)</t>
        </is>
      </c>
      <c r="B14" s="69" t="n">
        <v>1.035337329862893</v>
      </c>
    </row>
    <row r="15">
      <c r="A15" s="50" t="inlineStr">
        <is>
          <t>Prestations maladie 2025</t>
        </is>
      </c>
      <c r="B15" s="70" t="n">
        <v>1771635361</v>
      </c>
    </row>
    <row r="16"/>
    <row r="17" ht="30" customHeight="1">
      <c r="A17" s="8" t="inlineStr">
        <is>
          <t>Scénario</t>
        </is>
      </c>
      <c r="B17" s="8" t="inlineStr">
        <is>
          <t>Actif à moins d'un an</t>
        </is>
      </c>
      <c r="C17" s="8" t="inlineStr">
        <is>
          <t>Besoin de l'année</t>
        </is>
      </c>
      <c r="D17" s="8" t="inlineStr">
        <is>
          <t>Écart</t>
        </is>
      </c>
      <c r="E17" s="8" t="inlineStr">
        <is>
          <t>Couverture</t>
        </is>
      </c>
    </row>
    <row r="18">
      <c r="A18" s="9" t="inlineStr">
        <is>
          <t>31/12/2025 : Central (taux moyen)</t>
        </is>
      </c>
      <c r="B18" s="58">
        <f>B11</f>
        <v/>
      </c>
      <c r="C18" s="58">
        <f>C11+D11*'24a_ecoulement_epargne'!$G$16+0</f>
        <v/>
      </c>
      <c r="D18" s="58">
        <f>B18-C18</f>
        <v/>
      </c>
      <c r="E18" s="40">
        <f>B18/C18</f>
        <v/>
      </c>
    </row>
    <row r="19">
      <c r="A19" s="9" t="inlineStr">
        <is>
          <t>31/12/2025 : Résistance (taux maximal)</t>
        </is>
      </c>
      <c r="B19" s="58">
        <f>B11</f>
        <v/>
      </c>
      <c r="C19" s="58">
        <f>C11+D11*MAX('24a_ecoulement_epargne'!$G$11:$G$15)+0</f>
        <v/>
      </c>
      <c r="D19" s="58">
        <f>B19-C19</f>
        <v/>
      </c>
      <c r="E19" s="40">
        <f>B19/C19</f>
        <v/>
      </c>
    </row>
    <row r="20">
      <c r="A20" s="9" t="inlineStr">
        <is>
          <t>31/12/2025 : Résistance sévère (taux maximal et pic maladie)</t>
        </is>
      </c>
      <c r="B20" s="58">
        <f>B11</f>
        <v/>
      </c>
      <c r="C20" s="58">
        <f>C11+D11*MAX('24a_ecoulement_epargne'!$G$11:$G$15)+$B$15*$B$14</f>
        <v/>
      </c>
      <c r="D20" s="58">
        <f>B20-C20</f>
        <v/>
      </c>
      <c r="E20" s="40">
        <f>B20/C20</f>
        <v/>
      </c>
    </row>
    <row r="21">
      <c r="A21" s="9" t="inlineStr">
        <is>
          <t>31/08/2026 : Central (taux moyen)</t>
        </is>
      </c>
      <c r="B21" s="58">
        <f>B12</f>
        <v/>
      </c>
      <c r="C21" s="58">
        <f>C12+D12*'24a_ecoulement_epargne'!$G$16+0</f>
        <v/>
      </c>
      <c r="D21" s="58">
        <f>B21-C21</f>
        <v/>
      </c>
      <c r="E21" s="40">
        <f>B21/C21</f>
        <v/>
      </c>
    </row>
    <row r="22">
      <c r="A22" s="9" t="inlineStr">
        <is>
          <t>31/08/2026 : Résistance (taux maximal)</t>
        </is>
      </c>
      <c r="B22" s="58">
        <f>B12</f>
        <v/>
      </c>
      <c r="C22" s="58">
        <f>C12+D12*MAX('24a_ecoulement_epargne'!$G$11:$G$15)+0</f>
        <v/>
      </c>
      <c r="D22" s="58">
        <f>B22-C22</f>
        <v/>
      </c>
      <c r="E22" s="40">
        <f>B22/C22</f>
        <v/>
      </c>
    </row>
    <row r="23">
      <c r="A23" s="9" t="inlineStr">
        <is>
          <t>31/08/2026 : Résistance sévère (taux maximal et pic maladie)</t>
        </is>
      </c>
      <c r="B23" s="58">
        <f>B12</f>
        <v/>
      </c>
      <c r="C23" s="58">
        <f>C12+D12*MAX('24a_ecoulement_epargne'!$G$11:$G$15)+$B$15*$B$14</f>
        <v/>
      </c>
      <c r="D23" s="58">
        <f>B23-C23</f>
        <v/>
      </c>
      <c r="E23" s="40">
        <f>B23/C23</f>
        <v/>
      </c>
    </row>
  </sheetData>
  <mergeCells count="6">
    <mergeCell ref="B3:D3"/>
    <mergeCell ref="B5:D5"/>
    <mergeCell ref="B8:D8"/>
    <mergeCell ref="B4:D4"/>
    <mergeCell ref="B7:D7"/>
    <mergeCell ref="B6:D6"/>
  </mergeCells>
  <pageMargins left="0.75" right="0.75" top="1" bottom="1" header="0.5" footer="0.5"/>
  <pageSetup orientation="landscape" fitToHeight="0" fitToWidth="1"/>
</worksheet>
</file>

<file path=xl/worksheets/sheet72.xml><?xml version="1.0" encoding="utf-8"?>
<worksheet xmlns="http://schemas.openxmlformats.org/spreadsheetml/2006/main">
  <sheetPr>
    <tabColor rgb="00EFAC62"/>
    <outlinePr summaryBelow="1" summaryRight="1"/>
    <pageSetUpPr fitToPage="1"/>
  </sheetPr>
  <dimension ref="A1:F26"/>
  <sheetViews>
    <sheetView showGridLines="0" workbookViewId="0">
      <selection activeCell="A1" sqref="A1"/>
    </sheetView>
  </sheetViews>
  <sheetFormatPr baseColWidth="8" defaultRowHeight="15"/>
  <cols>
    <col width="18" customWidth="1" min="1" max="1"/>
    <col width="20" customWidth="1" min="2" max="2"/>
    <col width="18" customWidth="1" min="3" max="3"/>
    <col width="18" customWidth="1" min="4" max="4"/>
    <col width="18" customWidth="1" min="5" max="5"/>
    <col width="18" customWidth="1" min="6" max="6"/>
  </cols>
  <sheetData>
    <row r="1">
      <c r="A1" s="5" t="inlineStr">
        <is>
          <t>Adossement : écarts de liquidité année par année (31/08/2026)</t>
        </is>
      </c>
    </row>
    <row r="2"/>
    <row r="3" ht="25" customHeight="1">
      <c r="A3" s="25" t="inlineStr">
        <is>
          <t>À quoi sert cet onglet</t>
        </is>
      </c>
      <c r="B3" s="26" t="inlineStr">
        <is>
          <t>Voir, année après année pendant cinq ans, si l'argent qui devient disponible suffit à payer les dettes et les sorties d'épargne prévues.</t>
        </is>
      </c>
    </row>
    <row r="4" ht="62.5" customHeight="1">
      <c r="A4" s="25" t="inlineStr">
        <is>
          <t>D'où viennent les chiffres</t>
        </is>
      </c>
      <c r="B4" s="26" t="inlineStr">
        <is>
          <t>Bilan au 31/08/2026 classé par délai de mobilisation (onglet 10_actif_mobilisation) ; taux de sortie moyen de l'onglet 24a ; balances des comptes du FPPN (Sage 100) : « BALANCE FORMAT EXCEL DE 09-2020 AU 31-12-2020.xlsx », « BALANCE FPPN FORMAT EXCEL DU 01-01-2021 AU 31-12-2026.xlsx » (exercice 2021), « BALANCE FPPN 2022.xlsx » à « BALANCE FPPN 2025.xlsx », « BALANCE FPPN DU 01-01-2026 AU 31-08-2026.xlsx » (provisoire).</t>
        </is>
      </c>
    </row>
    <row r="5" ht="75" customHeight="1">
      <c r="A5" s="25" t="inlineStr">
        <is>
          <t>Comment le calcul est fait</t>
        </is>
      </c>
      <c r="B5" s="26" t="inlineStr">
        <is>
          <t>Sorties d'épargne de l'année k = épargne × (1 - taux moyen) puissance (k - 1) × taux moyen : chaque année sort la même part de ce qui reste. Actifs disponibles : actifs à moins d'un an en année 1 ; actifs de 1 à 5 ans répartis à parts égales sur les années 2 à 5. Écart de l'année = actifs disponibles - dettes - sorties d'épargne. Écart cumulé = somme des écarts depuis l'année 1. Méthode de l'écart de liquidité statique (Gestion des risques bancaires, diapositives 86 et 87) : aucun nouveau versement n'est compté.</t>
        </is>
      </c>
    </row>
    <row r="6" ht="25" customHeight="1">
      <c r="A6" s="25" t="inlineStr">
        <is>
          <t>Comment lire le résultat</t>
        </is>
      </c>
      <c r="B6" s="26" t="inlineStr">
        <is>
          <t>Un écart cumulé négatif est l'argent qui manquerait si le FPPN ne recevait plus de nouveaux versements d'épargne ni d'excédents.</t>
        </is>
      </c>
    </row>
    <row r="7" ht="15" customHeight="1">
      <c r="A7" s="25" t="inlineStr">
        <is>
          <t>Valable pour</t>
        </is>
      </c>
      <c r="B7" s="26" t="inlineStr">
        <is>
          <t>Bilan provisoire au 31/08/2026 ; taux de sortie moyen observé de 2021 à 2025.</t>
        </is>
      </c>
    </row>
    <row r="8" ht="25" customHeight="1">
      <c r="A8" s="25" t="inlineStr">
        <is>
          <t>Limites</t>
        </is>
      </c>
      <c r="B8" s="26" t="inlineStr">
        <is>
          <t>Les actifs sont classés d'après leur nature comptable, sans échéancier contractuel ; la répartition des actifs de 1 à 5 ans à parts égales est une hypothèse (modifiable en orange).</t>
        </is>
      </c>
    </row>
    <row r="9"/>
    <row r="10">
      <c r="A10" s="63" t="inlineStr">
        <is>
          <t>Paramètres</t>
        </is>
      </c>
    </row>
    <row r="11" ht="30" customHeight="1">
      <c r="A11" s="8" t="inlineStr">
        <is>
          <t>Paramètre</t>
        </is>
      </c>
      <c r="B11" s="8" t="inlineStr">
        <is>
          <t>Valeur</t>
        </is>
      </c>
    </row>
    <row r="12">
      <c r="A12" s="9" t="inlineStr">
        <is>
          <t>Actifs à moins d'un an</t>
        </is>
      </c>
      <c r="B12" s="58" t="n">
        <v>3457866951</v>
      </c>
    </row>
    <row r="13">
      <c r="A13" s="9" t="inlineStr">
        <is>
          <t>Actifs de 1 à 5 ans</t>
        </is>
      </c>
      <c r="B13" s="58" t="n">
        <v>1297315010</v>
      </c>
    </row>
    <row r="14">
      <c r="A14" s="9" t="inlineStr">
        <is>
          <t>Actifs à plus de 5 ans ou délai incertain</t>
        </is>
      </c>
      <c r="B14" s="58" t="n">
        <v>17170238905</v>
      </c>
    </row>
    <row r="15">
      <c r="A15" s="9" t="inlineStr">
        <is>
          <t>Dettes à moins d'un an</t>
        </is>
      </c>
      <c r="B15" s="58" t="n">
        <v>7017736497</v>
      </c>
    </row>
    <row r="16">
      <c r="A16" s="9" t="inlineStr">
        <is>
          <t>Épargne due</t>
        </is>
      </c>
      <c r="B16" s="58" t="n">
        <v>15743516391</v>
      </c>
    </row>
    <row r="17">
      <c r="A17" s="9" t="inlineStr">
        <is>
          <t>Taux de sortie moyen</t>
        </is>
      </c>
      <c r="B17" s="40">
        <f>'24a_ecoulement_epargne'!$G$16</f>
        <v/>
      </c>
    </row>
    <row r="18">
      <c r="A18" s="9" t="inlineStr">
        <is>
          <t>Part des actifs de 1 à 5 ans disponible chaque année (années 2 à 5)</t>
        </is>
      </c>
      <c r="B18" s="53" t="n">
        <v>0.25</v>
      </c>
    </row>
    <row r="19"/>
    <row r="20" ht="30" customHeight="1">
      <c r="A20" s="8" t="inlineStr">
        <is>
          <t>Échéance</t>
        </is>
      </c>
      <c r="B20" s="8" t="inlineStr">
        <is>
          <t>Actifs disponibles</t>
        </is>
      </c>
      <c r="C20" s="8" t="inlineStr">
        <is>
          <t>Dettes à payer</t>
        </is>
      </c>
      <c r="D20" s="8" t="inlineStr">
        <is>
          <t>Sorties d'épargne</t>
        </is>
      </c>
      <c r="E20" s="8" t="inlineStr">
        <is>
          <t>Écart de l'année</t>
        </is>
      </c>
      <c r="F20" s="8" t="inlineStr">
        <is>
          <t>Écart cumulé</t>
        </is>
      </c>
    </row>
    <row r="21">
      <c r="A21" s="9" t="inlineStr">
        <is>
          <t>Année 1</t>
        </is>
      </c>
      <c r="B21" s="58">
        <f>$B$12</f>
        <v/>
      </c>
      <c r="C21" s="58">
        <f>$B$15</f>
        <v/>
      </c>
      <c r="D21" s="58">
        <f>$B$16*(1-$B$17)^(1-1)*$B$17</f>
        <v/>
      </c>
      <c r="E21" s="58">
        <f>B21-C21-D21</f>
        <v/>
      </c>
      <c r="F21" s="58">
        <f>E21</f>
        <v/>
      </c>
    </row>
    <row r="22">
      <c r="A22" s="9" t="inlineStr">
        <is>
          <t>Année 2</t>
        </is>
      </c>
      <c r="B22" s="58">
        <f>$B$13*$B$18</f>
        <v/>
      </c>
      <c r="C22" s="58" t="n">
        <v>0</v>
      </c>
      <c r="D22" s="58">
        <f>$B$16*(1-$B$17)^(2-1)*$B$17</f>
        <v/>
      </c>
      <c r="E22" s="58">
        <f>B22-C22-D22</f>
        <v/>
      </c>
      <c r="F22" s="58">
        <f>F21+E22</f>
        <v/>
      </c>
    </row>
    <row r="23">
      <c r="A23" s="9" t="inlineStr">
        <is>
          <t>Année 3</t>
        </is>
      </c>
      <c r="B23" s="58">
        <f>$B$13*$B$18</f>
        <v/>
      </c>
      <c r="C23" s="58" t="n">
        <v>0</v>
      </c>
      <c r="D23" s="58">
        <f>$B$16*(1-$B$17)^(3-1)*$B$17</f>
        <v/>
      </c>
      <c r="E23" s="58">
        <f>B23-C23-D23</f>
        <v/>
      </c>
      <c r="F23" s="58">
        <f>F22+E23</f>
        <v/>
      </c>
    </row>
    <row r="24">
      <c r="A24" s="9" t="inlineStr">
        <is>
          <t>Année 4</t>
        </is>
      </c>
      <c r="B24" s="58">
        <f>$B$13*$B$18</f>
        <v/>
      </c>
      <c r="C24" s="58" t="n">
        <v>0</v>
      </c>
      <c r="D24" s="58">
        <f>$B$16*(1-$B$17)^(4-1)*$B$17</f>
        <v/>
      </c>
      <c r="E24" s="58">
        <f>B24-C24-D24</f>
        <v/>
      </c>
      <c r="F24" s="58">
        <f>F23+E24</f>
        <v/>
      </c>
    </row>
    <row r="25">
      <c r="A25" s="9" t="inlineStr">
        <is>
          <t>Année 5</t>
        </is>
      </c>
      <c r="B25" s="58">
        <f>$B$13*$B$18</f>
        <v/>
      </c>
      <c r="C25" s="58" t="n">
        <v>0</v>
      </c>
      <c r="D25" s="58">
        <f>$B$16*(1-$B$17)^(5-1)*$B$17</f>
        <v/>
      </c>
      <c r="E25" s="58">
        <f>B25-C25-D25</f>
        <v/>
      </c>
      <c r="F25" s="58">
        <f>F24+E25</f>
        <v/>
      </c>
    </row>
    <row r="26">
      <c r="A26" s="9" t="inlineStr">
        <is>
          <t>Au-delà de 5 ans</t>
        </is>
      </c>
      <c r="B26" s="58">
        <f>$B$14</f>
        <v/>
      </c>
      <c r="C26" s="58" t="n">
        <v>0</v>
      </c>
      <c r="D26" s="58">
        <f>$B$16*(1-$B$17)^5</f>
        <v/>
      </c>
      <c r="E26" s="58">
        <f>B26-C26-D26</f>
        <v/>
      </c>
      <c r="F26" s="58">
        <f>F25+E26</f>
        <v/>
      </c>
    </row>
  </sheetData>
  <mergeCells count="6">
    <mergeCell ref="B4:F4"/>
    <mergeCell ref="B7:F7"/>
    <mergeCell ref="B6:F6"/>
    <mergeCell ref="B3:F3"/>
    <mergeCell ref="B5:F5"/>
    <mergeCell ref="B8:F8"/>
  </mergeCells>
  <pageMargins left="0.75" right="0.75" top="1" bottom="1" header="0.5" footer="0.5"/>
  <pageSetup orientation="landscape" fitToHeight="0" fitToWidth="1"/>
</worksheet>
</file>

<file path=xl/worksheets/sheet73.xml><?xml version="1.0" encoding="utf-8"?>
<worksheet xmlns="http://schemas.openxmlformats.org/spreadsheetml/2006/main">
  <sheetPr>
    <tabColor rgb="00EFAC62"/>
    <outlinePr summaryBelow="1" summaryRight="1"/>
    <pageSetUpPr fitToPage="1"/>
  </sheetPr>
  <dimension ref="A1:E33"/>
  <sheetViews>
    <sheetView showGridLines="0" workbookViewId="0">
      <selection activeCell="A1" sqref="A1"/>
    </sheetView>
  </sheetViews>
  <sheetFormatPr baseColWidth="8" defaultRowHeight="15"/>
  <cols>
    <col width="14" customWidth="1" min="1" max="1"/>
    <col width="18" customWidth="1" min="2" max="2"/>
    <col width="18" customWidth="1" min="3" max="3"/>
    <col width="18" customWidth="1" min="4" max="4"/>
    <col width="18" customWidth="1" min="5" max="5"/>
  </cols>
  <sheetData>
    <row r="1">
      <c r="A1" s="5" t="inlineStr">
        <is>
          <t>Projection agrégée de l'équilibre technique (2026 à 2030)</t>
        </is>
      </c>
    </row>
    <row r="2"/>
    <row r="3" ht="25" customHeight="1">
      <c r="A3" s="25" t="inlineStr">
        <is>
          <t>À quoi sert cet onglet</t>
        </is>
      </c>
      <c r="B3" s="26" t="inlineStr">
        <is>
          <t>Projeter, année par année, les cotisations, les prestations, les frais et le résultat technique, pour voir si le FPPN reste équilibré.</t>
        </is>
      </c>
    </row>
    <row r="4" ht="62.5" customHeight="1">
      <c r="A4" s="25" t="inlineStr">
        <is>
          <t>D'où viennent les chiffres</t>
        </is>
      </c>
      <c r="B4" s="26" t="inlineStr">
        <is>
          <t>Cotisations, prestations et frais de 2021 à 2025 : balances des comptes du FPPN (Sage 100) : « BALANCE FORMAT EXCEL DE 09-2020 AU 31-12-2020.xlsx », « BALANCE FPPN FORMAT EXCEL DU 01-01-2021 AU 31-12-2026.xlsx » (exercice 2021), « BALANCE FPPN 2022.xlsx » à « BALANCE FPPN 2025.xlsx », « BALANCE FPPN DU 01-01-2026 AU 31-08-2026.xlsx » (provisoire) (onglet 3_sinistralite_resultat).</t>
        </is>
      </c>
    </row>
    <row r="5" ht="75" customHeight="1">
      <c r="A5" s="25" t="inlineStr">
        <is>
          <t>Comment le calcul est fait</t>
        </is>
      </c>
      <c r="B5" s="26" t="inlineStr">
        <is>
          <t>Chaque poste de 2025 est multiplié chaque année par (1 + son taux de croissance annuel moyen). Scénario A, « tendance » : taux observés de 2023 à 2025, seule période où les prestations sont comparables (les prestations maladie de 2021 et 2022 sont anormalement basses, voir l'onglet 24b). Scénario B, « stabilisation » : les prestations croissent au même rythme que les cotisations. Résultat technique = cotisations - prestations - frais.</t>
        </is>
      </c>
    </row>
    <row r="6" ht="25" customHeight="1">
      <c r="A6" s="25" t="inlineStr">
        <is>
          <t>Comment lire le résultat</t>
        </is>
      </c>
      <c r="B6" s="26" t="inlineStr">
        <is>
          <t>Un résultat technique négatif signifie que les cotisations ne couvrent plus les prestations et les frais : il faut puiser dans les réserves.</t>
        </is>
      </c>
    </row>
    <row r="7" ht="25" customHeight="1">
      <c r="A7" s="25" t="inlineStr">
        <is>
          <t>Valable pour</t>
        </is>
      </c>
      <c r="B7" s="26" t="inlineStr">
        <is>
          <t>Garanties maladie et décès prises ensemble, tendances 2023 à 2025 prolongées (scénario A) ou prestations alignées sur les cotisations (scénario B).</t>
        </is>
      </c>
    </row>
    <row r="8" ht="112.5" customHeight="1">
      <c r="A8" s="25" t="inlineStr">
        <is>
          <t>Limites</t>
        </is>
      </c>
      <c r="B8" s="26" t="inlineStr">
        <is>
          <t>AVERTISSEMENT : la projection est seulement agrégée. Une projection actuarielle complète part de la population par âge, la fait vieillir d'un an chaque année, applique la mortalité (table CIMA) et les départs en retraite, puis calcule les cotisations et les prestations de chaque âge. Elle bloque dès la première étape : aucun fichier reçu ne donne la date de naissance des mutualistes (les précomptes et le fichier des effectifs ne portent que la date de recrutement). Sans âge, on ne peut ni faire vieillir la population, ni appliquer la mortalité, ni dater les départs en retraite et donc les versements de l'EFC. La projection prolonge donc les tendances passées, sans les expliquer.</t>
        </is>
      </c>
    </row>
    <row r="9"/>
    <row r="10">
      <c r="A10" s="63" t="inlineStr">
        <is>
          <t>Historique 2021 à 2025 et taux de croissance annuels moyens de 2023 à 2025</t>
        </is>
      </c>
    </row>
    <row r="11" ht="30" customHeight="1">
      <c r="A11" s="8" t="inlineStr">
        <is>
          <t>Exercice</t>
        </is>
      </c>
      <c r="B11" s="8" t="inlineStr">
        <is>
          <t>Cotisations</t>
        </is>
      </c>
      <c r="C11" s="8" t="inlineStr">
        <is>
          <t>Prestations</t>
        </is>
      </c>
      <c r="D11" s="8" t="inlineStr">
        <is>
          <t>Frais</t>
        </is>
      </c>
      <c r="E11" s="8" t="inlineStr">
        <is>
          <t>Résultat technique</t>
        </is>
      </c>
    </row>
    <row r="12">
      <c r="A12" s="34" t="n">
        <v>2021</v>
      </c>
      <c r="B12" s="58" t="n">
        <v>2416457818</v>
      </c>
      <c r="C12" s="58" t="n">
        <v>503309837</v>
      </c>
      <c r="D12" s="58" t="n">
        <v>961975477</v>
      </c>
      <c r="E12" s="58">
        <f>B12-C12-D12</f>
        <v/>
      </c>
    </row>
    <row r="13">
      <c r="A13" s="34" t="n">
        <v>2022</v>
      </c>
      <c r="B13" s="58" t="n">
        <v>2544462904</v>
      </c>
      <c r="C13" s="58" t="n">
        <v>231327773</v>
      </c>
      <c r="D13" s="58" t="n">
        <v>1020461388</v>
      </c>
      <c r="E13" s="58">
        <f>B13-C13-D13</f>
        <v/>
      </c>
    </row>
    <row r="14">
      <c r="A14" s="34" t="n">
        <v>2023</v>
      </c>
      <c r="B14" s="58" t="n">
        <v>2765491965</v>
      </c>
      <c r="C14" s="58" t="n">
        <v>662494362</v>
      </c>
      <c r="D14" s="58" t="n">
        <v>1039977199</v>
      </c>
      <c r="E14" s="58">
        <f>B14-C14-D14</f>
        <v/>
      </c>
    </row>
    <row r="15">
      <c r="A15" s="34" t="n">
        <v>2024</v>
      </c>
      <c r="B15" s="58" t="n">
        <v>3137867249</v>
      </c>
      <c r="C15" s="58" t="n">
        <v>1264221291</v>
      </c>
      <c r="D15" s="58" t="n">
        <v>987308865</v>
      </c>
      <c r="E15" s="58">
        <f>B15-C15-D15</f>
        <v/>
      </c>
    </row>
    <row r="16">
      <c r="A16" s="34" t="n">
        <v>2025</v>
      </c>
      <c r="B16" s="58" t="n">
        <v>3417551722</v>
      </c>
      <c r="C16" s="58" t="n">
        <v>1964772027</v>
      </c>
      <c r="D16" s="58" t="n">
        <v>1101350021</v>
      </c>
      <c r="E16" s="58">
        <f>B16-C16-D16</f>
        <v/>
      </c>
    </row>
    <row r="17">
      <c r="A17" s="64" t="inlineStr">
        <is>
          <t>Croissance annuelle moyenne 2023 à 2025</t>
        </is>
      </c>
      <c r="B17" s="40">
        <f>(B16/B14)^(1/2)-1</f>
        <v/>
      </c>
      <c r="C17" s="40">
        <f>(C16/C14)^(1/2)-1</f>
        <v/>
      </c>
      <c r="D17" s="40">
        <f>(D16/D14)^(1/2)-1</f>
        <v/>
      </c>
      <c r="E17" s="68" t="n"/>
    </row>
    <row r="18"/>
    <row r="19">
      <c r="A19" s="63" t="inlineStr">
        <is>
          <t>Scénario A : tendance 2023 à 2025</t>
        </is>
      </c>
    </row>
    <row r="20" ht="30" customHeight="1">
      <c r="A20" s="8" t="inlineStr">
        <is>
          <t>Exercice</t>
        </is>
      </c>
      <c r="B20" s="8" t="inlineStr">
        <is>
          <t>Cotisations</t>
        </is>
      </c>
      <c r="C20" s="8" t="inlineStr">
        <is>
          <t>Prestations</t>
        </is>
      </c>
      <c r="D20" s="8" t="inlineStr">
        <is>
          <t>Frais</t>
        </is>
      </c>
      <c r="E20" s="8" t="inlineStr">
        <is>
          <t>Résultat technique</t>
        </is>
      </c>
    </row>
    <row r="21">
      <c r="A21" s="34" t="n">
        <v>2026</v>
      </c>
      <c r="B21" s="58">
        <f>B16*(1+B$17)</f>
        <v/>
      </c>
      <c r="C21" s="58">
        <f>C16*(1+C$17)</f>
        <v/>
      </c>
      <c r="D21" s="58">
        <f>D16*(1+D$17)</f>
        <v/>
      </c>
      <c r="E21" s="58">
        <f>B21-C21-D21</f>
        <v/>
      </c>
    </row>
    <row r="22">
      <c r="A22" s="34" t="n">
        <v>2027</v>
      </c>
      <c r="B22" s="58">
        <f>B21*(1+B$17)</f>
        <v/>
      </c>
      <c r="C22" s="58">
        <f>C21*(1+C$17)</f>
        <v/>
      </c>
      <c r="D22" s="58">
        <f>D21*(1+D$17)</f>
        <v/>
      </c>
      <c r="E22" s="58">
        <f>B22-C22-D22</f>
        <v/>
      </c>
    </row>
    <row r="23">
      <c r="A23" s="34" t="n">
        <v>2028</v>
      </c>
      <c r="B23" s="58">
        <f>B22*(1+B$17)</f>
        <v/>
      </c>
      <c r="C23" s="58">
        <f>C22*(1+C$17)</f>
        <v/>
      </c>
      <c r="D23" s="58">
        <f>D22*(1+D$17)</f>
        <v/>
      </c>
      <c r="E23" s="58">
        <f>B23-C23-D23</f>
        <v/>
      </c>
    </row>
    <row r="24">
      <c r="A24" s="34" t="n">
        <v>2029</v>
      </c>
      <c r="B24" s="58">
        <f>B23*(1+B$17)</f>
        <v/>
      </c>
      <c r="C24" s="58">
        <f>C23*(1+C$17)</f>
        <v/>
      </c>
      <c r="D24" s="58">
        <f>D23*(1+D$17)</f>
        <v/>
      </c>
      <c r="E24" s="58">
        <f>B24-C24-D24</f>
        <v/>
      </c>
    </row>
    <row r="25">
      <c r="A25" s="34" t="n">
        <v>2030</v>
      </c>
      <c r="B25" s="58">
        <f>B24*(1+B$17)</f>
        <v/>
      </c>
      <c r="C25" s="58">
        <f>C24*(1+C$17)</f>
        <v/>
      </c>
      <c r="D25" s="58">
        <f>D24*(1+D$17)</f>
        <v/>
      </c>
      <c r="E25" s="58">
        <f>B25-C25-D25</f>
        <v/>
      </c>
    </row>
    <row r="26"/>
    <row r="27">
      <c r="A27" s="63" t="inlineStr">
        <is>
          <t>Scénario B : prestations alignées sur les cotisations</t>
        </is>
      </c>
    </row>
    <row r="28" ht="30" customHeight="1">
      <c r="A28" s="8" t="inlineStr">
        <is>
          <t>Exercice</t>
        </is>
      </c>
      <c r="B28" s="8" t="inlineStr">
        <is>
          <t>Cotisations</t>
        </is>
      </c>
      <c r="C28" s="8" t="inlineStr">
        <is>
          <t>Prestations</t>
        </is>
      </c>
      <c r="D28" s="8" t="inlineStr">
        <is>
          <t>Frais</t>
        </is>
      </c>
      <c r="E28" s="8" t="inlineStr">
        <is>
          <t>Résultat technique</t>
        </is>
      </c>
    </row>
    <row r="29">
      <c r="A29" s="34" t="n">
        <v>2026</v>
      </c>
      <c r="B29" s="58">
        <f>B16*(1+B$17)</f>
        <v/>
      </c>
      <c r="C29" s="58">
        <f>C16*(1+B$17)</f>
        <v/>
      </c>
      <c r="D29" s="58">
        <f>D16*(1+D$17)</f>
        <v/>
      </c>
      <c r="E29" s="58">
        <f>B29-C29-D29</f>
        <v/>
      </c>
    </row>
    <row r="30">
      <c r="A30" s="34" t="n">
        <v>2027</v>
      </c>
      <c r="B30" s="58">
        <f>B29*(1+B$17)</f>
        <v/>
      </c>
      <c r="C30" s="58">
        <f>C29*(1+B$17)</f>
        <v/>
      </c>
      <c r="D30" s="58">
        <f>D29*(1+D$17)</f>
        <v/>
      </c>
      <c r="E30" s="58">
        <f>B30-C30-D30</f>
        <v/>
      </c>
    </row>
    <row r="31">
      <c r="A31" s="34" t="n">
        <v>2028</v>
      </c>
      <c r="B31" s="58">
        <f>B30*(1+B$17)</f>
        <v/>
      </c>
      <c r="C31" s="58">
        <f>C30*(1+B$17)</f>
        <v/>
      </c>
      <c r="D31" s="58">
        <f>D30*(1+D$17)</f>
        <v/>
      </c>
      <c r="E31" s="58">
        <f>B31-C31-D31</f>
        <v/>
      </c>
    </row>
    <row r="32">
      <c r="A32" s="34" t="n">
        <v>2029</v>
      </c>
      <c r="B32" s="58">
        <f>B31*(1+B$17)</f>
        <v/>
      </c>
      <c r="C32" s="58">
        <f>C31*(1+B$17)</f>
        <v/>
      </c>
      <c r="D32" s="58">
        <f>D31*(1+D$17)</f>
        <v/>
      </c>
      <c r="E32" s="58">
        <f>B32-C32-D32</f>
        <v/>
      </c>
    </row>
    <row r="33">
      <c r="A33" s="34" t="n">
        <v>2030</v>
      </c>
      <c r="B33" s="58">
        <f>B32*(1+B$17)</f>
        <v/>
      </c>
      <c r="C33" s="58">
        <f>C32*(1+B$17)</f>
        <v/>
      </c>
      <c r="D33" s="58">
        <f>D32*(1+D$17)</f>
        <v/>
      </c>
      <c r="E33" s="58">
        <f>B33-C33-D33</f>
        <v/>
      </c>
    </row>
  </sheetData>
  <mergeCells count="6">
    <mergeCell ref="B8:E8"/>
    <mergeCell ref="B4:E4"/>
    <mergeCell ref="B6:E6"/>
    <mergeCell ref="B7:E7"/>
    <mergeCell ref="B3:E3"/>
    <mergeCell ref="B5:E5"/>
  </mergeCells>
  <pageMargins left="0.75" right="0.75" top="1" bottom="1" header="0.5" footer="0.5"/>
  <pageSetup orientation="landscape" fitToHeight="0" fitToWidth="1"/>
</worksheet>
</file>

<file path=xl/worksheets/sheet74.xml><?xml version="1.0" encoding="utf-8"?>
<worksheet xmlns="http://schemas.openxmlformats.org/spreadsheetml/2006/main">
  <sheetPr>
    <tabColor rgb="00EFAC62"/>
    <outlinePr summaryBelow="1" summaryRight="1"/>
    <pageSetUpPr fitToPage="1"/>
  </sheetPr>
  <dimension ref="A1:L30"/>
  <sheetViews>
    <sheetView showGridLines="0" workbookViewId="0">
      <selection activeCell="A1" sqref="A1"/>
    </sheetView>
  </sheetViews>
  <sheetFormatPr baseColWidth="8" defaultRowHeight="15"/>
  <cols>
    <col width="22" customWidth="1" min="1" max="1"/>
    <col width="70" customWidth="1" min="2" max="2"/>
    <col width="70" customWidth="1" min="3" max="3"/>
    <col width="60" customWidth="1" min="4" max="4"/>
  </cols>
  <sheetData>
    <row r="1">
      <c r="A1" s="5" t="inlineStr">
        <is>
          <t>Analyses de sensibilité et leviers de conformité : méthode et références</t>
        </is>
      </c>
    </row>
    <row r="2" ht="42" customHeight="1">
      <c r="A2" s="62" t="inlineStr">
        <is>
          <t>Les normes R10 à R12 sont des références de bonne pratique actuarielle et comptable, retenues pour la méthode ; elles ne sont pas opposables au FPPN. Les textes R1 à R9 sont opposables. Tous les calculs des onglets 13b à 13h sont des formules ; modifier un paramètre de l'onglet 13b met à jour l'ensemble.</t>
        </is>
      </c>
    </row>
    <row r="3"/>
    <row r="4">
      <c r="A4" s="8" t="inlineStr">
        <is>
          <t>Étape</t>
        </is>
      </c>
      <c r="B4" s="8" t="inlineStr">
        <is>
          <t>Contenu</t>
        </is>
      </c>
      <c r="C4" s="8" t="inlineStr">
        <is>
          <t>Références</t>
        </is>
      </c>
    </row>
    <row r="5" ht="44" customHeight="1">
      <c r="A5" s="27" t="inlineStr">
        <is>
          <t>1. Données</t>
        </is>
      </c>
      <c r="B5" s="10" t="inlineStr">
        <is>
          <t>Numérateurs et dénominateurs des ratios de la Décision n° 05/2022, recalculés depuis les balances (onglets 10_ et 13c).</t>
        </is>
      </c>
      <c r="C5" s="28" t="inlineStr">
        <is>
          <t>R1</t>
        </is>
      </c>
    </row>
    <row r="6" ht="44" customHeight="1">
      <c r="A6" s="27" t="inlineStr">
        <is>
          <t>2. Statut</t>
        </is>
      </c>
      <c r="B6" s="12" t="inlineStr">
        <is>
          <t>Conforme si la valeur respecte la borne du texte. Une valeur négative d'un ratio plafonné (excédent, équilibre stable) est non conforme.</t>
        </is>
      </c>
      <c r="C6" s="30" t="inlineStr">
        <is>
          <t>R1</t>
        </is>
      </c>
    </row>
    <row r="7" ht="44" customHeight="1">
      <c r="A7" s="27" t="inlineStr">
        <is>
          <t>3. Qualification</t>
        </is>
      </c>
      <c r="B7" s="10" t="inlineStr">
        <is>
          <t>Structurel : non conforme toutes les années mesurées de 2020 au 31/08/2026. Récurrent : au moins deux exercices de jugement (2022 à 2025).</t>
        </is>
      </c>
      <c r="C7" s="28" t="inlineStr">
        <is>
          <t>R2, R3</t>
        </is>
      </c>
    </row>
    <row r="8" ht="44" customHeight="1">
      <c r="A8" s="27" t="inlineStr">
        <is>
          <t>4. Montant à combler</t>
        </is>
      </c>
      <c r="B8" s="12" t="inlineStr">
        <is>
          <t>Inversion de la formule : montant qui ramène le ratio sur la borne la plus proche, les autres termes restant inchangés.</t>
        </is>
      </c>
      <c r="C8" s="30" t="inlineStr">
        <is>
          <t>R1, R11</t>
        </is>
      </c>
    </row>
    <row r="9" ht="44" customHeight="1">
      <c r="A9" s="27" t="inlineStr">
        <is>
          <t>5. Facteurs récurrents</t>
        </is>
      </c>
      <c r="B9" s="10" t="inlineStr">
        <is>
          <t>Regroupement des ratios non conformes selon les comptes qui expliquent l'écart chaque année.</t>
        </is>
      </c>
      <c r="C9" s="28" t="inlineStr">
        <is>
          <t>R1</t>
        </is>
      </c>
    </row>
    <row r="10" ht="44" customHeight="1">
      <c r="A10" s="27" t="inlineStr">
        <is>
          <t>6. Leviers</t>
        </is>
      </c>
      <c r="B10" s="12" t="inlineStr">
        <is>
          <t>Leviers prévus par les textes. Pour chacun : montant d'équilibre par ratio et par année, et effet d'un choc de 100 000 000 FCFA enregistré en partie double, une hypothèse à la fois.</t>
        </is>
      </c>
      <c r="C10" s="30" t="inlineStr">
        <is>
          <t>R4 à R9, R11, R12</t>
        </is>
      </c>
    </row>
    <row r="11" ht="44" customHeight="1">
      <c r="A11" s="27" t="inlineStr">
        <is>
          <t>7. Faisabilité conjointe</t>
        </is>
      </c>
      <c r="B11" s="10" t="inlineStr">
        <is>
          <t>Démonstration algébrique : les normes de flux (sinistralité, coût par unité prestée, excédent) peuvent-elles être respectées ensemble ?</t>
        </is>
      </c>
      <c r="C11" s="28" t="inlineStr">
        <is>
          <t>R1</t>
        </is>
      </c>
    </row>
    <row r="12" ht="44" customHeight="1">
      <c r="A12" s="27" t="inlineStr">
        <is>
          <t>8. Inflation médicale</t>
        </is>
      </c>
      <c r="B12" s="12" t="inlineStr">
        <is>
          <t>Sous-indices IHPC pondérés par les prestations maladie du FPPN de 2025 ; seuil d'inflation qui ferait dépasser 80 % de sinistralité.</t>
        </is>
      </c>
      <c r="C12" s="30" t="inlineStr">
        <is>
          <t>R13, R14</t>
        </is>
      </c>
    </row>
    <row r="13" ht="44" customHeight="1">
      <c r="A13" s="27" t="inlineStr">
        <is>
          <t>Limites</t>
        </is>
      </c>
      <c r="B13" s="10" t="inlineStr">
        <is>
          <t>Choc de 100 000 000 FCFA : convention de présentation pour comparer les leviers, pas une prévision. Effets croisés et réactions des adhérents non modélisés. 2026 : huit mois, balance provisoire, indicatif. 2020 et 2021 : antérieurs à la Décision du 1er juin 2022, indicatifs.</t>
        </is>
      </c>
      <c r="C13" s="28" t="inlineStr">
        <is>
          <t>R11, R12</t>
        </is>
      </c>
    </row>
    <row r="14"/>
    <row r="15">
      <c r="A15" s="8" t="inlineStr">
        <is>
          <t>Réf.</t>
        </is>
      </c>
      <c r="B15" s="8" t="inlineStr">
        <is>
          <t>Texte ou norme</t>
        </is>
      </c>
      <c r="C15" s="8" t="inlineStr">
        <is>
          <t>Disposition</t>
        </is>
      </c>
      <c r="D15" s="8" t="inlineStr">
        <is>
          <t>Usage dans l'analyse</t>
        </is>
      </c>
    </row>
    <row r="16" ht="58" customHeight="1">
      <c r="A16" s="9" t="inlineStr">
        <is>
          <t>R1</t>
        </is>
      </c>
      <c r="B16" s="10" t="inlineStr">
        <is>
          <t>Décision n° 05/2022/COM/UEMOA (annexe, tableaux 1 et 2, § 1.2 et section II)</t>
        </is>
      </c>
      <c r="C16" s="10" t="inlineStr">
        <is>
          <t>Formules et normes des ratios prudentiels et de gestion.</t>
        </is>
      </c>
      <c r="D16" s="10" t="inlineStr">
        <is>
          <t>Statut de chaque ratio ; montant à combler obtenu en inversant la formule du texte.</t>
        </is>
      </c>
    </row>
    <row r="17" ht="58" customHeight="1">
      <c r="A17" s="9" t="inlineStr">
        <is>
          <t>R2</t>
        </is>
      </c>
      <c r="B17" s="12" t="inlineStr">
        <is>
          <t>Règlement n° 07/2009/CM/UEMOA du 26/06/2009, art. 83 et 84</t>
        </is>
      </c>
      <c r="C17" s="12" t="inlineStr">
        <is>
          <t>Art. 83 : sanctions pour non-respect des règles prudentielles durant un exercice. Art. 84 : retrait d'agrément pour non-respect des règles prudentielles sur deux exercices.</t>
        </is>
      </c>
      <c r="D17" s="12" t="inlineStr">
        <is>
          <t>Qualification des écarts : un écart répété sur deux exercices ou plus est « récurrent » ; présent toutes les années mesurées, il est « structurel ».</t>
        </is>
      </c>
    </row>
    <row r="18" ht="58" customHeight="1">
      <c r="A18" s="9" t="inlineStr">
        <is>
          <t>R3</t>
        </is>
      </c>
      <c r="B18" s="10" t="inlineStr">
        <is>
          <t>Arrêté n° 00115/MEPS/CAB du 12/12/2023 (Côte d'Ivoire), grille des sanctions</t>
        </is>
      </c>
      <c r="C18" s="10" t="inlineStr">
        <is>
          <t>Ligne 13 : non-respect des règles prudentielles sur deux exercices.</t>
        </is>
      </c>
      <c r="D18" s="10" t="inlineStr">
        <is>
          <t>Même qualification, au niveau national.</t>
        </is>
      </c>
    </row>
    <row r="19" ht="58" customHeight="1">
      <c r="A19" s="9" t="inlineStr">
        <is>
          <t>R4</t>
        </is>
      </c>
      <c r="B19" s="12" t="inlineStr">
        <is>
          <t>Règlement d'exécution n° 004/2022/COM/UEMOA, art. 16, 17, 19, 21 et 36</t>
        </is>
      </c>
      <c r="C19" s="12" t="inlineStr">
        <is>
          <t>Art. 16 : réassurance sur décision de l'AG. Art. 17 : placements (sécurité, rendement, liquidité, diversification). Art. 19 al. 3 : réserve de trésorerie d'un trimestre. Art. 21 : fonds propres et prestations des risques longs. Art. 36 : plan de redressement.</t>
        </is>
      </c>
      <c r="D19" s="12" t="inlineStr">
        <is>
          <t>Leviers L5 (placements) et L7 (fonds propres) ; ratios RL4 et RL5.</t>
        </is>
      </c>
    </row>
    <row r="20" ht="58" customHeight="1">
      <c r="A20" s="9" t="inlineStr">
        <is>
          <t>R5</t>
        </is>
      </c>
      <c r="B20" s="10" t="inlineStr">
        <is>
          <t>Statuts du FPPN du 15/06/2023, art. 17</t>
        </is>
      </c>
      <c r="C20" s="10" t="inlineStr">
        <is>
          <t>Cotisation obligatoire de 5 % de la solde de base : 3,5 % maladie-maternité et 1,5 % invalidité-décès.</t>
        </is>
      </c>
      <c r="D20" s="10" t="inlineStr">
        <is>
          <t>Base du levier L1 (taux de cotisation).</t>
        </is>
      </c>
    </row>
    <row r="21" ht="58" customHeight="1">
      <c r="A21" s="9" t="inlineStr">
        <is>
          <t>R6</t>
        </is>
      </c>
      <c r="B21" s="12" t="inlineStr">
        <is>
          <t>Statuts, art. 93 ; règlement intérieur, art. 86</t>
        </is>
      </c>
      <c r="C21" s="12" t="inlineStr">
        <is>
          <t>En cas de déséquilibre financier : modification du taux ou du montant des cotisations, ou du régime des prestations, et toute mesure de redressement.</t>
        </is>
      </c>
      <c r="D21" s="12" t="inlineStr">
        <is>
          <t>Fondement des leviers L1 (cotisations) et L2 (prestations).</t>
        </is>
      </c>
    </row>
    <row r="22" ht="58" customHeight="1">
      <c r="A22" s="9" t="inlineStr">
        <is>
          <t>R7</t>
        </is>
      </c>
      <c r="B22" s="10" t="inlineStr">
        <is>
          <t>Statuts, art. 90 ; règlement intérieur, art. 83</t>
        </is>
      </c>
      <c r="C22" s="10" t="inlineStr">
        <is>
          <t>Réserve légale d'au moins 20 % à 50 % des résultats excédentaires nets de l'exercice précédent.</t>
        </is>
      </c>
      <c r="D22" s="10" t="inlineStr">
        <is>
          <t>Levier L4 (dotation à la réserve légale), bornes de 20 % et 50 %.</t>
        </is>
      </c>
    </row>
    <row r="23" ht="58" customHeight="1">
      <c r="A23" s="9" t="inlineStr">
        <is>
          <t>R8</t>
        </is>
      </c>
      <c r="B23" s="12" t="inlineStr">
        <is>
          <t>Statuts, art. 79, 81 et 85 ; règlement intérieur, art. 78</t>
        </is>
      </c>
      <c r="C23" s="12" t="inlineStr">
        <is>
          <t>Ressources (dont dons et legs) ; placements autorisés par le Conseil d'Administration, aux conditions fixées par le Ministre.</t>
        </is>
      </c>
      <c r="D23" s="12" t="inlineStr">
        <is>
          <t>Leviers L5 (réallocation des placements) et L7 (apport en fonds propres).</t>
        </is>
      </c>
    </row>
    <row r="24" ht="58" customHeight="1">
      <c r="A24" s="9" t="inlineStr">
        <is>
          <t>R9</t>
        </is>
      </c>
      <c r="B24" s="10" t="inlineStr">
        <is>
          <t>Règlement intérieur, art. 41 et 45</t>
        </is>
      </c>
      <c r="C24" s="10" t="inlineStr">
        <is>
          <t>Couverture maladie limitée aux soins liés à une hospitalisation ; exclusions (optique, prothèses dentaires, maladies de longue durée...).</t>
        </is>
      </c>
      <c r="D24" s="10" t="inlineStr">
        <is>
          <t>Facteur F5 et levier L2 (élargissement de la couverture).</t>
        </is>
      </c>
    </row>
    <row r="25" ht="58" customHeight="1">
      <c r="A25" s="9" t="inlineStr">
        <is>
          <t>R10</t>
        </is>
      </c>
      <c r="B25" s="12" t="inlineStr">
        <is>
          <t>Association Actuarielle Internationale, ISAP 1 « General Actuarial Practice », adoptée le 1er décembre 2018, § 2.7.7</t>
        </is>
      </c>
      <c r="C25" s="12" t="inlineStr">
        <is>
          <t>L'actuaire examine la sensibilité de la méthode aux variations des hypothèses clés, lorsque c'est approprié.</t>
        </is>
      </c>
      <c r="D25" s="12" t="inlineStr">
        <is>
          <t>Obligation de l'analyse de sensibilité dans la démarche actuarielle.</t>
        </is>
      </c>
    </row>
    <row r="26" ht="58" customHeight="1">
      <c r="A26" s="9" t="inlineStr">
        <is>
          <t>R11</t>
        </is>
      </c>
      <c r="B26" s="10" t="inlineStr">
        <is>
          <t>IAS 19 révisée (2011), § 145</t>
        </is>
      </c>
      <c r="C26" s="10" t="inlineStr">
        <is>
          <t>Analyse de sensibilité pour chaque hypothèse significative, aux changements raisonnablement possibles, avec description de la méthode, des hypothèses et de leurs limites.</t>
        </is>
      </c>
      <c r="D26" s="10" t="inlineStr">
        <is>
          <t>Méthode « une hypothèse à la fois », toutes choses égales par ailleurs, et présentation des limites.</t>
        </is>
      </c>
    </row>
    <row r="27" ht="58" customHeight="1">
      <c r="A27" s="9" t="inlineStr">
        <is>
          <t>R12</t>
        </is>
      </c>
      <c r="B27" s="12" t="inlineStr">
        <is>
          <t>IFRS 17, § 128 a) et § 129 ; IFRS 7, § 40</t>
        </is>
      </c>
      <c r="C27" s="12" t="inlineStr">
        <is>
          <t>Sensibilité du résultat et des capitaux propres aux variables de risque raisonnablement possibles ; méthode et hypothèses décrites.</t>
        </is>
      </c>
      <c r="D27" s="12" t="inlineStr">
        <is>
          <t>Effet du choc sur le résultat et les fonds propres (écritures en partie double).</t>
        </is>
      </c>
    </row>
    <row r="28" ht="58" customHeight="1">
      <c r="A28" s="9" t="inlineStr">
        <is>
          <t>R13</t>
        </is>
      </c>
      <c r="B28" s="10" t="inlineStr">
        <is>
          <t>ANStat, IHPC par poste de consommation (national), fonction Santé, extraction du 19/10/2026</t>
        </is>
      </c>
      <c r="C28" s="10" t="inlineStr">
        <is>
          <t>Indices mensuels de janvier 2017 à octobre 2024 pour huit postes de la santé.</t>
        </is>
      </c>
      <c r="D28" s="10" t="inlineStr">
        <is>
          <t>Inflation médicale (onglet 13g).</t>
        </is>
      </c>
    </row>
    <row r="29" ht="58" customHeight="1">
      <c r="A29" s="9" t="inlineStr">
        <is>
          <t>R15</t>
        </is>
      </c>
      <c r="B29" s="12" t="inlineStr">
        <is>
          <t>Investing.com, « Rendement de l'Obligation Cote d'Ivoire 5-Year / 10-Year - Données Historiques », exports du 19/10/2026</t>
        </is>
      </c>
      <c r="C29" s="12" t="inlineStr">
        <is>
          <t>Cotations quotidiennes des obligations de l'État de Côte d'Ivoire à 5 ans (mars 2021 au 15/10/2026) et à 10 ans (mars 2021 au 19/10/2026). Source secondaire (agrégateur du marché secondaire).</t>
        </is>
      </c>
      <c r="D29" s="12" t="inlineStr">
        <is>
          <t>Lecture complémentaire du ratio de rentabilité des placements (onglet 13i).</t>
        </is>
      </c>
    </row>
    <row r="30" ht="58" customHeight="1">
      <c r="A30" s="9" t="inlineStr">
        <is>
          <t>R14</t>
        </is>
      </c>
      <c r="B30" s="10" t="inlineStr">
        <is>
          <t>BCEAO, Rapport sur la Politique Monétaire dans l'UMOA, mars 2026, tableau 12</t>
        </is>
      </c>
      <c r="C30" s="10" t="inlineStr">
        <is>
          <t>Inflation de la santé dans l'UEMOA : -1,3 % (T2 2025), -2,4 % (T3 2025), -1,9 % (T4 2025).</t>
        </is>
      </c>
      <c r="D30" s="10" t="inlineStr">
        <is>
          <t>Repli pour 2025, faute de série ANStat après octobre 2024.</t>
        </is>
      </c>
    </row>
  </sheetData>
  <mergeCells count="1">
    <mergeCell ref="A2:L2"/>
  </mergeCells>
  <conditionalFormatting sqref="A1:L30">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75.xml><?xml version="1.0" encoding="utf-8"?>
<worksheet xmlns="http://schemas.openxmlformats.org/spreadsheetml/2006/main">
  <sheetPr>
    <tabColor rgb="00EFAC62"/>
    <outlinePr summaryBelow="1" summaryRight="1"/>
    <pageSetUpPr fitToPage="1"/>
  </sheetPr>
  <dimension ref="A1:L25"/>
  <sheetViews>
    <sheetView showGridLines="0" workbookViewId="0">
      <selection activeCell="A1" sqref="A1"/>
    </sheetView>
  </sheetViews>
  <sheetFormatPr baseColWidth="8" defaultRowHeight="15"/>
  <cols>
    <col width="10" customWidth="1" min="1" max="1"/>
    <col width="44" customWidth="1" min="2" max="2"/>
    <col width="14" customWidth="1" min="3" max="3"/>
    <col width="14" customWidth="1" min="4" max="4"/>
    <col width="8" customWidth="1" min="5" max="5"/>
    <col width="8" customWidth="1" min="6" max="6"/>
    <col width="80" customWidth="1" min="7" max="7"/>
  </cols>
  <sheetData>
    <row r="1">
      <c r="A1" s="5" t="inlineStr">
        <is>
          <t>Paramètres : normes du texte et leviers (cellules modifiables en orange)</t>
        </is>
      </c>
    </row>
    <row r="2" ht="42" customHeight="1">
      <c r="A2" s="62" t="inlineStr">
        <is>
          <t>Borne absente : -1E+15 ou 1E+15 (pas de borne). Les cellules orange peuvent être modifiées ; tous les onglets 13 se recalculent.</t>
        </is>
      </c>
    </row>
    <row r="3"/>
    <row r="4">
      <c r="A4" s="8" t="inlineStr">
        <is>
          <t>Code</t>
        </is>
      </c>
      <c r="B4" s="8" t="inlineStr">
        <is>
          <t>Ratio</t>
        </is>
      </c>
      <c r="C4" s="8" t="inlineStr">
        <is>
          <t>Borne basse</t>
        </is>
      </c>
      <c r="D4" s="8" t="inlineStr">
        <is>
          <t>Borne haute</t>
        </is>
      </c>
      <c r="E4" s="8" t="inlineStr">
        <is>
          <t>Strict</t>
        </is>
      </c>
      <c r="F4" s="8" t="inlineStr">
        <is>
          <t>Unité</t>
        </is>
      </c>
      <c r="G4" s="8" t="inlineStr">
        <is>
          <t>Source</t>
        </is>
      </c>
    </row>
    <row r="5">
      <c r="A5" s="27" t="inlineStr">
        <is>
          <t>SIN</t>
        </is>
      </c>
      <c r="B5" s="28" t="inlineStr">
        <is>
          <t>Taux de sinistralité</t>
        </is>
      </c>
      <c r="C5" s="71" t="n">
        <v>0.7</v>
      </c>
      <c r="D5" s="71" t="n">
        <v>0.8</v>
      </c>
      <c r="E5" s="28" t="inlineStr">
        <is>
          <t>Non</t>
        </is>
      </c>
      <c r="F5" s="28" t="inlineStr">
        <is>
          <t>%</t>
        </is>
      </c>
      <c r="G5" s="10" t="inlineStr">
        <is>
          <t>Décision 05/2022, tableau 1, ligne 5</t>
        </is>
      </c>
    </row>
    <row r="6">
      <c r="A6" s="27" t="inlineStr">
        <is>
          <t>ROB</t>
        </is>
      </c>
      <c r="B6" s="30" t="inlineStr">
        <is>
          <t>Ratio de réserve obligatoire (mois)</t>
        </is>
      </c>
      <c r="C6" s="72" t="n">
        <v>6</v>
      </c>
      <c r="D6" s="72" t="n">
        <v>9</v>
      </c>
      <c r="E6" s="30" t="inlineStr">
        <is>
          <t>Non</t>
        </is>
      </c>
      <c r="F6" s="30" t="inlineStr">
        <is>
          <t>mois</t>
        </is>
      </c>
      <c r="G6" s="12" t="inlineStr">
        <is>
          <t>Décision 05/2022, tableau 1, ligne 10</t>
        </is>
      </c>
    </row>
    <row r="7">
      <c r="A7" s="27" t="inlineStr">
        <is>
          <t>FEP</t>
        </is>
      </c>
      <c r="B7" s="28" t="inlineStr">
        <is>
          <t>Ratio des fonds propres et assimilés</t>
        </is>
      </c>
      <c r="C7" s="73" t="n">
        <v>1</v>
      </c>
      <c r="D7" s="73" t="n">
        <v>1000000000000000</v>
      </c>
      <c r="E7" s="28" t="inlineStr">
        <is>
          <t>Non</t>
        </is>
      </c>
      <c r="F7" s="28" t="inlineStr">
        <is>
          <t>x</t>
        </is>
      </c>
      <c r="G7" s="10" t="inlineStr">
        <is>
          <t>Décision 05/2022, tableau 2, ligne 9</t>
        </is>
      </c>
    </row>
    <row r="8">
      <c r="A8" s="27" t="inlineStr">
        <is>
          <t>LIQ</t>
        </is>
      </c>
      <c r="B8" s="30" t="inlineStr">
        <is>
          <t>Ratio de liquidité</t>
        </is>
      </c>
      <c r="C8" s="72" t="n">
        <v>1</v>
      </c>
      <c r="D8" s="72" t="n">
        <v>1000000000000000</v>
      </c>
      <c r="E8" s="30" t="inlineStr">
        <is>
          <t>Non</t>
        </is>
      </c>
      <c r="F8" s="30" t="inlineStr">
        <is>
          <t>x</t>
        </is>
      </c>
      <c r="G8" s="12" t="inlineStr">
        <is>
          <t>Décision 05/2022, tableau 2, ligne 8</t>
        </is>
      </c>
    </row>
    <row r="9">
      <c r="A9" s="27" t="inlineStr">
        <is>
          <t>EQS</t>
        </is>
      </c>
      <c r="B9" s="28" t="inlineStr">
        <is>
          <t>Ratio d'équilibre stable</t>
        </is>
      </c>
      <c r="C9" s="73" t="n">
        <v>0</v>
      </c>
      <c r="D9" s="73" t="n">
        <v>1</v>
      </c>
      <c r="E9" s="28" t="inlineStr">
        <is>
          <t>Non</t>
        </is>
      </c>
      <c r="F9" s="28" t="inlineStr">
        <is>
          <t>x</t>
        </is>
      </c>
      <c r="G9" s="10" t="inlineStr">
        <is>
          <t>Décision 05/2022, tableau 1, ligne 11 (borne basse 0 : ressources négatives)</t>
        </is>
      </c>
    </row>
    <row r="10">
      <c r="A10" s="27" t="inlineStr">
        <is>
          <t>EXN</t>
        </is>
      </c>
      <c r="B10" s="30" t="inlineStr">
        <is>
          <t>Taux d'excédent net</t>
        </is>
      </c>
      <c r="C10" s="74" t="n">
        <v>0</v>
      </c>
      <c r="D10" s="74" t="n">
        <v>0.05</v>
      </c>
      <c r="E10" s="30" t="inlineStr">
        <is>
          <t>Non</t>
        </is>
      </c>
      <c r="F10" s="30" t="inlineStr">
        <is>
          <t>%</t>
        </is>
      </c>
      <c r="G10" s="12" t="inlineStr">
        <is>
          <t>Décision 05/2022, tableau 2, ligne 10 (borne basse 0 : déficit)</t>
        </is>
      </c>
    </row>
    <row r="11">
      <c r="A11" s="27" t="inlineStr">
        <is>
          <t>RL1</t>
        </is>
      </c>
      <c r="B11" s="28" t="inlineStr">
        <is>
          <t>Solvabilité de la branche épargne</t>
        </is>
      </c>
      <c r="C11" s="73" t="n">
        <v>1</v>
      </c>
      <c r="D11" s="73" t="n">
        <v>1000000000000000</v>
      </c>
      <c r="E11" s="28" t="inlineStr">
        <is>
          <t>Non</t>
        </is>
      </c>
      <c r="F11" s="28" t="inlineStr">
        <is>
          <t>x</t>
        </is>
      </c>
      <c r="G11" s="10" t="inlineStr">
        <is>
          <t>Décision 05/2022, section II, § 2.1</t>
        </is>
      </c>
    </row>
    <row r="12">
      <c r="A12" s="27" t="inlineStr">
        <is>
          <t>RL2</t>
        </is>
      </c>
      <c r="B12" s="30" t="inlineStr">
        <is>
          <t>Trésorerie à échéance (risques longs)</t>
        </is>
      </c>
      <c r="C12" s="72" t="n">
        <v>1</v>
      </c>
      <c r="D12" s="72" t="n">
        <v>1000000000000000</v>
      </c>
      <c r="E12" s="30" t="inlineStr">
        <is>
          <t>Oui</t>
        </is>
      </c>
      <c r="F12" s="30" t="inlineStr">
        <is>
          <t>x</t>
        </is>
      </c>
      <c r="G12" s="12" t="inlineStr">
        <is>
          <t>Décision 05/2022, section II, § 2.2 (strictement supérieur)</t>
        </is>
      </c>
    </row>
    <row r="13">
      <c r="A13" s="27" t="inlineStr">
        <is>
          <t>RL3</t>
        </is>
      </c>
      <c r="B13" s="28" t="inlineStr">
        <is>
          <t>Trésorerie immédiate (risques longs)</t>
        </is>
      </c>
      <c r="C13" s="73" t="n">
        <v>1</v>
      </c>
      <c r="D13" s="73" t="n">
        <v>1000000000000000</v>
      </c>
      <c r="E13" s="28" t="inlineStr">
        <is>
          <t>Non</t>
        </is>
      </c>
      <c r="F13" s="28" t="inlineStr">
        <is>
          <t>x</t>
        </is>
      </c>
      <c r="G13" s="10" t="inlineStr">
        <is>
          <t>Décision 05/2022, section II, § 2.3</t>
        </is>
      </c>
    </row>
    <row r="14">
      <c r="A14" s="27" t="inlineStr">
        <is>
          <t>RL4</t>
        </is>
      </c>
      <c r="B14" s="30" t="inlineStr">
        <is>
          <t>Réserve de trésorerie (trimestres)</t>
        </is>
      </c>
      <c r="C14" s="72" t="n">
        <v>1</v>
      </c>
      <c r="D14" s="72" t="n">
        <v>1000000000000000</v>
      </c>
      <c r="E14" s="30" t="inlineStr">
        <is>
          <t>Non</t>
        </is>
      </c>
      <c r="F14" s="30" t="inlineStr">
        <is>
          <t>x</t>
        </is>
      </c>
      <c r="G14" s="12" t="inlineStr">
        <is>
          <t>Règlement d'exécution 004/2022, art. 19 al. 3</t>
        </is>
      </c>
    </row>
    <row r="15">
      <c r="A15" s="27" t="inlineStr">
        <is>
          <t>RL5</t>
        </is>
      </c>
      <c r="B15" s="28" t="inlineStr">
        <is>
          <t>Fonds propres / prestations longues</t>
        </is>
      </c>
      <c r="C15" s="73" t="n">
        <v>1</v>
      </c>
      <c r="D15" s="73" t="n">
        <v>1000000000000000</v>
      </c>
      <c r="E15" s="28" t="inlineStr">
        <is>
          <t>Non</t>
        </is>
      </c>
      <c r="F15" s="28" t="inlineStr">
        <is>
          <t>x</t>
        </is>
      </c>
      <c r="G15" s="10" t="inlineStr">
        <is>
          <t>Règlement d'exécution 004/2022, art. 21</t>
        </is>
      </c>
    </row>
    <row r="16">
      <c r="A16" s="27" t="inlineStr">
        <is>
          <t>CHF</t>
        </is>
      </c>
      <c r="B16" s="30" t="inlineStr">
        <is>
          <t>Taux des charges de fonctionnement</t>
        </is>
      </c>
      <c r="C16" s="74" t="n">
        <v>-1000000000000000</v>
      </c>
      <c r="D16" s="74" t="n">
        <v>0.2</v>
      </c>
      <c r="E16" s="30" t="inlineStr">
        <is>
          <t>Non</t>
        </is>
      </c>
      <c r="F16" s="30" t="inlineStr">
        <is>
          <t>%</t>
        </is>
      </c>
      <c r="G16" s="12" t="inlineStr">
        <is>
          <t>Décision 05/2022, tableau 1, ligne 2</t>
        </is>
      </c>
    </row>
    <row r="17">
      <c r="A17" s="27" t="inlineStr">
        <is>
          <t>CHB</t>
        </is>
      </c>
      <c r="B17" s="28" t="inlineStr">
        <is>
          <t>Taux des charges de fonctionnement brut</t>
        </is>
      </c>
      <c r="C17" s="71" t="n">
        <v>-1000000000000000</v>
      </c>
      <c r="D17" s="71" t="n">
        <v>0.15</v>
      </c>
      <c r="E17" s="28" t="inlineStr">
        <is>
          <t>Non</t>
        </is>
      </c>
      <c r="F17" s="28" t="inlineStr">
        <is>
          <t>%</t>
        </is>
      </c>
      <c r="G17" s="10" t="inlineStr">
        <is>
          <t>Décision 05/2022, tableau 1, ligne 3</t>
        </is>
      </c>
    </row>
    <row r="18">
      <c r="A18" s="27" t="inlineStr">
        <is>
          <t>CUP</t>
        </is>
      </c>
      <c r="B18" s="30" t="inlineStr">
        <is>
          <t>Coût par unité monétaire prestée</t>
        </is>
      </c>
      <c r="C18" s="74" t="n">
        <v>-1000000000000000</v>
      </c>
      <c r="D18" s="74" t="n">
        <v>0.15</v>
      </c>
      <c r="E18" s="30" t="inlineStr">
        <is>
          <t>Non</t>
        </is>
      </c>
      <c r="F18" s="30" t="inlineStr">
        <is>
          <t>%</t>
        </is>
      </c>
      <c r="G18" s="12" t="inlineStr">
        <is>
          <t>Décision 05/2022, tableau 2, ligne 5</t>
        </is>
      </c>
    </row>
    <row r="19"/>
    <row r="20">
      <c r="A20" s="8" t="inlineStr">
        <is>
          <t>Paramètre</t>
        </is>
      </c>
      <c r="B20" s="8" t="inlineStr">
        <is>
          <t>Libellé</t>
        </is>
      </c>
      <c r="C20" s="8" t="inlineStr">
        <is>
          <t>Valeur</t>
        </is>
      </c>
      <c r="D20" s="8" t="n"/>
      <c r="E20" s="8" t="n"/>
      <c r="F20" s="8" t="inlineStr">
        <is>
          <t>Unité</t>
        </is>
      </c>
      <c r="G20" s="8" t="inlineStr">
        <is>
          <t>Justification</t>
        </is>
      </c>
    </row>
    <row r="21">
      <c r="A21" s="27" t="inlineStr">
        <is>
          <t>T0</t>
        </is>
      </c>
      <c r="B21" s="28" t="inlineStr">
        <is>
          <t>Taux de cotisation obligatoire actuel</t>
        </is>
      </c>
      <c r="C21" s="53" t="n">
        <v>0.05</v>
      </c>
      <c r="D21" s="28" t="n"/>
      <c r="E21" s="28" t="n"/>
      <c r="F21" s="28" t="inlineStr">
        <is>
          <t>%</t>
        </is>
      </c>
      <c r="G21" s="10" t="inlineStr">
        <is>
          <t>Statuts, art. 17 : 5 % de la solde de base (3,5 % + 1,5 %).</t>
        </is>
      </c>
    </row>
    <row r="22">
      <c r="A22" s="27" t="inlineStr">
        <is>
          <t>CHOC</t>
        </is>
      </c>
      <c r="B22" s="30" t="inlineStr">
        <is>
          <t>Choc unitaire de comparaison des leviers</t>
        </is>
      </c>
      <c r="C22" s="75" t="n">
        <v>100000000</v>
      </c>
      <c r="D22" s="30" t="n"/>
      <c r="E22" s="30" t="n"/>
      <c r="F22" s="30" t="inlineStr">
        <is>
          <t>FCFA</t>
        </is>
      </c>
      <c r="G22" s="12" t="inlineStr">
        <is>
          <t>Convention de présentation (IAS 19 § 145 : une hypothèse à la fois) ; modifiable. Ce n'est pas une prévision.</t>
        </is>
      </c>
    </row>
    <row r="23">
      <c r="A23" s="27" t="inlineStr">
        <is>
          <t>D20</t>
        </is>
      </c>
      <c r="B23" s="28" t="inlineStr">
        <is>
          <t>Dotation minimale à la réserve légale</t>
        </is>
      </c>
      <c r="C23" s="53" t="n">
        <v>0.2</v>
      </c>
      <c r="D23" s="28" t="n"/>
      <c r="E23" s="28" t="n"/>
      <c r="F23" s="28" t="inlineStr">
        <is>
          <t>%</t>
        </is>
      </c>
      <c r="G23" s="10" t="inlineStr">
        <is>
          <t>Statuts, art. 90 : au moins 20 % à 50 % des excédents nets de l'exercice précédent (borne basse).</t>
        </is>
      </c>
    </row>
    <row r="24">
      <c r="A24" s="27" t="inlineStr">
        <is>
          <t>D50</t>
        </is>
      </c>
      <c r="B24" s="30" t="inlineStr">
        <is>
          <t>Dotation maximale prévue par les statuts</t>
        </is>
      </c>
      <c r="C24" s="53" t="n">
        <v>0.5</v>
      </c>
      <c r="D24" s="30" t="n"/>
      <c r="E24" s="30" t="n"/>
      <c r="F24" s="30" t="inlineStr">
        <is>
          <t>%</t>
        </is>
      </c>
      <c r="G24" s="12" t="inlineStr">
        <is>
          <t>Statuts, art. 90 (borne haute).</t>
        </is>
      </c>
    </row>
    <row r="25">
      <c r="A25" s="27" t="inlineStr">
        <is>
          <t>ANREF</t>
        </is>
      </c>
      <c r="B25" s="28" t="inlineStr">
        <is>
          <t>Exercice de référence des leviers</t>
        </is>
      </c>
      <c r="C25" s="52" t="n">
        <v>2025</v>
      </c>
      <c r="D25" s="28" t="n"/>
      <c r="E25" s="28" t="n"/>
      <c r="F25" s="28" t="n"/>
      <c r="G25" s="10" t="inlineStr">
        <is>
          <t>Dernier exercice complet (clos au 31/12/2025).</t>
        </is>
      </c>
    </row>
  </sheetData>
  <mergeCells count="1">
    <mergeCell ref="A2:L2"/>
  </mergeCells>
  <conditionalFormatting sqref="A1:L25">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76.xml><?xml version="1.0" encoding="utf-8"?>
<worksheet xmlns="http://schemas.openxmlformats.org/spreadsheetml/2006/main">
  <sheetPr>
    <tabColor rgb="00EFAC62"/>
    <outlinePr summaryBelow="1" summaryRight="1"/>
    <pageSetUpPr fitToPage="1"/>
  </sheetPr>
  <dimension ref="A1:L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52" customWidth="1" min="2" max="2"/>
    <col width="17" customWidth="1" min="3" max="3"/>
    <col width="17" customWidth="1" min="4" max="4"/>
    <col width="17" customWidth="1" min="5" max="5"/>
    <col width="17" customWidth="1" min="6" max="6"/>
    <col width="17" customWidth="1" min="7" max="7"/>
    <col width="17" customWidth="1" min="8" max="8"/>
    <col width="17" customWidth="1" min="9" max="9"/>
    <col width="50" customWidth="1" min="10" max="10"/>
  </cols>
  <sheetData>
    <row r="1">
      <c r="A1" s="5" t="inlineStr">
        <is>
          <t>Données des ratios, 2020 au 31/08/2026 (FCFA)</t>
        </is>
      </c>
    </row>
    <row r="2" ht="42" customHeight="1">
      <c r="A2" s="62" t="inlineStr">
        <is>
          <t>Valeurs reprises du calcul des ratios (onglets 10_), lui-même fait à partir des balances reçues le 15/10/2026. 2026 : huit mois, balance provisoire.</t>
        </is>
      </c>
    </row>
    <row r="3"/>
    <row r="4">
      <c r="A4" s="8" t="inlineStr">
        <is>
          <t>Code</t>
        </is>
      </c>
      <c r="B4" s="8" t="inlineStr">
        <is>
          <t>Libellé</t>
        </is>
      </c>
      <c r="C4" s="8" t="inlineStr">
        <is>
          <t>2020</t>
        </is>
      </c>
      <c r="D4" s="8" t="inlineStr">
        <is>
          <t>2021</t>
        </is>
      </c>
      <c r="E4" s="8" t="inlineStr">
        <is>
          <t>2022</t>
        </is>
      </c>
      <c r="F4" s="8" t="inlineStr">
        <is>
          <t>2023</t>
        </is>
      </c>
      <c r="G4" s="8" t="inlineStr">
        <is>
          <t>2024</t>
        </is>
      </c>
      <c r="H4" s="8" t="inlineStr">
        <is>
          <t>2025</t>
        </is>
      </c>
      <c r="I4" s="8" t="inlineStr">
        <is>
          <t>2026</t>
        </is>
      </c>
      <c r="J4" s="8" t="inlineStr">
        <is>
          <t>Source</t>
        </is>
      </c>
    </row>
    <row r="5">
      <c r="A5" s="27" t="inlineStr">
        <is>
          <t>COT</t>
        </is>
      </c>
      <c r="B5" s="10" t="inlineStr">
        <is>
          <t>Cotisations acquises (70 + 7906 - 6906)</t>
        </is>
      </c>
      <c r="C5" s="29" t="n">
        <v>2350217436</v>
      </c>
      <c r="D5" s="29" t="n">
        <v>2423204233</v>
      </c>
      <c r="E5" s="29" t="n">
        <v>2555040142</v>
      </c>
      <c r="F5" s="29" t="n">
        <v>2773482848</v>
      </c>
      <c r="G5" s="29" t="n">
        <v>3145610249</v>
      </c>
      <c r="H5" s="29" t="n">
        <v>3418141722</v>
      </c>
      <c r="I5" s="29" t="n">
        <v>2392197346</v>
      </c>
      <c r="J5" s="10" t="inlineStr">
        <is>
          <t>Dénominateur de SIN ; onglet 10_ratios</t>
        </is>
      </c>
    </row>
    <row r="6">
      <c r="A6" s="27" t="inlineStr">
        <is>
          <t>PRE</t>
        </is>
      </c>
      <c r="B6" s="12" t="inlineStr">
        <is>
          <t>Charges de prestations (60 + 6901 - 7901)</t>
        </is>
      </c>
      <c r="C6" s="31" t="n">
        <v>209745391</v>
      </c>
      <c r="D6" s="31" t="n">
        <v>503309837</v>
      </c>
      <c r="E6" s="31" t="n">
        <v>231427773</v>
      </c>
      <c r="F6" s="31" t="n">
        <v>681244362</v>
      </c>
      <c r="G6" s="31" t="n">
        <v>1269021291</v>
      </c>
      <c r="H6" s="31" t="n">
        <v>1964772027</v>
      </c>
      <c r="I6" s="31" t="n">
        <v>1798855783</v>
      </c>
      <c r="J6" s="12" t="inlineStr">
        <is>
          <t>Numérateur de SIN</t>
        </is>
      </c>
    </row>
    <row r="7">
      <c r="A7" s="27" t="inlineStr">
        <is>
          <t>CF</t>
        </is>
      </c>
      <c r="B7" s="10" t="inlineStr">
        <is>
          <t>Charges de fonctionnement (612, 613, 618, 62 à 68)</t>
        </is>
      </c>
      <c r="C7" s="29" t="n">
        <v>1981393302</v>
      </c>
      <c r="D7" s="29" t="n">
        <v>1163247996</v>
      </c>
      <c r="E7" s="29" t="n">
        <v>1209851047</v>
      </c>
      <c r="F7" s="29" t="n">
        <v>1243187379</v>
      </c>
      <c r="G7" s="29" t="n">
        <v>1134545164</v>
      </c>
      <c r="H7" s="29" t="n">
        <v>1241993107</v>
      </c>
      <c r="I7" s="29" t="n">
        <v>1055460837</v>
      </c>
      <c r="J7" s="10" t="inlineStr">
        <is>
          <t>Numérateur de CHF et de CUP</t>
        </is>
      </c>
    </row>
    <row r="8">
      <c r="A8" s="27" t="inlineStr">
        <is>
          <t>P6518</t>
        </is>
      </c>
      <c r="B8" s="12" t="inlineStr">
        <is>
          <t>dont primes d'assurance (6518, garantie décès)</t>
        </is>
      </c>
      <c r="C8" s="31" t="n">
        <v>574393861</v>
      </c>
      <c r="D8" s="31" t="n">
        <v>0</v>
      </c>
      <c r="E8" s="31" t="n">
        <v>0</v>
      </c>
      <c r="F8" s="31" t="n">
        <v>0</v>
      </c>
      <c r="G8" s="31" t="n">
        <v>0</v>
      </c>
      <c r="H8" s="31" t="n">
        <v>0</v>
      </c>
      <c r="I8" s="31" t="n">
        <v>0</v>
      </c>
      <c r="J8" s="12" t="inlineStr">
        <is>
          <t>Balance, compte 6518 ; PCMS : 651 Primes d'assurances, classe 65</t>
        </is>
      </c>
    </row>
    <row r="9">
      <c r="A9" s="27" t="inlineStr">
        <is>
          <t>CFB</t>
        </is>
      </c>
      <c r="B9" s="10" t="inlineStr">
        <is>
          <t>Charges de fonctionnement brut (61 à 68, 691, 697)</t>
        </is>
      </c>
      <c r="C9" s="29" t="n">
        <v>2010120385</v>
      </c>
      <c r="D9" s="29" t="n">
        <v>1187281853</v>
      </c>
      <c r="E9" s="29" t="n">
        <v>1238176841</v>
      </c>
      <c r="F9" s="29" t="n">
        <v>1278499558</v>
      </c>
      <c r="G9" s="29" t="n">
        <v>1169298711</v>
      </c>
      <c r="H9" s="29" t="n">
        <v>1285659785</v>
      </c>
      <c r="I9" s="29" t="n">
        <v>1055460837</v>
      </c>
      <c r="J9" s="10" t="inlineStr">
        <is>
          <t>Numérateur de CHB</t>
        </is>
      </c>
    </row>
    <row r="10">
      <c r="A10" s="27" t="inlineStr">
        <is>
          <t>PROD</t>
        </is>
      </c>
      <c r="B10" s="12" t="inlineStr">
        <is>
          <t>Total des produits (liste de l'annexe)</t>
        </is>
      </c>
      <c r="C10" s="31" t="n">
        <v>3918571705</v>
      </c>
      <c r="D10" s="31" t="n">
        <v>4262031016</v>
      </c>
      <c r="E10" s="31" t="n">
        <v>3529937291</v>
      </c>
      <c r="F10" s="31" t="n">
        <v>2918180096</v>
      </c>
      <c r="G10" s="31" t="n">
        <v>3230389643</v>
      </c>
      <c r="H10" s="31" t="n">
        <v>3688331723</v>
      </c>
      <c r="I10" s="31" t="n">
        <v>2413060120</v>
      </c>
      <c r="J10" s="12" t="inlineStr">
        <is>
          <t>Dénominateur de CHB</t>
        </is>
      </c>
    </row>
    <row r="11">
      <c r="A11" s="27" t="inlineStr">
        <is>
          <t>RN</t>
        </is>
      </c>
      <c r="B11" s="10" t="inlineStr">
        <is>
          <t>Excédent net de l'exercice</t>
        </is>
      </c>
      <c r="C11" s="29" t="n">
        <v>1018579699</v>
      </c>
      <c r="D11" s="29" t="n">
        <v>2083908202</v>
      </c>
      <c r="E11" s="29" t="n">
        <v>2060332677</v>
      </c>
      <c r="F11" s="29" t="n">
        <v>930629102</v>
      </c>
      <c r="G11" s="29" t="n">
        <v>792069641</v>
      </c>
      <c r="H11" s="29" t="n">
        <v>437899911</v>
      </c>
      <c r="I11" s="29" t="n">
        <v>-441256500</v>
      </c>
      <c r="J11" s="10" t="inlineStr">
        <is>
          <t>Numérateur de EXN</t>
        </is>
      </c>
    </row>
    <row r="12">
      <c r="A12" s="27" t="inlineStr">
        <is>
          <t>RES</t>
        </is>
      </c>
      <c r="B12" s="12" t="inlineStr">
        <is>
          <t>Réserve obligatoire (111)</t>
        </is>
      </c>
      <c r="C12" s="31" t="n">
        <v>0</v>
      </c>
      <c r="D12" s="31" t="n">
        <v>0</v>
      </c>
      <c r="E12" s="31" t="n">
        <v>0</v>
      </c>
      <c r="F12" s="31" t="n">
        <v>184219879</v>
      </c>
      <c r="G12" s="31" t="n">
        <v>519246356</v>
      </c>
      <c r="H12" s="31" t="n">
        <v>820232819</v>
      </c>
      <c r="I12" s="31" t="n">
        <v>820232819</v>
      </c>
      <c r="J12" s="12" t="inlineStr">
        <is>
          <t>Numérateur de ROB</t>
        </is>
      </c>
    </row>
    <row r="13">
      <c r="A13" s="27" t="inlineStr">
        <is>
          <t>FP</t>
        </is>
      </c>
      <c r="B13" s="10" t="inlineStr">
        <is>
          <t>Fonds propres et assimilés (10 à 15, 190)</t>
        </is>
      </c>
      <c r="C13" s="29" t="n">
        <v>-1913783443</v>
      </c>
      <c r="D13" s="29" t="n">
        <v>170124759</v>
      </c>
      <c r="E13" s="29" t="n">
        <v>2230457436</v>
      </c>
      <c r="F13" s="29" t="n">
        <v>3161086538</v>
      </c>
      <c r="G13" s="29" t="n">
        <v>3953156179</v>
      </c>
      <c r="H13" s="29" t="n">
        <v>4391056090</v>
      </c>
      <c r="I13" s="29" t="n">
        <v>3949799590</v>
      </c>
      <c r="J13" s="10" t="inlineStr">
        <is>
          <t>Numérateur de FEP</t>
        </is>
      </c>
    </row>
    <row r="14">
      <c r="A14" s="27" t="inlineStr">
        <is>
          <t>DET</t>
        </is>
      </c>
      <c r="B14" s="12" t="inlineStr">
        <is>
          <t>Dettes, y compris provisions techniques</t>
        </is>
      </c>
      <c r="C14" s="31" t="n">
        <v>19978787261</v>
      </c>
      <c r="D14" s="31" t="n">
        <v>19593012609</v>
      </c>
      <c r="E14" s="31" t="n">
        <v>16699827402</v>
      </c>
      <c r="F14" s="31" t="n">
        <v>16304419039</v>
      </c>
      <c r="G14" s="31" t="n">
        <v>18627940602</v>
      </c>
      <c r="H14" s="31" t="n">
        <v>20393111235</v>
      </c>
      <c r="I14" s="31" t="n">
        <v>22804919566</v>
      </c>
      <c r="J14" s="12" t="inlineStr">
        <is>
          <t>Dénominateur de FEP</t>
        </is>
      </c>
    </row>
    <row r="15">
      <c r="A15" s="27" t="inlineStr">
        <is>
          <t>TRE</t>
        </is>
      </c>
      <c r="B15" s="10" t="inlineStr">
        <is>
          <t>Trésorerie actif (classe 5 débitrice)</t>
        </is>
      </c>
      <c r="C15" s="29" t="n">
        <v>881310155</v>
      </c>
      <c r="D15" s="29" t="n">
        <v>2809574473</v>
      </c>
      <c r="E15" s="29" t="n">
        <v>1233051977</v>
      </c>
      <c r="F15" s="29" t="n">
        <v>1242945485</v>
      </c>
      <c r="G15" s="29" t="n">
        <v>979838445</v>
      </c>
      <c r="H15" s="29" t="n">
        <v>1964171543</v>
      </c>
      <c r="I15" s="29" t="n">
        <v>3359100618</v>
      </c>
      <c r="J15" s="10" t="inlineStr">
        <is>
          <t>Numérateur de LIQ et de RL3</t>
        </is>
      </c>
    </row>
    <row r="16">
      <c r="A16" s="27" t="inlineStr">
        <is>
          <t>DCT</t>
        </is>
      </c>
      <c r="B16" s="12" t="inlineStr">
        <is>
          <t>Dettes à court terme (classes 4 et 5 créditrices, variation des provisions techniques)</t>
        </is>
      </c>
      <c r="C16" s="31" t="n">
        <v>15111714627</v>
      </c>
      <c r="D16" s="31" t="n">
        <v>14571444198</v>
      </c>
      <c r="E16" s="31" t="n">
        <v>11806256464</v>
      </c>
      <c r="F16" s="31" t="n">
        <v>11439022640</v>
      </c>
      <c r="G16" s="31" t="n">
        <v>13763102835</v>
      </c>
      <c r="H16" s="31" t="n">
        <v>15520146267</v>
      </c>
      <c r="I16" s="31" t="n">
        <v>17931954598</v>
      </c>
      <c r="J16" s="12" t="inlineStr">
        <is>
          <t>Dénominateur de LIQ, RL2 et RL3</t>
        </is>
      </c>
    </row>
    <row r="17">
      <c r="A17" s="27" t="inlineStr">
        <is>
          <t>RL2N</t>
        </is>
      </c>
      <c r="B17" s="10" t="inlineStr">
        <is>
          <t>Valeurs réalisables et disponibles</t>
        </is>
      </c>
      <c r="C17" s="29" t="n">
        <v>993320103</v>
      </c>
      <c r="D17" s="29" t="n">
        <v>2905231455</v>
      </c>
      <c r="E17" s="29" t="n">
        <v>1370233092</v>
      </c>
      <c r="F17" s="29" t="n">
        <v>1312981747</v>
      </c>
      <c r="G17" s="29" t="n">
        <v>1747174114</v>
      </c>
      <c r="H17" s="29" t="n">
        <v>2715008827</v>
      </c>
      <c r="I17" s="29" t="n">
        <v>3457866951</v>
      </c>
      <c r="J17" s="10" t="inlineStr">
        <is>
          <t>Numérateur de RL2</t>
        </is>
      </c>
    </row>
    <row r="18">
      <c r="A18" s="27" t="inlineStr">
        <is>
          <t>EMP</t>
        </is>
      </c>
      <c r="B18" s="12" t="inlineStr">
        <is>
          <t>Emplois moyens et longs (classe 2 nette)</t>
        </is>
      </c>
      <c r="C18" s="31" t="n">
        <v>5420135286</v>
      </c>
      <c r="D18" s="31" t="n">
        <v>4916701524</v>
      </c>
      <c r="E18" s="31" t="n">
        <v>4888463485</v>
      </c>
      <c r="F18" s="31" t="n">
        <v>5151329261</v>
      </c>
      <c r="G18" s="31" t="n">
        <v>6790107498</v>
      </c>
      <c r="H18" s="31" t="n">
        <v>6814784076</v>
      </c>
      <c r="I18" s="31" t="n">
        <v>6863564240</v>
      </c>
      <c r="J18" s="12" t="inlineStr">
        <is>
          <t>Numérateur de EQS</t>
        </is>
      </c>
    </row>
    <row r="19">
      <c r="A19" s="27" t="inlineStr">
        <is>
          <t>RESL</t>
        </is>
      </c>
      <c r="B19" s="10" t="inlineStr">
        <is>
          <t>Ressources moyennes et longues (classes 10 à 19)</t>
        </is>
      </c>
      <c r="C19" s="29" t="n">
        <v>-1876009099</v>
      </c>
      <c r="D19" s="29" t="n">
        <v>362394880</v>
      </c>
      <c r="E19" s="29" t="n">
        <v>2294730084</v>
      </c>
      <c r="F19" s="29" t="n">
        <v>3197184647</v>
      </c>
      <c r="G19" s="29" t="n">
        <v>3988695656</v>
      </c>
      <c r="H19" s="29" t="n">
        <v>4434722768</v>
      </c>
      <c r="I19" s="29" t="n">
        <v>3993466268</v>
      </c>
      <c r="J19" s="10" t="inlineStr">
        <is>
          <t>Dénominateur de EQS</t>
        </is>
      </c>
    </row>
    <row r="20">
      <c r="A20" s="27" t="inlineStr">
        <is>
          <t>ACTEP</t>
        </is>
      </c>
      <c r="B20" s="12" t="inlineStr">
        <is>
          <t>Actifs admis en couverture de l'épargne (banques et DAT dédiés, FCP)</t>
        </is>
      </c>
      <c r="C20" s="31" t="n">
        <v>714042784</v>
      </c>
      <c r="D20" s="31" t="n">
        <v>1957211038</v>
      </c>
      <c r="E20" s="31" t="n">
        <v>888844233</v>
      </c>
      <c r="F20" s="31" t="n">
        <v>839212069</v>
      </c>
      <c r="G20" s="31" t="n">
        <v>699925787</v>
      </c>
      <c r="H20" s="31" t="n">
        <v>1608155525</v>
      </c>
      <c r="I20" s="31" t="n">
        <v>2562885661</v>
      </c>
      <c r="J20" s="12" t="inlineStr">
        <is>
          <t>Numérateur de RL1</t>
        </is>
      </c>
    </row>
    <row r="21">
      <c r="A21" s="27" t="inlineStr">
        <is>
          <t>EPA</t>
        </is>
      </c>
      <c r="B21" s="10" t="inlineStr">
        <is>
          <t>Épargne des adhérents (41195100 PEP + 41195200 EFC)</t>
        </is>
      </c>
      <c r="C21" s="29" t="n">
        <v>10828205640</v>
      </c>
      <c r="D21" s="29" t="n">
        <v>10147421276</v>
      </c>
      <c r="E21" s="29" t="n">
        <v>9364845293</v>
      </c>
      <c r="F21" s="29" t="n">
        <v>9121576576</v>
      </c>
      <c r="G21" s="29" t="n">
        <v>10785064432</v>
      </c>
      <c r="H21" s="29" t="n">
        <v>13814066964</v>
      </c>
      <c r="I21" s="29" t="n">
        <v>15743516391</v>
      </c>
      <c r="J21" s="10" t="inlineStr">
        <is>
          <t>Dénominateur de RL1</t>
        </is>
      </c>
    </row>
    <row r="22">
      <c r="A22" s="27" t="inlineStr">
        <is>
          <t>RL4N</t>
        </is>
      </c>
      <c r="B22" s="12" t="inlineStr">
        <is>
          <t>Réserve de trésorerie des risques longs constituée</t>
        </is>
      </c>
      <c r="C22" s="31" t="n">
        <v>0</v>
      </c>
      <c r="D22" s="31" t="n">
        <v>0</v>
      </c>
      <c r="E22" s="31" t="n">
        <v>0</v>
      </c>
      <c r="F22" s="31" t="n">
        <v>0</v>
      </c>
      <c r="G22" s="31" t="n">
        <v>0</v>
      </c>
      <c r="H22" s="31" t="n">
        <v>0</v>
      </c>
      <c r="I22" s="31" t="n">
        <v>0</v>
      </c>
      <c r="J22" s="12" t="inlineStr">
        <is>
          <t>Aucun compte identifié</t>
        </is>
      </c>
    </row>
    <row r="23">
      <c r="A23" s="27" t="inlineStr">
        <is>
          <t>RL4D</t>
        </is>
      </c>
      <c r="B23" s="10" t="inlineStr">
        <is>
          <t>Un trimestre de sorties d'épargne et de frais au prorata</t>
        </is>
      </c>
      <c r="C23" s="29" t="n">
        <v>576084804</v>
      </c>
      <c r="D23" s="29" t="n">
        <v>647979100</v>
      </c>
      <c r="E23" s="29" t="n">
        <v>817123157</v>
      </c>
      <c r="F23" s="29" t="n">
        <v>883302246</v>
      </c>
      <c r="G23" s="29" t="n">
        <v>628305224</v>
      </c>
      <c r="H23" s="29" t="n">
        <v>588613821</v>
      </c>
      <c r="I23" s="29" t="n">
        <v>597868370</v>
      </c>
      <c r="J23" s="10" t="inlineStr">
        <is>
          <t>Dénominateur de RL4</t>
        </is>
      </c>
    </row>
    <row r="24">
      <c r="A24" s="27" t="inlineStr">
        <is>
          <t>FP2</t>
        </is>
      </c>
      <c r="B24" s="12" t="inlineStr">
        <is>
          <t>Fonds propres (10 à 14 + résultat)</t>
        </is>
      </c>
      <c r="C24" s="31" t="n">
        <v>-6743081733</v>
      </c>
      <c r="D24" s="31" t="n">
        <v>-4659173531</v>
      </c>
      <c r="E24" s="31" t="n">
        <v>-2598840854</v>
      </c>
      <c r="F24" s="31" t="n">
        <v>-1668211752</v>
      </c>
      <c r="G24" s="31" t="n">
        <v>-876142111</v>
      </c>
      <c r="H24" s="31" t="n">
        <v>-438242200</v>
      </c>
      <c r="I24" s="31" t="n">
        <v>-879498700</v>
      </c>
      <c r="J24" s="12" t="inlineStr">
        <is>
          <t>Numérateur de RL5</t>
        </is>
      </c>
    </row>
    <row r="25">
      <c r="A25" s="27" t="inlineStr">
        <is>
          <t>SORT2</t>
        </is>
      </c>
      <c r="B25" s="10" t="inlineStr">
        <is>
          <t>Sorties d'épargne des exercices n et n-1</t>
        </is>
      </c>
      <c r="C25" s="59" t="n"/>
      <c r="D25" s="29" t="n">
        <v>2329208667</v>
      </c>
      <c r="E25" s="29" t="n">
        <v>3970878899</v>
      </c>
      <c r="F25" s="29" t="n">
        <v>4897860833</v>
      </c>
      <c r="G25" s="29" t="n">
        <v>4214747626</v>
      </c>
      <c r="H25" s="29" t="n">
        <v>2993682337</v>
      </c>
      <c r="I25" s="29" t="n">
        <v>2834054660</v>
      </c>
      <c r="J25" s="10" t="inlineStr">
        <is>
          <t>Dénominateur de RL5</t>
        </is>
      </c>
    </row>
    <row r="26">
      <c r="A26" s="27" t="inlineStr">
        <is>
          <t>P129</t>
        </is>
      </c>
      <c r="B26" s="12" t="inlineStr">
        <is>
          <t>Pertes reportées (129, solde débiteur)</t>
        </is>
      </c>
      <c r="C26" s="31" t="n">
        <v>11391759309</v>
      </c>
      <c r="D26" s="31" t="n">
        <v>9642481733</v>
      </c>
      <c r="E26" s="31" t="n">
        <v>9642481733</v>
      </c>
      <c r="F26" s="31" t="n">
        <v>7558573531</v>
      </c>
      <c r="G26" s="31" t="n">
        <v>5272983928</v>
      </c>
      <c r="H26" s="31" t="n">
        <v>5272983928</v>
      </c>
      <c r="I26" s="31" t="n">
        <v>5272983928</v>
      </c>
      <c r="J26" s="12" t="inlineStr">
        <is>
          <t>Balance, compte 129 ; onglet 10_marge_solvabilite</t>
        </is>
      </c>
    </row>
    <row r="27">
      <c r="A27" s="27" t="inlineStr">
        <is>
          <t>COTM</t>
        </is>
      </c>
      <c r="B27" s="10" t="inlineStr">
        <is>
          <t>Cotisations maladie (7010)</t>
        </is>
      </c>
      <c r="C27" s="29" t="n">
        <v>1641320172</v>
      </c>
      <c r="D27" s="29" t="n">
        <v>1691332910</v>
      </c>
      <c r="E27" s="29" t="n">
        <v>1781124043</v>
      </c>
      <c r="F27" s="29" t="n">
        <v>1935844374</v>
      </c>
      <c r="G27" s="29" t="n">
        <v>2203312180</v>
      </c>
      <c r="H27" s="29" t="n">
        <v>2409281030</v>
      </c>
      <c r="I27" s="29" t="n">
        <v>1690007290</v>
      </c>
      <c r="J27" s="10" t="inlineStr">
        <is>
          <t>Balance, compte 7010</t>
        </is>
      </c>
    </row>
    <row r="28">
      <c r="A28" s="27" t="inlineStr">
        <is>
          <t>PREM</t>
        </is>
      </c>
      <c r="B28" s="12" t="inlineStr">
        <is>
          <t>Prestations maladie</t>
        </is>
      </c>
      <c r="C28" s="31" t="n">
        <v>205812056</v>
      </c>
      <c r="D28" s="31" t="n">
        <v>101453171</v>
      </c>
      <c r="E28" s="31" t="n">
        <v>115237773</v>
      </c>
      <c r="F28" s="31" t="n">
        <v>521004362</v>
      </c>
      <c r="G28" s="31" t="n">
        <v>1060419627</v>
      </c>
      <c r="H28" s="31" t="n">
        <v>1771635361</v>
      </c>
      <c r="I28" s="31" t="n">
        <v>1646039117</v>
      </c>
      <c r="J28" s="12" t="inlineStr">
        <is>
          <t>Balance, comptes 601, 6013, 6018, 60800007</t>
        </is>
      </c>
    </row>
    <row r="29">
      <c r="A29" s="27" t="inlineStr">
        <is>
          <t>LIQr</t>
        </is>
      </c>
      <c r="B29" s="10" t="inlineStr">
        <is>
          <t>LIQ retraité (épargne en ressource longue)</t>
        </is>
      </c>
      <c r="C29" s="37" t="n">
        <v>0.205745</v>
      </c>
      <c r="D29" s="37" t="n">
        <v>0.635072</v>
      </c>
      <c r="E29" s="37" t="n">
        <v>0.505057</v>
      </c>
      <c r="F29" s="37" t="n">
        <v>0.536343</v>
      </c>
      <c r="G29" s="37" t="n">
        <v>0.329021</v>
      </c>
      <c r="H29" s="37" t="n">
        <v>1.151278</v>
      </c>
      <c r="I29" s="37" t="n">
        <v>1.534931</v>
      </c>
      <c r="J29" s="10" t="inlineStr">
        <is>
          <t>Onglet 10_ratios, valeurs retraitées</t>
        </is>
      </c>
    </row>
    <row r="30">
      <c r="A30" s="27" t="inlineStr">
        <is>
          <t>RL2r</t>
        </is>
      </c>
      <c r="B30" s="12" t="inlineStr">
        <is>
          <t>RL2 retraité</t>
        </is>
      </c>
      <c r="C30" s="38" t="n">
        <v>0.231894</v>
      </c>
      <c r="D30" s="38" t="n">
        <v>0.656694</v>
      </c>
      <c r="E30" s="38" t="n">
        <v>0.561246</v>
      </c>
      <c r="F30" s="38" t="n">
        <v>0.566564</v>
      </c>
      <c r="G30" s="38" t="n">
        <v>0.586686</v>
      </c>
      <c r="H30" s="38" t="n">
        <v>1.591373</v>
      </c>
      <c r="I30" s="38" t="n">
        <v>1.580061</v>
      </c>
      <c r="J30" s="12" t="inlineStr">
        <is>
          <t>Idem</t>
        </is>
      </c>
    </row>
    <row r="31">
      <c r="A31" s="27" t="inlineStr">
        <is>
          <t>RL3r</t>
        </is>
      </c>
      <c r="B31" s="10" t="inlineStr">
        <is>
          <t>RL3 retraité</t>
        </is>
      </c>
      <c r="C31" s="37" t="n">
        <v>0.205745</v>
      </c>
      <c r="D31" s="37" t="n">
        <v>0.635072</v>
      </c>
      <c r="E31" s="37" t="n">
        <v>0.505057</v>
      </c>
      <c r="F31" s="37" t="n">
        <v>0.536343</v>
      </c>
      <c r="G31" s="37" t="n">
        <v>0.329021</v>
      </c>
      <c r="H31" s="37" t="n">
        <v>1.151278</v>
      </c>
      <c r="I31" s="37" t="n">
        <v>1.534931</v>
      </c>
      <c r="J31" s="10" t="inlineStr">
        <is>
          <t>Idem</t>
        </is>
      </c>
    </row>
    <row r="32">
      <c r="A32" s="27" t="inlineStr">
        <is>
          <t>EQSr</t>
        </is>
      </c>
      <c r="B32" s="12" t="inlineStr">
        <is>
          <t>EQS retraité (épargne et avances en emplois et ressources longs)</t>
        </is>
      </c>
      <c r="C32" s="38" t="n">
        <v>1.367529</v>
      </c>
      <c r="D32" s="38" t="n">
        <v>1.144512</v>
      </c>
      <c r="E32" s="38" t="n">
        <v>1.091871</v>
      </c>
      <c r="F32" s="38" t="n">
        <v>1.081539</v>
      </c>
      <c r="G32" s="38" t="n">
        <v>1.083314</v>
      </c>
      <c r="H32" s="38" t="n">
        <v>0.944713</v>
      </c>
      <c r="I32" s="38" t="n">
        <v>0.935683</v>
      </c>
      <c r="J32" s="12" t="inlineStr">
        <is>
          <t>Idem</t>
        </is>
      </c>
    </row>
  </sheetData>
  <mergeCells count="1">
    <mergeCell ref="A2:L2"/>
  </mergeCells>
  <conditionalFormatting sqref="A1:L32">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77.xml><?xml version="1.0" encoding="utf-8"?>
<worksheet xmlns="http://schemas.openxmlformats.org/spreadsheetml/2006/main">
  <sheetPr>
    <tabColor rgb="00EFAC62"/>
    <outlinePr summaryBelow="1" summaryRight="1"/>
    <pageSetUpPr fitToPage="1"/>
  </sheetPr>
  <dimension ref="A1:P7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1" customWidth="1" min="10" max="10"/>
    <col width="10" customWidth="1" min="11" max="11"/>
    <col width="10" customWidth="1" min="12" max="12"/>
    <col width="16" customWidth="1" min="13" max="13"/>
    <col width="16" customWidth="1" min="14" max="14"/>
    <col width="16" customWidth="1" min="15" max="15"/>
    <col width="13" customWidth="1" min="16" max="16"/>
  </cols>
  <sheetData>
    <row r="1">
      <c r="A1" s="5" t="inlineStr">
        <is>
          <t>Statut de chaque ratio et montant à combler, 2020 au 31/08/2026</t>
        </is>
      </c>
    </row>
    <row r="2" ht="42" customHeight="1">
      <c r="A2" s="62" t="inlineStr">
        <is>
          <t>Montant à combler = montant qui ramène le ratio sur la borne la plus proche du texte, les autres termes restant inchangés (formule du texte inversée). Structurel : non conforme toutes les années mesurées. Récurrent : non conforme au moins deux exercices de jugement 2022 à 2025 (Règlement 07/2009, art. 84).</t>
        </is>
      </c>
    </row>
    <row r="3"/>
    <row r="4">
      <c r="A4" s="8" t="inlineStr">
        <is>
          <t>Code</t>
        </is>
      </c>
      <c r="B4" s="8" t="inlineStr">
        <is>
          <t>Libellé</t>
        </is>
      </c>
      <c r="C4" s="8" t="inlineStr">
        <is>
          <t>2020</t>
        </is>
      </c>
      <c r="D4" s="8" t="inlineStr">
        <is>
          <t>2021</t>
        </is>
      </c>
      <c r="E4" s="8" t="inlineStr">
        <is>
          <t>2022</t>
        </is>
      </c>
      <c r="F4" s="8" t="inlineStr">
        <is>
          <t>2023</t>
        </is>
      </c>
      <c r="G4" s="8" t="inlineStr">
        <is>
          <t>2024</t>
        </is>
      </c>
      <c r="H4" s="8" t="inlineStr">
        <is>
          <t>2025</t>
        </is>
      </c>
      <c r="I4" s="8" t="inlineStr">
        <is>
          <t>2026</t>
        </is>
      </c>
      <c r="J4" s="8" t="inlineStr">
        <is>
          <t>Années non conformes</t>
        </is>
      </c>
      <c r="K4" s="8" t="inlineStr">
        <is>
          <t>dont 2022 à 2025</t>
        </is>
      </c>
      <c r="L4" s="8" t="inlineStr">
        <is>
          <t>Années mesurées</t>
        </is>
      </c>
      <c r="M4" s="8" t="inlineStr">
        <is>
          <t>Minimum</t>
        </is>
      </c>
      <c r="N4" s="8" t="inlineStr">
        <is>
          <t>Maximum</t>
        </is>
      </c>
      <c r="O4" s="8" t="inlineStr">
        <is>
          <t>Moyenne</t>
        </is>
      </c>
      <c r="P4" s="8" t="inlineStr">
        <is>
          <t>Qualification</t>
        </is>
      </c>
    </row>
    <row r="5" ht="16" customHeight="1">
      <c r="A5" s="27" t="inlineStr">
        <is>
          <t>SIN</t>
        </is>
      </c>
      <c r="B5" s="76" t="inlineStr">
        <is>
          <t>Taux de sinistralité : valeur</t>
        </is>
      </c>
      <c r="C5" s="32">
        <f>'13c_donnees'!C6/'13c_donnees'!C5</f>
        <v/>
      </c>
      <c r="D5" s="32">
        <f>'13c_donnees'!D6/'13c_donnees'!D5</f>
        <v/>
      </c>
      <c r="E5" s="32">
        <f>'13c_donnees'!E6/'13c_donnees'!E5</f>
        <v/>
      </c>
      <c r="F5" s="32">
        <f>'13c_donnees'!F6/'13c_donnees'!F5</f>
        <v/>
      </c>
      <c r="G5" s="32">
        <f>'13c_donnees'!G6/'13c_donnees'!G5</f>
        <v/>
      </c>
      <c r="H5" s="32">
        <f>'13c_donnees'!H6/'13c_donnees'!H5</f>
        <v/>
      </c>
      <c r="I5" s="32">
        <f>'13c_donnees'!I6/'13c_donnees'!I5</f>
        <v/>
      </c>
      <c r="J5" s="77">
        <f>COUNTIF(C6:I6,"Non*")</f>
        <v/>
      </c>
      <c r="K5" s="35">
        <f>COUNTIF(E6:H6,"Non*")</f>
        <v/>
      </c>
      <c r="L5" s="35">
        <f>COUNTIF(C6:I6,"Conforme")+COUNTIF(C6:I6,"Non*")</f>
        <v/>
      </c>
      <c r="M5" s="29">
        <f>MIN(C7:I7)</f>
        <v/>
      </c>
      <c r="N5" s="29">
        <f>MAX(C7:I7)</f>
        <v/>
      </c>
      <c r="O5" s="29">
        <f>AVERAGE(C7:I7)</f>
        <v/>
      </c>
      <c r="P5" s="76">
        <f>IF(AND(J5&gt;0,J5=L5),"Structurel",IF(K5&gt;=2,"Récurrent",IF(J5&gt;0,"Ponctuel","Conforme")))</f>
        <v/>
      </c>
    </row>
    <row r="6" ht="16" customHeight="1">
      <c r="A6" s="27" t="n"/>
      <c r="B6" s="30" t="inlineStr">
        <is>
          <t>Statut</t>
        </is>
      </c>
      <c r="C6" s="30">
        <f>IF(C5="","En attente",IF(AND(C5&gt;='13b_parametres'!$C$5,C5&lt;='13b_parametres'!$D$5),"Conforme","Non conforme"))</f>
        <v/>
      </c>
      <c r="D6" s="30">
        <f>IF(D5="","En attente",IF(AND(D5&gt;='13b_parametres'!$C$5,D5&lt;='13b_parametres'!$D$5),"Conforme","Non conforme"))</f>
        <v/>
      </c>
      <c r="E6" s="30">
        <f>IF(E5="","En attente",IF(AND(E5&gt;='13b_parametres'!$C$5,E5&lt;='13b_parametres'!$D$5),"Conforme","Non conforme"))</f>
        <v/>
      </c>
      <c r="F6" s="30">
        <f>IF(F5="","En attente",IF(AND(F5&gt;='13b_parametres'!$C$5,F5&lt;='13b_parametres'!$D$5),"Conforme","Non conforme"))</f>
        <v/>
      </c>
      <c r="G6" s="30">
        <f>IF(G5="","En attente",IF(AND(G5&gt;='13b_parametres'!$C$5,G5&lt;='13b_parametres'!$D$5),"Conforme","Non conforme"))</f>
        <v/>
      </c>
      <c r="H6" s="30">
        <f>IF(H5="","En attente",IF(AND(H5&gt;='13b_parametres'!$C$5,H5&lt;='13b_parametres'!$D$5),"Conforme","Non conforme"))</f>
        <v/>
      </c>
      <c r="I6" s="30">
        <f>IF(I5="","En attente",IF(AND(I5&gt;='13b_parametres'!$C$5,I5&lt;='13b_parametres'!$D$5),"Conforme","Non conforme"))</f>
        <v/>
      </c>
      <c r="J6" s="30" t="n"/>
      <c r="K6" s="30" t="n"/>
      <c r="L6" s="30" t="n"/>
      <c r="M6" s="30" t="n"/>
      <c r="N6" s="30" t="n"/>
      <c r="O6" s="30" t="n"/>
      <c r="P6" s="30" t="n"/>
    </row>
    <row r="7" ht="28" customHeight="1">
      <c r="A7" s="27" t="n"/>
      <c r="B7" s="10" t="inlineStr">
        <is>
          <t>Montant à combler (FCFA) : prestations à ajouter (+) ou à retirer (-)</t>
        </is>
      </c>
      <c r="C7" s="29">
        <f>IF('13c_donnees'!C6&lt;'13b_parametres'!$C$5*'13c_donnees'!C5,'13b_parametres'!$C$5*'13c_donnees'!C5-'13c_donnees'!C6,IF('13c_donnees'!C6&gt;'13b_parametres'!$D$5*'13c_donnees'!C5,'13b_parametres'!$D$5*'13c_donnees'!C5-'13c_donnees'!C6,0))</f>
        <v/>
      </c>
      <c r="D7" s="29">
        <f>IF('13c_donnees'!D6&lt;'13b_parametres'!$C$5*'13c_donnees'!D5,'13b_parametres'!$C$5*'13c_donnees'!D5-'13c_donnees'!D6,IF('13c_donnees'!D6&gt;'13b_parametres'!$D$5*'13c_donnees'!D5,'13b_parametres'!$D$5*'13c_donnees'!D5-'13c_donnees'!D6,0))</f>
        <v/>
      </c>
      <c r="E7" s="29">
        <f>IF('13c_donnees'!E6&lt;'13b_parametres'!$C$5*'13c_donnees'!E5,'13b_parametres'!$C$5*'13c_donnees'!E5-'13c_donnees'!E6,IF('13c_donnees'!E6&gt;'13b_parametres'!$D$5*'13c_donnees'!E5,'13b_parametres'!$D$5*'13c_donnees'!E5-'13c_donnees'!E6,0))</f>
        <v/>
      </c>
      <c r="F7" s="29">
        <f>IF('13c_donnees'!F6&lt;'13b_parametres'!$C$5*'13c_donnees'!F5,'13b_parametres'!$C$5*'13c_donnees'!F5-'13c_donnees'!F6,IF('13c_donnees'!F6&gt;'13b_parametres'!$D$5*'13c_donnees'!F5,'13b_parametres'!$D$5*'13c_donnees'!F5-'13c_donnees'!F6,0))</f>
        <v/>
      </c>
      <c r="G7" s="29">
        <f>IF('13c_donnees'!G6&lt;'13b_parametres'!$C$5*'13c_donnees'!G5,'13b_parametres'!$C$5*'13c_donnees'!G5-'13c_donnees'!G6,IF('13c_donnees'!G6&gt;'13b_parametres'!$D$5*'13c_donnees'!G5,'13b_parametres'!$D$5*'13c_donnees'!G5-'13c_donnees'!G6,0))</f>
        <v/>
      </c>
      <c r="H7" s="29">
        <f>IF('13c_donnees'!H6&lt;'13b_parametres'!$C$5*'13c_donnees'!H5,'13b_parametres'!$C$5*'13c_donnees'!H5-'13c_donnees'!H6,IF('13c_donnees'!H6&gt;'13b_parametres'!$D$5*'13c_donnees'!H5,'13b_parametres'!$D$5*'13c_donnees'!H5-'13c_donnees'!H6,0))</f>
        <v/>
      </c>
      <c r="I7" s="29">
        <f>IF('13c_donnees'!I6&lt;'13b_parametres'!$C$5*'13c_donnees'!I5,'13b_parametres'!$C$5*'13c_donnees'!I5-'13c_donnees'!I6,IF('13c_donnees'!I6&gt;'13b_parametres'!$D$5*'13c_donnees'!I5,'13b_parametres'!$D$5*'13c_donnees'!I5-'13c_donnees'!I6,0))</f>
        <v/>
      </c>
      <c r="J7" s="28" t="n"/>
      <c r="K7" s="28" t="n"/>
      <c r="L7" s="28" t="n"/>
      <c r="M7" s="28" t="n"/>
      <c r="N7" s="28" t="n"/>
      <c r="O7" s="28" t="n"/>
      <c r="P7" s="28" t="n"/>
    </row>
    <row r="8" ht="16" customHeight="1">
      <c r="A8" s="27" t="n"/>
      <c r="B8" s="12" t="inlineStr">
        <is>
          <t>Montant à combler en % de PRE</t>
        </is>
      </c>
      <c r="C8" s="33">
        <f>IF(OR(C7="",'13c_donnees'!C6=0),"",C7/ABS('13c_donnees'!C6))</f>
        <v/>
      </c>
      <c r="D8" s="33">
        <f>IF(OR(D7="",'13c_donnees'!D6=0),"",D7/ABS('13c_donnees'!D6))</f>
        <v/>
      </c>
      <c r="E8" s="33">
        <f>IF(OR(E7="",'13c_donnees'!E6=0),"",E7/ABS('13c_donnees'!E6))</f>
        <v/>
      </c>
      <c r="F8" s="33">
        <f>IF(OR(F7="",'13c_donnees'!F6=0),"",F7/ABS('13c_donnees'!F6))</f>
        <v/>
      </c>
      <c r="G8" s="33">
        <f>IF(OR(G7="",'13c_donnees'!G6=0),"",G7/ABS('13c_donnees'!G6))</f>
        <v/>
      </c>
      <c r="H8" s="33">
        <f>IF(OR(H7="",'13c_donnees'!H6=0),"",H7/ABS('13c_donnees'!H6))</f>
        <v/>
      </c>
      <c r="I8" s="33">
        <f>IF(OR(I7="",'13c_donnees'!I6=0),"",I7/ABS('13c_donnees'!I6))</f>
        <v/>
      </c>
      <c r="J8" s="30" t="n"/>
      <c r="K8" s="30" t="n"/>
      <c r="L8" s="30" t="n"/>
      <c r="M8" s="30" t="n"/>
      <c r="N8" s="30" t="n"/>
      <c r="O8" s="30" t="n"/>
      <c r="P8" s="30" t="n"/>
    </row>
    <row r="9"/>
    <row r="10" ht="16" customHeight="1">
      <c r="A10" s="78" t="inlineStr">
        <is>
          <t>ROB</t>
        </is>
      </c>
      <c r="B10" s="78" t="inlineStr">
        <is>
          <t>Ratio de réserve obligatoire (mois) : valeur</t>
        </is>
      </c>
      <c r="C10" s="79">
        <f>'13c_donnees'!C12*12/'13c_donnees'!C6</f>
        <v/>
      </c>
      <c r="D10" s="79">
        <f>'13c_donnees'!D12*12/'13c_donnees'!D6</f>
        <v/>
      </c>
      <c r="E10" s="79">
        <f>'13c_donnees'!E12*12/'13c_donnees'!E6</f>
        <v/>
      </c>
      <c r="F10" s="79">
        <f>'13c_donnees'!F12*12/'13c_donnees'!F6</f>
        <v/>
      </c>
      <c r="G10" s="79">
        <f>'13c_donnees'!G12*12/'13c_donnees'!G6</f>
        <v/>
      </c>
      <c r="H10" s="79">
        <f>'13c_donnees'!H12*12/'13c_donnees'!H6</f>
        <v/>
      </c>
      <c r="I10" s="79">
        <f>'13c_donnees'!I12*12/'13c_donnees'!I6</f>
        <v/>
      </c>
      <c r="J10" s="80">
        <f>COUNTIF(C11:I11,"Non*")</f>
        <v/>
      </c>
      <c r="K10" s="81">
        <f>COUNTIF(E11:H11,"Non*")</f>
        <v/>
      </c>
      <c r="L10" s="81">
        <f>COUNTIF(C11:I11,"Conforme")+COUNTIF(C11:I11,"Non*")</f>
        <v/>
      </c>
      <c r="M10" s="82">
        <f>MIN(C12:I12)</f>
        <v/>
      </c>
      <c r="N10" s="82">
        <f>MAX(C12:I12)</f>
        <v/>
      </c>
      <c r="O10" s="82">
        <f>AVERAGE(C12:I12)</f>
        <v/>
      </c>
      <c r="P10" s="78">
        <f>IF(AND(J10&gt;0,J10=L10),"Structurel",IF(K10&gt;=2,"Récurrent",IF(J10&gt;0,"Ponctuel","Conforme")))</f>
        <v/>
      </c>
    </row>
    <row r="11" ht="16" customHeight="1">
      <c r="B11" s="83" t="inlineStr">
        <is>
          <t>Statut</t>
        </is>
      </c>
      <c r="C11" s="83">
        <f>IF(C10="","En attente",IF(AND(C10&gt;='13b_parametres'!$C$6,C10&lt;='13b_parametres'!$D$6),"Conforme","Non conforme"))</f>
        <v/>
      </c>
      <c r="D11" s="83">
        <f>IF(D10="","En attente",IF(AND(D10&gt;='13b_parametres'!$C$6,D10&lt;='13b_parametres'!$D$6),"Conforme","Non conforme"))</f>
        <v/>
      </c>
      <c r="E11" s="83">
        <f>IF(E10="","En attente",IF(AND(E10&gt;='13b_parametres'!$C$6,E10&lt;='13b_parametres'!$D$6),"Conforme","Non conforme"))</f>
        <v/>
      </c>
      <c r="F11" s="83">
        <f>IF(F10="","En attente",IF(AND(F10&gt;='13b_parametres'!$C$6,F10&lt;='13b_parametres'!$D$6),"Conforme","Non conforme"))</f>
        <v/>
      </c>
      <c r="G11" s="83">
        <f>IF(G10="","En attente",IF(AND(G10&gt;='13b_parametres'!$C$6,G10&lt;='13b_parametres'!$D$6),"Conforme","Non conforme"))</f>
        <v/>
      </c>
      <c r="H11" s="83">
        <f>IF(H10="","En attente",IF(AND(H10&gt;='13b_parametres'!$C$6,H10&lt;='13b_parametres'!$D$6),"Conforme","Non conforme"))</f>
        <v/>
      </c>
      <c r="I11" s="83">
        <f>IF(I10="","En attente",IF(AND(I10&gt;='13b_parametres'!$C$6,I10&lt;='13b_parametres'!$D$6),"Conforme","Non conforme"))</f>
        <v/>
      </c>
    </row>
    <row r="12" ht="28" customHeight="1">
      <c r="B12" s="84" t="inlineStr">
        <is>
          <t>Montant à combler (FCFA) : réserve obligatoire à constituer</t>
        </is>
      </c>
      <c r="C12" s="82">
        <f>MAX(0,'13b_parametres'!$C$6*'13c_donnees'!C6/12-'13c_donnees'!C12)</f>
        <v/>
      </c>
      <c r="D12" s="82">
        <f>MAX(0,'13b_parametres'!$C$6*'13c_donnees'!D6/12-'13c_donnees'!D12)</f>
        <v/>
      </c>
      <c r="E12" s="82">
        <f>MAX(0,'13b_parametres'!$C$6*'13c_donnees'!E6/12-'13c_donnees'!E12)</f>
        <v/>
      </c>
      <c r="F12" s="82">
        <f>MAX(0,'13b_parametres'!$C$6*'13c_donnees'!F6/12-'13c_donnees'!F12)</f>
        <v/>
      </c>
      <c r="G12" s="82">
        <f>MAX(0,'13b_parametres'!$C$6*'13c_donnees'!G6/12-'13c_donnees'!G12)</f>
        <v/>
      </c>
      <c r="H12" s="82">
        <f>MAX(0,'13b_parametres'!$C$6*'13c_donnees'!H6/12-'13c_donnees'!H12)</f>
        <v/>
      </c>
      <c r="I12" s="82">
        <f>MAX(0,'13b_parametres'!$C$6*'13c_donnees'!I6/12-'13c_donnees'!I12)</f>
        <v/>
      </c>
    </row>
    <row r="13" ht="16" customHeight="1">
      <c r="B13" s="84" t="inlineStr">
        <is>
          <t>Montant à combler en % de RES</t>
        </is>
      </c>
      <c r="C13" s="85">
        <f>IF(OR(C12="",'13c_donnees'!C12=0),"",C12/ABS('13c_donnees'!C12))</f>
        <v/>
      </c>
      <c r="D13" s="85">
        <f>IF(OR(D12="",'13c_donnees'!D12=0),"",D12/ABS('13c_donnees'!D12))</f>
        <v/>
      </c>
      <c r="E13" s="85">
        <f>IF(OR(E12="",'13c_donnees'!E12=0),"",E12/ABS('13c_donnees'!E12))</f>
        <v/>
      </c>
      <c r="F13" s="85">
        <f>IF(OR(F12="",'13c_donnees'!F12=0),"",F12/ABS('13c_donnees'!F12))</f>
        <v/>
      </c>
      <c r="G13" s="85">
        <f>IF(OR(G12="",'13c_donnees'!G12=0),"",G12/ABS('13c_donnees'!G12))</f>
        <v/>
      </c>
      <c r="H13" s="85">
        <f>IF(OR(H12="",'13c_donnees'!H12=0),"",H12/ABS('13c_donnees'!H12))</f>
        <v/>
      </c>
      <c r="I13" s="85">
        <f>IF(OR(I12="",'13c_donnees'!I12=0),"",I12/ABS('13c_donnees'!I12))</f>
        <v/>
      </c>
    </row>
    <row r="14"/>
    <row r="15" ht="16" customHeight="1">
      <c r="A15" s="78" t="inlineStr">
        <is>
          <t>FEP</t>
        </is>
      </c>
      <c r="B15" s="78" t="inlineStr">
        <is>
          <t>Ratio des fonds propres et assimilés : valeur</t>
        </is>
      </c>
      <c r="C15" s="79">
        <f>'13c_donnees'!C13/'13c_donnees'!C14</f>
        <v/>
      </c>
      <c r="D15" s="79">
        <f>'13c_donnees'!D13/'13c_donnees'!D14</f>
        <v/>
      </c>
      <c r="E15" s="79">
        <f>'13c_donnees'!E13/'13c_donnees'!E14</f>
        <v/>
      </c>
      <c r="F15" s="79">
        <f>'13c_donnees'!F13/'13c_donnees'!F14</f>
        <v/>
      </c>
      <c r="G15" s="79">
        <f>'13c_donnees'!G13/'13c_donnees'!G14</f>
        <v/>
      </c>
      <c r="H15" s="79">
        <f>'13c_donnees'!H13/'13c_donnees'!H14</f>
        <v/>
      </c>
      <c r="I15" s="79">
        <f>'13c_donnees'!I13/'13c_donnees'!I14</f>
        <v/>
      </c>
      <c r="J15" s="80">
        <f>COUNTIF(C16:I16,"Non*")</f>
        <v/>
      </c>
      <c r="K15" s="81">
        <f>COUNTIF(E16:H16,"Non*")</f>
        <v/>
      </c>
      <c r="L15" s="81">
        <f>COUNTIF(C16:I16,"Conforme")+COUNTIF(C16:I16,"Non*")</f>
        <v/>
      </c>
      <c r="M15" s="82">
        <f>MIN(C17:I17)</f>
        <v/>
      </c>
      <c r="N15" s="82">
        <f>MAX(C17:I17)</f>
        <v/>
      </c>
      <c r="O15" s="82">
        <f>AVERAGE(C17:I17)</f>
        <v/>
      </c>
      <c r="P15" s="78">
        <f>IF(AND(J15&gt;0,J15=L15),"Structurel",IF(K15&gt;=2,"Récurrent",IF(J15&gt;0,"Ponctuel","Conforme")))</f>
        <v/>
      </c>
    </row>
    <row r="16" ht="16" customHeight="1">
      <c r="B16" s="83" t="inlineStr">
        <is>
          <t>Statut</t>
        </is>
      </c>
      <c r="C16" s="83">
        <f>IF(C15="","En attente",IF(AND(C15&gt;='13b_parametres'!$C$7,C15&lt;='13b_parametres'!$D$7),"Conforme","Non conforme"))</f>
        <v/>
      </c>
      <c r="D16" s="83">
        <f>IF(D15="","En attente",IF(AND(D15&gt;='13b_parametres'!$C$7,D15&lt;='13b_parametres'!$D$7),"Conforme","Non conforme"))</f>
        <v/>
      </c>
      <c r="E16" s="83">
        <f>IF(E15="","En attente",IF(AND(E15&gt;='13b_parametres'!$C$7,E15&lt;='13b_parametres'!$D$7),"Conforme","Non conforme"))</f>
        <v/>
      </c>
      <c r="F16" s="83">
        <f>IF(F15="","En attente",IF(AND(F15&gt;='13b_parametres'!$C$7,F15&lt;='13b_parametres'!$D$7),"Conforme","Non conforme"))</f>
        <v/>
      </c>
      <c r="G16" s="83">
        <f>IF(G15="","En attente",IF(AND(G15&gt;='13b_parametres'!$C$7,G15&lt;='13b_parametres'!$D$7),"Conforme","Non conforme"))</f>
        <v/>
      </c>
      <c r="H16" s="83">
        <f>IF(H15="","En attente",IF(AND(H15&gt;='13b_parametres'!$C$7,H15&lt;='13b_parametres'!$D$7),"Conforme","Non conforme"))</f>
        <v/>
      </c>
      <c r="I16" s="83">
        <f>IF(I15="","En attente",IF(AND(I15&gt;='13b_parametres'!$C$7,I15&lt;='13b_parametres'!$D$7),"Conforme","Non conforme"))</f>
        <v/>
      </c>
    </row>
    <row r="17" ht="28" customHeight="1">
      <c r="B17" s="84" t="inlineStr">
        <is>
          <t>Montant à combler (FCFA) : fonds propres à constituer</t>
        </is>
      </c>
      <c r="C17" s="82">
        <f>MAX(0,'13b_parametres'!$C$7*'13c_donnees'!C14-'13c_donnees'!C13)</f>
        <v/>
      </c>
      <c r="D17" s="82">
        <f>MAX(0,'13b_parametres'!$C$7*'13c_donnees'!D14-'13c_donnees'!D13)</f>
        <v/>
      </c>
      <c r="E17" s="82">
        <f>MAX(0,'13b_parametres'!$C$7*'13c_donnees'!E14-'13c_donnees'!E13)</f>
        <v/>
      </c>
      <c r="F17" s="82">
        <f>MAX(0,'13b_parametres'!$C$7*'13c_donnees'!F14-'13c_donnees'!F13)</f>
        <v/>
      </c>
      <c r="G17" s="82">
        <f>MAX(0,'13b_parametres'!$C$7*'13c_donnees'!G14-'13c_donnees'!G13)</f>
        <v/>
      </c>
      <c r="H17" s="82">
        <f>MAX(0,'13b_parametres'!$C$7*'13c_donnees'!H14-'13c_donnees'!H13)</f>
        <v/>
      </c>
      <c r="I17" s="82">
        <f>MAX(0,'13b_parametres'!$C$7*'13c_donnees'!I14-'13c_donnees'!I13)</f>
        <v/>
      </c>
    </row>
    <row r="18" ht="16" customHeight="1">
      <c r="B18" s="84" t="inlineStr">
        <is>
          <t>Montant à combler en % de FP</t>
        </is>
      </c>
      <c r="C18" s="85">
        <f>IF(OR(C17="",'13c_donnees'!C13=0),"",C17/ABS('13c_donnees'!C13))</f>
        <v/>
      </c>
      <c r="D18" s="85">
        <f>IF(OR(D17="",'13c_donnees'!D13=0),"",D17/ABS('13c_donnees'!D13))</f>
        <v/>
      </c>
      <c r="E18" s="85">
        <f>IF(OR(E17="",'13c_donnees'!E13=0),"",E17/ABS('13c_donnees'!E13))</f>
        <v/>
      </c>
      <c r="F18" s="85">
        <f>IF(OR(F17="",'13c_donnees'!F13=0),"",F17/ABS('13c_donnees'!F13))</f>
        <v/>
      </c>
      <c r="G18" s="85">
        <f>IF(OR(G17="",'13c_donnees'!G13=0),"",G17/ABS('13c_donnees'!G13))</f>
        <v/>
      </c>
      <c r="H18" s="85">
        <f>IF(OR(H17="",'13c_donnees'!H13=0),"",H17/ABS('13c_donnees'!H13))</f>
        <v/>
      </c>
      <c r="I18" s="85">
        <f>IF(OR(I17="",'13c_donnees'!I13=0),"",I17/ABS('13c_donnees'!I13))</f>
        <v/>
      </c>
    </row>
    <row r="19"/>
    <row r="20" ht="16" customHeight="1">
      <c r="A20" s="78" t="inlineStr">
        <is>
          <t>LIQ</t>
        </is>
      </c>
      <c r="B20" s="78" t="inlineStr">
        <is>
          <t>Ratio de liquidité : valeur</t>
        </is>
      </c>
      <c r="C20" s="79">
        <f>'13c_donnees'!C15/'13c_donnees'!C16</f>
        <v/>
      </c>
      <c r="D20" s="79">
        <f>'13c_donnees'!D15/'13c_donnees'!D16</f>
        <v/>
      </c>
      <c r="E20" s="79">
        <f>'13c_donnees'!E15/'13c_donnees'!E16</f>
        <v/>
      </c>
      <c r="F20" s="79">
        <f>'13c_donnees'!F15/'13c_donnees'!F16</f>
        <v/>
      </c>
      <c r="G20" s="79">
        <f>'13c_donnees'!G15/'13c_donnees'!G16</f>
        <v/>
      </c>
      <c r="H20" s="79">
        <f>'13c_donnees'!H15/'13c_donnees'!H16</f>
        <v/>
      </c>
      <c r="I20" s="79">
        <f>'13c_donnees'!I15/'13c_donnees'!I16</f>
        <v/>
      </c>
      <c r="J20" s="80">
        <f>COUNTIF(C21:I21,"Non*")</f>
        <v/>
      </c>
      <c r="K20" s="81">
        <f>COUNTIF(E21:H21,"Non*")</f>
        <v/>
      </c>
      <c r="L20" s="81">
        <f>COUNTIF(C21:I21,"Conforme")+COUNTIF(C21:I21,"Non*")</f>
        <v/>
      </c>
      <c r="M20" s="82">
        <f>MIN(C22:I22)</f>
        <v/>
      </c>
      <c r="N20" s="82">
        <f>MAX(C22:I22)</f>
        <v/>
      </c>
      <c r="O20" s="82">
        <f>AVERAGE(C22:I22)</f>
        <v/>
      </c>
      <c r="P20" s="78">
        <f>IF(AND(J20&gt;0,J20=L20),"Structurel",IF(K20&gt;=2,"Récurrent",IF(J20&gt;0,"Ponctuel","Conforme")))</f>
        <v/>
      </c>
    </row>
    <row r="21" ht="16" customHeight="1">
      <c r="B21" s="83" t="inlineStr">
        <is>
          <t>Statut</t>
        </is>
      </c>
      <c r="C21" s="83">
        <f>IF(C20="","En attente",IF(AND(C20&gt;='13b_parametres'!$C$8,C20&lt;='13b_parametres'!$D$8),"Conforme","Non conforme"))</f>
        <v/>
      </c>
      <c r="D21" s="83">
        <f>IF(D20="","En attente",IF(AND(D20&gt;='13b_parametres'!$C$8,D20&lt;='13b_parametres'!$D$8),"Conforme","Non conforme"))</f>
        <v/>
      </c>
      <c r="E21" s="83">
        <f>IF(E20="","En attente",IF(AND(E20&gt;='13b_parametres'!$C$8,E20&lt;='13b_parametres'!$D$8),"Conforme","Non conforme"))</f>
        <v/>
      </c>
      <c r="F21" s="83">
        <f>IF(F20="","En attente",IF(AND(F20&gt;='13b_parametres'!$C$8,F20&lt;='13b_parametres'!$D$8),"Conforme","Non conforme"))</f>
        <v/>
      </c>
      <c r="G21" s="83">
        <f>IF(G20="","En attente",IF(AND(G20&gt;='13b_parametres'!$C$8,G20&lt;='13b_parametres'!$D$8),"Conforme","Non conforme"))</f>
        <v/>
      </c>
      <c r="H21" s="83">
        <f>IF(H20="","En attente",IF(AND(H20&gt;='13b_parametres'!$C$8,H20&lt;='13b_parametres'!$D$8),"Conforme","Non conforme"))</f>
        <v/>
      </c>
      <c r="I21" s="83">
        <f>IF(I20="","En attente",IF(AND(I20&gt;='13b_parametres'!$C$8,I20&lt;='13b_parametres'!$D$8),"Conforme","Non conforme"))</f>
        <v/>
      </c>
    </row>
    <row r="22" ht="28" customHeight="1">
      <c r="B22" s="84" t="inlineStr">
        <is>
          <t>Montant à combler (FCFA) : trésorerie à constituer</t>
        </is>
      </c>
      <c r="C22" s="82">
        <f>MAX(0,'13b_parametres'!$C$8*'13c_donnees'!C16-'13c_donnees'!C15)</f>
        <v/>
      </c>
      <c r="D22" s="82">
        <f>MAX(0,'13b_parametres'!$C$8*'13c_donnees'!D16-'13c_donnees'!D15)</f>
        <v/>
      </c>
      <c r="E22" s="82">
        <f>MAX(0,'13b_parametres'!$C$8*'13c_donnees'!E16-'13c_donnees'!E15)</f>
        <v/>
      </c>
      <c r="F22" s="82">
        <f>MAX(0,'13b_parametres'!$C$8*'13c_donnees'!F16-'13c_donnees'!F15)</f>
        <v/>
      </c>
      <c r="G22" s="82">
        <f>MAX(0,'13b_parametres'!$C$8*'13c_donnees'!G16-'13c_donnees'!G15)</f>
        <v/>
      </c>
      <c r="H22" s="82">
        <f>MAX(0,'13b_parametres'!$C$8*'13c_donnees'!H16-'13c_donnees'!H15)</f>
        <v/>
      </c>
      <c r="I22" s="82">
        <f>MAX(0,'13b_parametres'!$C$8*'13c_donnees'!I16-'13c_donnees'!I15)</f>
        <v/>
      </c>
    </row>
    <row r="23" ht="16" customHeight="1">
      <c r="B23" s="84" t="inlineStr">
        <is>
          <t>Montant à combler en % de TRE</t>
        </is>
      </c>
      <c r="C23" s="85">
        <f>IF(OR(C22="",'13c_donnees'!C15=0),"",C22/ABS('13c_donnees'!C15))</f>
        <v/>
      </c>
      <c r="D23" s="85">
        <f>IF(OR(D22="",'13c_donnees'!D15=0),"",D22/ABS('13c_donnees'!D15))</f>
        <v/>
      </c>
      <c r="E23" s="85">
        <f>IF(OR(E22="",'13c_donnees'!E15=0),"",E22/ABS('13c_donnees'!E15))</f>
        <v/>
      </c>
      <c r="F23" s="85">
        <f>IF(OR(F22="",'13c_donnees'!F15=0),"",F22/ABS('13c_donnees'!F15))</f>
        <v/>
      </c>
      <c r="G23" s="85">
        <f>IF(OR(G22="",'13c_donnees'!G15=0),"",G22/ABS('13c_donnees'!G15))</f>
        <v/>
      </c>
      <c r="H23" s="85">
        <f>IF(OR(H22="",'13c_donnees'!H15=0),"",H22/ABS('13c_donnees'!H15))</f>
        <v/>
      </c>
      <c r="I23" s="85">
        <f>IF(OR(I22="",'13c_donnees'!I15=0),"",I22/ABS('13c_donnees'!I15))</f>
        <v/>
      </c>
    </row>
    <row r="24"/>
    <row r="25" ht="16" customHeight="1">
      <c r="A25" s="78" t="inlineStr">
        <is>
          <t>EQS</t>
        </is>
      </c>
      <c r="B25" s="78" t="inlineStr">
        <is>
          <t>Ratio d'équilibre stable : valeur</t>
        </is>
      </c>
      <c r="C25" s="79">
        <f>'13c_donnees'!C18/'13c_donnees'!C19</f>
        <v/>
      </c>
      <c r="D25" s="79">
        <f>'13c_donnees'!D18/'13c_donnees'!D19</f>
        <v/>
      </c>
      <c r="E25" s="79">
        <f>'13c_donnees'!E18/'13c_donnees'!E19</f>
        <v/>
      </c>
      <c r="F25" s="79">
        <f>'13c_donnees'!F18/'13c_donnees'!F19</f>
        <v/>
      </c>
      <c r="G25" s="79">
        <f>'13c_donnees'!G18/'13c_donnees'!G19</f>
        <v/>
      </c>
      <c r="H25" s="79">
        <f>'13c_donnees'!H18/'13c_donnees'!H19</f>
        <v/>
      </c>
      <c r="I25" s="79">
        <f>'13c_donnees'!I18/'13c_donnees'!I19</f>
        <v/>
      </c>
      <c r="J25" s="80">
        <f>COUNTIF(C26:I26,"Non*")</f>
        <v/>
      </c>
      <c r="K25" s="81">
        <f>COUNTIF(E26:H26,"Non*")</f>
        <v/>
      </c>
      <c r="L25" s="81">
        <f>COUNTIF(C26:I26,"Conforme")+COUNTIF(C26:I26,"Non*")</f>
        <v/>
      </c>
      <c r="M25" s="82">
        <f>MIN(C27:I27)</f>
        <v/>
      </c>
      <c r="N25" s="82">
        <f>MAX(C27:I27)</f>
        <v/>
      </c>
      <c r="O25" s="82">
        <f>AVERAGE(C27:I27)</f>
        <v/>
      </c>
      <c r="P25" s="78">
        <f>IF(AND(J25&gt;0,J25=L25),"Structurel",IF(K25&gt;=2,"Récurrent",IF(J25&gt;0,"Ponctuel","Conforme")))</f>
        <v/>
      </c>
    </row>
    <row r="26" ht="16" customHeight="1">
      <c r="B26" s="83" t="inlineStr">
        <is>
          <t>Statut</t>
        </is>
      </c>
      <c r="C26" s="83">
        <f>IF(C25="","En attente",IF(AND(C25&gt;='13b_parametres'!$C$9,C25&lt;='13b_parametres'!$D$9),"Conforme","Non conforme"))</f>
        <v/>
      </c>
      <c r="D26" s="83">
        <f>IF(D25="","En attente",IF(AND(D25&gt;='13b_parametres'!$C$9,D25&lt;='13b_parametres'!$D$9),"Conforme","Non conforme"))</f>
        <v/>
      </c>
      <c r="E26" s="83">
        <f>IF(E25="","En attente",IF(AND(E25&gt;='13b_parametres'!$C$9,E25&lt;='13b_parametres'!$D$9),"Conforme","Non conforme"))</f>
        <v/>
      </c>
      <c r="F26" s="83">
        <f>IF(F25="","En attente",IF(AND(F25&gt;='13b_parametres'!$C$9,F25&lt;='13b_parametres'!$D$9),"Conforme","Non conforme"))</f>
        <v/>
      </c>
      <c r="G26" s="83">
        <f>IF(G25="","En attente",IF(AND(G25&gt;='13b_parametres'!$C$9,G25&lt;='13b_parametres'!$D$9),"Conforme","Non conforme"))</f>
        <v/>
      </c>
      <c r="H26" s="83">
        <f>IF(H25="","En attente",IF(AND(H25&gt;='13b_parametres'!$C$9,H25&lt;='13b_parametres'!$D$9),"Conforme","Non conforme"))</f>
        <v/>
      </c>
      <c r="I26" s="83">
        <f>IF(I25="","En attente",IF(AND(I25&gt;='13b_parametres'!$C$9,I25&lt;='13b_parametres'!$D$9),"Conforme","Non conforme"))</f>
        <v/>
      </c>
    </row>
    <row r="27" ht="28" customHeight="1">
      <c r="B27" s="84" t="inlineStr">
        <is>
          <t>Montant à combler (FCFA) : ressources longues à ajouter (ou emplois longs à céder)</t>
        </is>
      </c>
      <c r="C27" s="82">
        <f>MAX(0,'13c_donnees'!C18-'13b_parametres'!$D$9*'13c_donnees'!C19)</f>
        <v/>
      </c>
      <c r="D27" s="82">
        <f>MAX(0,'13c_donnees'!D18-'13b_parametres'!$D$9*'13c_donnees'!D19)</f>
        <v/>
      </c>
      <c r="E27" s="82">
        <f>MAX(0,'13c_donnees'!E18-'13b_parametres'!$D$9*'13c_donnees'!E19)</f>
        <v/>
      </c>
      <c r="F27" s="82">
        <f>MAX(0,'13c_donnees'!F18-'13b_parametres'!$D$9*'13c_donnees'!F19)</f>
        <v/>
      </c>
      <c r="G27" s="82">
        <f>MAX(0,'13c_donnees'!G18-'13b_parametres'!$D$9*'13c_donnees'!G19)</f>
        <v/>
      </c>
      <c r="H27" s="82">
        <f>MAX(0,'13c_donnees'!H18-'13b_parametres'!$D$9*'13c_donnees'!H19)</f>
        <v/>
      </c>
      <c r="I27" s="82">
        <f>MAX(0,'13c_donnees'!I18-'13b_parametres'!$D$9*'13c_donnees'!I19)</f>
        <v/>
      </c>
    </row>
    <row r="28" ht="16" customHeight="1">
      <c r="B28" s="84" t="inlineStr">
        <is>
          <t>Montant à combler en % de RESL</t>
        </is>
      </c>
      <c r="C28" s="85">
        <f>IF(OR(C27="",'13c_donnees'!C19=0),"",C27/ABS('13c_donnees'!C19))</f>
        <v/>
      </c>
      <c r="D28" s="85">
        <f>IF(OR(D27="",'13c_donnees'!D19=0),"",D27/ABS('13c_donnees'!D19))</f>
        <v/>
      </c>
      <c r="E28" s="85">
        <f>IF(OR(E27="",'13c_donnees'!E19=0),"",E27/ABS('13c_donnees'!E19))</f>
        <v/>
      </c>
      <c r="F28" s="85">
        <f>IF(OR(F27="",'13c_donnees'!F19=0),"",F27/ABS('13c_donnees'!F19))</f>
        <v/>
      </c>
      <c r="G28" s="85">
        <f>IF(OR(G27="",'13c_donnees'!G19=0),"",G27/ABS('13c_donnees'!G19))</f>
        <v/>
      </c>
      <c r="H28" s="85">
        <f>IF(OR(H27="",'13c_donnees'!H19=0),"",H27/ABS('13c_donnees'!H19))</f>
        <v/>
      </c>
      <c r="I28" s="85">
        <f>IF(OR(I27="",'13c_donnees'!I19=0),"",I27/ABS('13c_donnees'!I19))</f>
        <v/>
      </c>
    </row>
    <row r="29"/>
    <row r="30" ht="16" customHeight="1">
      <c r="A30" s="78" t="inlineStr">
        <is>
          <t>EXN</t>
        </is>
      </c>
      <c r="B30" s="78" t="inlineStr">
        <is>
          <t>Taux d'excédent net : valeur</t>
        </is>
      </c>
      <c r="C30" s="85">
        <f>'13c_donnees'!C11/'13c_donnees'!C5</f>
        <v/>
      </c>
      <c r="D30" s="85">
        <f>'13c_donnees'!D11/'13c_donnees'!D5</f>
        <v/>
      </c>
      <c r="E30" s="85">
        <f>'13c_donnees'!E11/'13c_donnees'!E5</f>
        <v/>
      </c>
      <c r="F30" s="85">
        <f>'13c_donnees'!F11/'13c_donnees'!F5</f>
        <v/>
      </c>
      <c r="G30" s="85">
        <f>'13c_donnees'!G11/'13c_donnees'!G5</f>
        <v/>
      </c>
      <c r="H30" s="85">
        <f>'13c_donnees'!H11/'13c_donnees'!H5</f>
        <v/>
      </c>
      <c r="I30" s="85">
        <f>'13c_donnees'!I11/'13c_donnees'!I5</f>
        <v/>
      </c>
      <c r="J30" s="80">
        <f>COUNTIF(C31:I31,"Non*")</f>
        <v/>
      </c>
      <c r="K30" s="81">
        <f>COUNTIF(E31:H31,"Non*")</f>
        <v/>
      </c>
      <c r="L30" s="81">
        <f>COUNTIF(C31:I31,"Conforme")+COUNTIF(C31:I31,"Non*")</f>
        <v/>
      </c>
      <c r="M30" s="82">
        <f>MIN(C32:I32)</f>
        <v/>
      </c>
      <c r="N30" s="82">
        <f>MAX(C32:I32)</f>
        <v/>
      </c>
      <c r="O30" s="82">
        <f>AVERAGE(C32:I32)</f>
        <v/>
      </c>
      <c r="P30" s="78">
        <f>IF(AND(J30&gt;0,J30=L30),"Structurel",IF(K30&gt;=2,"Récurrent",IF(J30&gt;0,"Ponctuel","Conforme")))</f>
        <v/>
      </c>
    </row>
    <row r="31" ht="16" customHeight="1">
      <c r="B31" s="83" t="inlineStr">
        <is>
          <t>Statut</t>
        </is>
      </c>
      <c r="C31" s="83">
        <f>IF(C30="","En attente",IF(AND(C30&gt;='13b_parametres'!$C$10,C30&lt;='13b_parametres'!$D$10),"Conforme","Non conforme"))</f>
        <v/>
      </c>
      <c r="D31" s="83">
        <f>IF(D30="","En attente",IF(AND(D30&gt;='13b_parametres'!$C$10,D30&lt;='13b_parametres'!$D$10),"Conforme","Non conforme"))</f>
        <v/>
      </c>
      <c r="E31" s="83">
        <f>IF(E30="","En attente",IF(AND(E30&gt;='13b_parametres'!$C$10,E30&lt;='13b_parametres'!$D$10),"Conforme","Non conforme"))</f>
        <v/>
      </c>
      <c r="F31" s="83">
        <f>IF(F30="","En attente",IF(AND(F30&gt;='13b_parametres'!$C$10,F30&lt;='13b_parametres'!$D$10),"Conforme","Non conforme"))</f>
        <v/>
      </c>
      <c r="G31" s="83">
        <f>IF(G30="","En attente",IF(AND(G30&gt;='13b_parametres'!$C$10,G30&lt;='13b_parametres'!$D$10),"Conforme","Non conforme"))</f>
        <v/>
      </c>
      <c r="H31" s="83">
        <f>IF(H30="","En attente",IF(AND(H30&gt;='13b_parametres'!$C$10,H30&lt;='13b_parametres'!$D$10),"Conforme","Non conforme"))</f>
        <v/>
      </c>
      <c r="I31" s="83">
        <f>IF(I30="","En attente",IF(AND(I30&gt;='13b_parametres'!$C$10,I30&lt;='13b_parametres'!$D$10),"Conforme","Non conforme"))</f>
        <v/>
      </c>
    </row>
    <row r="32" ht="28" customHeight="1">
      <c r="B32" s="84" t="inlineStr">
        <is>
          <t>Montant à combler (FCFA) : excédent à réduire (déficit à combler si négatif)</t>
        </is>
      </c>
      <c r="C32" s="82">
        <f>IF('13c_donnees'!C11&lt;0,-'13c_donnees'!C11,MAX(0,'13c_donnees'!C11-'13b_parametres'!$D$10*'13c_donnees'!C5))</f>
        <v/>
      </c>
      <c r="D32" s="82">
        <f>IF('13c_donnees'!D11&lt;0,-'13c_donnees'!D11,MAX(0,'13c_donnees'!D11-'13b_parametres'!$D$10*'13c_donnees'!D5))</f>
        <v/>
      </c>
      <c r="E32" s="82">
        <f>IF('13c_donnees'!E11&lt;0,-'13c_donnees'!E11,MAX(0,'13c_donnees'!E11-'13b_parametres'!$D$10*'13c_donnees'!E5))</f>
        <v/>
      </c>
      <c r="F32" s="82">
        <f>IF('13c_donnees'!F11&lt;0,-'13c_donnees'!F11,MAX(0,'13c_donnees'!F11-'13b_parametres'!$D$10*'13c_donnees'!F5))</f>
        <v/>
      </c>
      <c r="G32" s="82">
        <f>IF('13c_donnees'!G11&lt;0,-'13c_donnees'!G11,MAX(0,'13c_donnees'!G11-'13b_parametres'!$D$10*'13c_donnees'!G5))</f>
        <v/>
      </c>
      <c r="H32" s="82">
        <f>IF('13c_donnees'!H11&lt;0,-'13c_donnees'!H11,MAX(0,'13c_donnees'!H11-'13b_parametres'!$D$10*'13c_donnees'!H5))</f>
        <v/>
      </c>
      <c r="I32" s="82">
        <f>IF('13c_donnees'!I11&lt;0,-'13c_donnees'!I11,MAX(0,'13c_donnees'!I11-'13b_parametres'!$D$10*'13c_donnees'!I5))</f>
        <v/>
      </c>
    </row>
    <row r="33" ht="16" customHeight="1">
      <c r="B33" s="84" t="inlineStr">
        <is>
          <t>Montant à combler en % de RN</t>
        </is>
      </c>
      <c r="C33" s="85">
        <f>IF(OR(C32="",'13c_donnees'!C11=0),"",C32/ABS('13c_donnees'!C11))</f>
        <v/>
      </c>
      <c r="D33" s="85">
        <f>IF(OR(D32="",'13c_donnees'!D11=0),"",D32/ABS('13c_donnees'!D11))</f>
        <v/>
      </c>
      <c r="E33" s="85">
        <f>IF(OR(E32="",'13c_donnees'!E11=0),"",E32/ABS('13c_donnees'!E11))</f>
        <v/>
      </c>
      <c r="F33" s="85">
        <f>IF(OR(F32="",'13c_donnees'!F11=0),"",F32/ABS('13c_donnees'!F11))</f>
        <v/>
      </c>
      <c r="G33" s="85">
        <f>IF(OR(G32="",'13c_donnees'!G11=0),"",G32/ABS('13c_donnees'!G11))</f>
        <v/>
      </c>
      <c r="H33" s="85">
        <f>IF(OR(H32="",'13c_donnees'!H11=0),"",H32/ABS('13c_donnees'!H11))</f>
        <v/>
      </c>
      <c r="I33" s="85">
        <f>IF(OR(I32="",'13c_donnees'!I11=0),"",I32/ABS('13c_donnees'!I11))</f>
        <v/>
      </c>
    </row>
    <row r="34"/>
    <row r="35" ht="16" customHeight="1">
      <c r="A35" s="78" t="inlineStr">
        <is>
          <t>RL1</t>
        </is>
      </c>
      <c r="B35" s="78" t="inlineStr">
        <is>
          <t>Solvabilité de la branche épargne : valeur</t>
        </is>
      </c>
      <c r="C35" s="79">
        <f>'13c_donnees'!C20/'13c_donnees'!C21</f>
        <v/>
      </c>
      <c r="D35" s="79">
        <f>'13c_donnees'!D20/'13c_donnees'!D21</f>
        <v/>
      </c>
      <c r="E35" s="79">
        <f>'13c_donnees'!E20/'13c_donnees'!E21</f>
        <v/>
      </c>
      <c r="F35" s="79">
        <f>'13c_donnees'!F20/'13c_donnees'!F21</f>
        <v/>
      </c>
      <c r="G35" s="79">
        <f>'13c_donnees'!G20/'13c_donnees'!G21</f>
        <v/>
      </c>
      <c r="H35" s="79">
        <f>'13c_donnees'!H20/'13c_donnees'!H21</f>
        <v/>
      </c>
      <c r="I35" s="79">
        <f>'13c_donnees'!I20/'13c_donnees'!I21</f>
        <v/>
      </c>
      <c r="J35" s="80">
        <f>COUNTIF(C36:I36,"Non*")</f>
        <v/>
      </c>
      <c r="K35" s="81">
        <f>COUNTIF(E36:H36,"Non*")</f>
        <v/>
      </c>
      <c r="L35" s="81">
        <f>COUNTIF(C36:I36,"Conforme")+COUNTIF(C36:I36,"Non*")</f>
        <v/>
      </c>
      <c r="M35" s="82">
        <f>MIN(C37:I37)</f>
        <v/>
      </c>
      <c r="N35" s="82">
        <f>MAX(C37:I37)</f>
        <v/>
      </c>
      <c r="O35" s="82">
        <f>AVERAGE(C37:I37)</f>
        <v/>
      </c>
      <c r="P35" s="78">
        <f>IF(AND(J35&gt;0,J35=L35),"Structurel",IF(K35&gt;=2,"Récurrent",IF(J35&gt;0,"Ponctuel","Conforme")))</f>
        <v/>
      </c>
    </row>
    <row r="36" ht="16" customHeight="1">
      <c r="B36" s="83" t="inlineStr">
        <is>
          <t>Statut</t>
        </is>
      </c>
      <c r="C36" s="83">
        <f>IF(C35="","En attente",IF(AND(C35&gt;='13b_parametres'!$C$11,C35&lt;='13b_parametres'!$D$11),"Conforme","Non conforme"))</f>
        <v/>
      </c>
      <c r="D36" s="83">
        <f>IF(D35="","En attente",IF(AND(D35&gt;='13b_parametres'!$C$11,D35&lt;='13b_parametres'!$D$11),"Conforme","Non conforme"))</f>
        <v/>
      </c>
      <c r="E36" s="83">
        <f>IF(E35="","En attente",IF(AND(E35&gt;='13b_parametres'!$C$11,E35&lt;='13b_parametres'!$D$11),"Conforme","Non conforme"))</f>
        <v/>
      </c>
      <c r="F36" s="83">
        <f>IF(F35="","En attente",IF(AND(F35&gt;='13b_parametres'!$C$11,F35&lt;='13b_parametres'!$D$11),"Conforme","Non conforme"))</f>
        <v/>
      </c>
      <c r="G36" s="83">
        <f>IF(G35="","En attente",IF(AND(G35&gt;='13b_parametres'!$C$11,G35&lt;='13b_parametres'!$D$11),"Conforme","Non conforme"))</f>
        <v/>
      </c>
      <c r="H36" s="83">
        <f>IF(H35="","En attente",IF(AND(H35&gt;='13b_parametres'!$C$11,H35&lt;='13b_parametres'!$D$11),"Conforme","Non conforme"))</f>
        <v/>
      </c>
      <c r="I36" s="83">
        <f>IF(I35="","En attente",IF(AND(I35&gt;='13b_parametres'!$C$11,I35&lt;='13b_parametres'!$D$11),"Conforme","Non conforme"))</f>
        <v/>
      </c>
    </row>
    <row r="37" ht="28" customHeight="1">
      <c r="B37" s="84" t="inlineStr">
        <is>
          <t>Montant à combler (FCFA) : actifs admis à affecter à l'épargne</t>
        </is>
      </c>
      <c r="C37" s="82">
        <f>MAX(0,'13b_parametres'!$C$11*'13c_donnees'!C21-'13c_donnees'!C20)</f>
        <v/>
      </c>
      <c r="D37" s="82">
        <f>MAX(0,'13b_parametres'!$C$11*'13c_donnees'!D21-'13c_donnees'!D20)</f>
        <v/>
      </c>
      <c r="E37" s="82">
        <f>MAX(0,'13b_parametres'!$C$11*'13c_donnees'!E21-'13c_donnees'!E20)</f>
        <v/>
      </c>
      <c r="F37" s="82">
        <f>MAX(0,'13b_parametres'!$C$11*'13c_donnees'!F21-'13c_donnees'!F20)</f>
        <v/>
      </c>
      <c r="G37" s="82">
        <f>MAX(0,'13b_parametres'!$C$11*'13c_donnees'!G21-'13c_donnees'!G20)</f>
        <v/>
      </c>
      <c r="H37" s="82">
        <f>MAX(0,'13b_parametres'!$C$11*'13c_donnees'!H21-'13c_donnees'!H20)</f>
        <v/>
      </c>
      <c r="I37" s="82">
        <f>MAX(0,'13b_parametres'!$C$11*'13c_donnees'!I21-'13c_donnees'!I20)</f>
        <v/>
      </c>
    </row>
    <row r="38" ht="16" customHeight="1">
      <c r="B38" s="84" t="inlineStr">
        <is>
          <t>Montant à combler en % de ACTEP</t>
        </is>
      </c>
      <c r="C38" s="85">
        <f>IF(OR(C37="",'13c_donnees'!C20=0),"",C37/ABS('13c_donnees'!C20))</f>
        <v/>
      </c>
      <c r="D38" s="85">
        <f>IF(OR(D37="",'13c_donnees'!D20=0),"",D37/ABS('13c_donnees'!D20))</f>
        <v/>
      </c>
      <c r="E38" s="85">
        <f>IF(OR(E37="",'13c_donnees'!E20=0),"",E37/ABS('13c_donnees'!E20))</f>
        <v/>
      </c>
      <c r="F38" s="85">
        <f>IF(OR(F37="",'13c_donnees'!F20=0),"",F37/ABS('13c_donnees'!F20))</f>
        <v/>
      </c>
      <c r="G38" s="85">
        <f>IF(OR(G37="",'13c_donnees'!G20=0),"",G37/ABS('13c_donnees'!G20))</f>
        <v/>
      </c>
      <c r="H38" s="85">
        <f>IF(OR(H37="",'13c_donnees'!H20=0),"",H37/ABS('13c_donnees'!H20))</f>
        <v/>
      </c>
      <c r="I38" s="85">
        <f>IF(OR(I37="",'13c_donnees'!I20=0),"",I37/ABS('13c_donnees'!I20))</f>
        <v/>
      </c>
    </row>
    <row r="39"/>
    <row r="40" ht="16" customHeight="1">
      <c r="A40" s="78" t="inlineStr">
        <is>
          <t>RL2</t>
        </is>
      </c>
      <c r="B40" s="78" t="inlineStr">
        <is>
          <t>Trésorerie à échéance (risques longs) : valeur</t>
        </is>
      </c>
      <c r="C40" s="79">
        <f>'13c_donnees'!C17/'13c_donnees'!C16</f>
        <v/>
      </c>
      <c r="D40" s="79">
        <f>'13c_donnees'!D17/'13c_donnees'!D16</f>
        <v/>
      </c>
      <c r="E40" s="79">
        <f>'13c_donnees'!E17/'13c_donnees'!E16</f>
        <v/>
      </c>
      <c r="F40" s="79">
        <f>'13c_donnees'!F17/'13c_donnees'!F16</f>
        <v/>
      </c>
      <c r="G40" s="79">
        <f>'13c_donnees'!G17/'13c_donnees'!G16</f>
        <v/>
      </c>
      <c r="H40" s="79">
        <f>'13c_donnees'!H17/'13c_donnees'!H16</f>
        <v/>
      </c>
      <c r="I40" s="79">
        <f>'13c_donnees'!I17/'13c_donnees'!I16</f>
        <v/>
      </c>
      <c r="J40" s="80">
        <f>COUNTIF(C41:I41,"Non*")</f>
        <v/>
      </c>
      <c r="K40" s="81">
        <f>COUNTIF(E41:H41,"Non*")</f>
        <v/>
      </c>
      <c r="L40" s="81">
        <f>COUNTIF(C41:I41,"Conforme")+COUNTIF(C41:I41,"Non*")</f>
        <v/>
      </c>
      <c r="M40" s="82">
        <f>MIN(C42:I42)</f>
        <v/>
      </c>
      <c r="N40" s="82">
        <f>MAX(C42:I42)</f>
        <v/>
      </c>
      <c r="O40" s="82">
        <f>AVERAGE(C42:I42)</f>
        <v/>
      </c>
      <c r="P40" s="78">
        <f>IF(AND(J40&gt;0,J40=L40),"Structurel",IF(K40&gt;=2,"Récurrent",IF(J40&gt;0,"Ponctuel","Conforme")))</f>
        <v/>
      </c>
    </row>
    <row r="41" ht="16" customHeight="1">
      <c r="B41" s="83" t="inlineStr">
        <is>
          <t>Statut</t>
        </is>
      </c>
      <c r="C41" s="83">
        <f>IF(C40="","En attente",IF(AND(C40&gt;'13b_parametres'!$C$12,C40&lt;='13b_parametres'!$D$12),"Conforme","Non conforme"))</f>
        <v/>
      </c>
      <c r="D41" s="83">
        <f>IF(D40="","En attente",IF(AND(D40&gt;'13b_parametres'!$C$12,D40&lt;='13b_parametres'!$D$12),"Conforme","Non conforme"))</f>
        <v/>
      </c>
      <c r="E41" s="83">
        <f>IF(E40="","En attente",IF(AND(E40&gt;'13b_parametres'!$C$12,E40&lt;='13b_parametres'!$D$12),"Conforme","Non conforme"))</f>
        <v/>
      </c>
      <c r="F41" s="83">
        <f>IF(F40="","En attente",IF(AND(F40&gt;'13b_parametres'!$C$12,F40&lt;='13b_parametres'!$D$12),"Conforme","Non conforme"))</f>
        <v/>
      </c>
      <c r="G41" s="83">
        <f>IF(G40="","En attente",IF(AND(G40&gt;'13b_parametres'!$C$12,G40&lt;='13b_parametres'!$D$12),"Conforme","Non conforme"))</f>
        <v/>
      </c>
      <c r="H41" s="83">
        <f>IF(H40="","En attente",IF(AND(H40&gt;'13b_parametres'!$C$12,H40&lt;='13b_parametres'!$D$12),"Conforme","Non conforme"))</f>
        <v/>
      </c>
      <c r="I41" s="83">
        <f>IF(I40="","En attente",IF(AND(I40&gt;'13b_parametres'!$C$12,I40&lt;='13b_parametres'!$D$12),"Conforme","Non conforme"))</f>
        <v/>
      </c>
    </row>
    <row r="42" ht="28" customHeight="1">
      <c r="B42" s="84" t="inlineStr">
        <is>
          <t>Montant à combler (FCFA) : valeurs réalisables ou disponibles à constituer</t>
        </is>
      </c>
      <c r="C42" s="82">
        <f>MAX(0,'13b_parametres'!$C$12*'13c_donnees'!C16-'13c_donnees'!C17)</f>
        <v/>
      </c>
      <c r="D42" s="82">
        <f>MAX(0,'13b_parametres'!$C$12*'13c_donnees'!D16-'13c_donnees'!D17)</f>
        <v/>
      </c>
      <c r="E42" s="82">
        <f>MAX(0,'13b_parametres'!$C$12*'13c_donnees'!E16-'13c_donnees'!E17)</f>
        <v/>
      </c>
      <c r="F42" s="82">
        <f>MAX(0,'13b_parametres'!$C$12*'13c_donnees'!F16-'13c_donnees'!F17)</f>
        <v/>
      </c>
      <c r="G42" s="82">
        <f>MAX(0,'13b_parametres'!$C$12*'13c_donnees'!G16-'13c_donnees'!G17)</f>
        <v/>
      </c>
      <c r="H42" s="82">
        <f>MAX(0,'13b_parametres'!$C$12*'13c_donnees'!H16-'13c_donnees'!H17)</f>
        <v/>
      </c>
      <c r="I42" s="82">
        <f>MAX(0,'13b_parametres'!$C$12*'13c_donnees'!I16-'13c_donnees'!I17)</f>
        <v/>
      </c>
    </row>
    <row r="43" ht="16" customHeight="1">
      <c r="B43" s="84" t="inlineStr">
        <is>
          <t>Montant à combler en % de RL2N</t>
        </is>
      </c>
      <c r="C43" s="85">
        <f>IF(OR(C42="",'13c_donnees'!C17=0),"",C42/ABS('13c_donnees'!C17))</f>
        <v/>
      </c>
      <c r="D43" s="85">
        <f>IF(OR(D42="",'13c_donnees'!D17=0),"",D42/ABS('13c_donnees'!D17))</f>
        <v/>
      </c>
      <c r="E43" s="85">
        <f>IF(OR(E42="",'13c_donnees'!E17=0),"",E42/ABS('13c_donnees'!E17))</f>
        <v/>
      </c>
      <c r="F43" s="85">
        <f>IF(OR(F42="",'13c_donnees'!F17=0),"",F42/ABS('13c_donnees'!F17))</f>
        <v/>
      </c>
      <c r="G43" s="85">
        <f>IF(OR(G42="",'13c_donnees'!G17=0),"",G42/ABS('13c_donnees'!G17))</f>
        <v/>
      </c>
      <c r="H43" s="85">
        <f>IF(OR(H42="",'13c_donnees'!H17=0),"",H42/ABS('13c_donnees'!H17))</f>
        <v/>
      </c>
      <c r="I43" s="85">
        <f>IF(OR(I42="",'13c_donnees'!I17=0),"",I42/ABS('13c_donnees'!I17))</f>
        <v/>
      </c>
    </row>
    <row r="44"/>
    <row r="45" ht="16" customHeight="1">
      <c r="A45" s="78" t="inlineStr">
        <is>
          <t>RL3</t>
        </is>
      </c>
      <c r="B45" s="78" t="inlineStr">
        <is>
          <t>Trésorerie immédiate (risques longs) : valeur</t>
        </is>
      </c>
      <c r="C45" s="79">
        <f>'13c_donnees'!C15/'13c_donnees'!C16</f>
        <v/>
      </c>
      <c r="D45" s="79">
        <f>'13c_donnees'!D15/'13c_donnees'!D16</f>
        <v/>
      </c>
      <c r="E45" s="79">
        <f>'13c_donnees'!E15/'13c_donnees'!E16</f>
        <v/>
      </c>
      <c r="F45" s="79">
        <f>'13c_donnees'!F15/'13c_donnees'!F16</f>
        <v/>
      </c>
      <c r="G45" s="79">
        <f>'13c_donnees'!G15/'13c_donnees'!G16</f>
        <v/>
      </c>
      <c r="H45" s="79">
        <f>'13c_donnees'!H15/'13c_donnees'!H16</f>
        <v/>
      </c>
      <c r="I45" s="79">
        <f>'13c_donnees'!I15/'13c_donnees'!I16</f>
        <v/>
      </c>
      <c r="J45" s="80">
        <f>COUNTIF(C46:I46,"Non*")</f>
        <v/>
      </c>
      <c r="K45" s="81">
        <f>COUNTIF(E46:H46,"Non*")</f>
        <v/>
      </c>
      <c r="L45" s="81">
        <f>COUNTIF(C46:I46,"Conforme")+COUNTIF(C46:I46,"Non*")</f>
        <v/>
      </c>
      <c r="M45" s="82">
        <f>MIN(C47:I47)</f>
        <v/>
      </c>
      <c r="N45" s="82">
        <f>MAX(C47:I47)</f>
        <v/>
      </c>
      <c r="O45" s="82">
        <f>AVERAGE(C47:I47)</f>
        <v/>
      </c>
      <c r="P45" s="78">
        <f>IF(AND(J45&gt;0,J45=L45),"Structurel",IF(K45&gt;=2,"Récurrent",IF(J45&gt;0,"Ponctuel","Conforme")))</f>
        <v/>
      </c>
    </row>
    <row r="46" ht="16" customHeight="1">
      <c r="B46" s="83" t="inlineStr">
        <is>
          <t>Statut</t>
        </is>
      </c>
      <c r="C46" s="83">
        <f>IF(C45="","En attente",IF(AND(C45&gt;='13b_parametres'!$C$13,C45&lt;='13b_parametres'!$D$13),"Conforme","Non conforme"))</f>
        <v/>
      </c>
      <c r="D46" s="83">
        <f>IF(D45="","En attente",IF(AND(D45&gt;='13b_parametres'!$C$13,D45&lt;='13b_parametres'!$D$13),"Conforme","Non conforme"))</f>
        <v/>
      </c>
      <c r="E46" s="83">
        <f>IF(E45="","En attente",IF(AND(E45&gt;='13b_parametres'!$C$13,E45&lt;='13b_parametres'!$D$13),"Conforme","Non conforme"))</f>
        <v/>
      </c>
      <c r="F46" s="83">
        <f>IF(F45="","En attente",IF(AND(F45&gt;='13b_parametres'!$C$13,F45&lt;='13b_parametres'!$D$13),"Conforme","Non conforme"))</f>
        <v/>
      </c>
      <c r="G46" s="83">
        <f>IF(G45="","En attente",IF(AND(G45&gt;='13b_parametres'!$C$13,G45&lt;='13b_parametres'!$D$13),"Conforme","Non conforme"))</f>
        <v/>
      </c>
      <c r="H46" s="83">
        <f>IF(H45="","En attente",IF(AND(H45&gt;='13b_parametres'!$C$13,H45&lt;='13b_parametres'!$D$13),"Conforme","Non conforme"))</f>
        <v/>
      </c>
      <c r="I46" s="83">
        <f>IF(I45="","En attente",IF(AND(I45&gt;='13b_parametres'!$C$13,I45&lt;='13b_parametres'!$D$13),"Conforme","Non conforme"))</f>
        <v/>
      </c>
    </row>
    <row r="47" ht="28" customHeight="1">
      <c r="B47" s="84" t="inlineStr">
        <is>
          <t>Montant à combler (FCFA) : disponibilités à constituer</t>
        </is>
      </c>
      <c r="C47" s="82">
        <f>MAX(0,'13b_parametres'!$C$13*'13c_donnees'!C16-'13c_donnees'!C15)</f>
        <v/>
      </c>
      <c r="D47" s="82">
        <f>MAX(0,'13b_parametres'!$C$13*'13c_donnees'!D16-'13c_donnees'!D15)</f>
        <v/>
      </c>
      <c r="E47" s="82">
        <f>MAX(0,'13b_parametres'!$C$13*'13c_donnees'!E16-'13c_donnees'!E15)</f>
        <v/>
      </c>
      <c r="F47" s="82">
        <f>MAX(0,'13b_parametres'!$C$13*'13c_donnees'!F16-'13c_donnees'!F15)</f>
        <v/>
      </c>
      <c r="G47" s="82">
        <f>MAX(0,'13b_parametres'!$C$13*'13c_donnees'!G16-'13c_donnees'!G15)</f>
        <v/>
      </c>
      <c r="H47" s="82">
        <f>MAX(0,'13b_parametres'!$C$13*'13c_donnees'!H16-'13c_donnees'!H15)</f>
        <v/>
      </c>
      <c r="I47" s="82">
        <f>MAX(0,'13b_parametres'!$C$13*'13c_donnees'!I16-'13c_donnees'!I15)</f>
        <v/>
      </c>
    </row>
    <row r="48" ht="16" customHeight="1">
      <c r="B48" s="84" t="inlineStr">
        <is>
          <t>Montant à combler en % de TRE</t>
        </is>
      </c>
      <c r="C48" s="85">
        <f>IF(OR(C47="",'13c_donnees'!C15=0),"",C47/ABS('13c_donnees'!C15))</f>
        <v/>
      </c>
      <c r="D48" s="85">
        <f>IF(OR(D47="",'13c_donnees'!D15=0),"",D47/ABS('13c_donnees'!D15))</f>
        <v/>
      </c>
      <c r="E48" s="85">
        <f>IF(OR(E47="",'13c_donnees'!E15=0),"",E47/ABS('13c_donnees'!E15))</f>
        <v/>
      </c>
      <c r="F48" s="85">
        <f>IF(OR(F47="",'13c_donnees'!F15=0),"",F47/ABS('13c_donnees'!F15))</f>
        <v/>
      </c>
      <c r="G48" s="85">
        <f>IF(OR(G47="",'13c_donnees'!G15=0),"",G47/ABS('13c_donnees'!G15))</f>
        <v/>
      </c>
      <c r="H48" s="85">
        <f>IF(OR(H47="",'13c_donnees'!H15=0),"",H47/ABS('13c_donnees'!H15))</f>
        <v/>
      </c>
      <c r="I48" s="85">
        <f>IF(OR(I47="",'13c_donnees'!I15=0),"",I47/ABS('13c_donnees'!I15))</f>
        <v/>
      </c>
    </row>
    <row r="49"/>
    <row r="50" ht="16" customHeight="1">
      <c r="A50" s="78" t="inlineStr">
        <is>
          <t>RL4</t>
        </is>
      </c>
      <c r="B50" s="78" t="inlineStr">
        <is>
          <t>Réserve de trésorerie (trimestres) : valeur</t>
        </is>
      </c>
      <c r="C50" s="79">
        <f>'13c_donnees'!C22/'13c_donnees'!C23</f>
        <v/>
      </c>
      <c r="D50" s="79">
        <f>'13c_donnees'!D22/'13c_donnees'!D23</f>
        <v/>
      </c>
      <c r="E50" s="79">
        <f>'13c_donnees'!E22/'13c_donnees'!E23</f>
        <v/>
      </c>
      <c r="F50" s="79">
        <f>'13c_donnees'!F22/'13c_donnees'!F23</f>
        <v/>
      </c>
      <c r="G50" s="79">
        <f>'13c_donnees'!G22/'13c_donnees'!G23</f>
        <v/>
      </c>
      <c r="H50" s="79">
        <f>'13c_donnees'!H22/'13c_donnees'!H23</f>
        <v/>
      </c>
      <c r="I50" s="79">
        <f>'13c_donnees'!I22/'13c_donnees'!I23</f>
        <v/>
      </c>
      <c r="J50" s="80">
        <f>COUNTIF(C51:I51,"Non*")</f>
        <v/>
      </c>
      <c r="K50" s="81">
        <f>COUNTIF(E51:H51,"Non*")</f>
        <v/>
      </c>
      <c r="L50" s="81">
        <f>COUNTIF(C51:I51,"Conforme")+COUNTIF(C51:I51,"Non*")</f>
        <v/>
      </c>
      <c r="M50" s="82">
        <f>MIN(C52:I52)</f>
        <v/>
      </c>
      <c r="N50" s="82">
        <f>MAX(C52:I52)</f>
        <v/>
      </c>
      <c r="O50" s="82">
        <f>AVERAGE(C52:I52)</f>
        <v/>
      </c>
      <c r="P50" s="78">
        <f>IF(AND(J50&gt;0,J50=L50),"Structurel",IF(K50&gt;=2,"Récurrent",IF(J50&gt;0,"Ponctuel","Conforme")))</f>
        <v/>
      </c>
    </row>
    <row r="51" ht="16" customHeight="1">
      <c r="B51" s="83" t="inlineStr">
        <is>
          <t>Statut</t>
        </is>
      </c>
      <c r="C51" s="83">
        <f>IF(C50="","En attente",IF(AND(C50&gt;='13b_parametres'!$C$14,C50&lt;='13b_parametres'!$D$14),"Conforme","Non conforme"))</f>
        <v/>
      </c>
      <c r="D51" s="83">
        <f>IF(D50="","En attente",IF(AND(D50&gt;='13b_parametres'!$C$14,D50&lt;='13b_parametres'!$D$14),"Conforme","Non conforme"))</f>
        <v/>
      </c>
      <c r="E51" s="83">
        <f>IF(E50="","En attente",IF(AND(E50&gt;='13b_parametres'!$C$14,E50&lt;='13b_parametres'!$D$14),"Conforme","Non conforme"))</f>
        <v/>
      </c>
      <c r="F51" s="83">
        <f>IF(F50="","En attente",IF(AND(F50&gt;='13b_parametres'!$C$14,F50&lt;='13b_parametres'!$D$14),"Conforme","Non conforme"))</f>
        <v/>
      </c>
      <c r="G51" s="83">
        <f>IF(G50="","En attente",IF(AND(G50&gt;='13b_parametres'!$C$14,G50&lt;='13b_parametres'!$D$14),"Conforme","Non conforme"))</f>
        <v/>
      </c>
      <c r="H51" s="83">
        <f>IF(H50="","En attente",IF(AND(H50&gt;='13b_parametres'!$C$14,H50&lt;='13b_parametres'!$D$14),"Conforme","Non conforme"))</f>
        <v/>
      </c>
      <c r="I51" s="83">
        <f>IF(I50="","En attente",IF(AND(I50&gt;='13b_parametres'!$C$14,I50&lt;='13b_parametres'!$D$14),"Conforme","Non conforme"))</f>
        <v/>
      </c>
    </row>
    <row r="52" ht="28" customHeight="1">
      <c r="B52" s="84" t="inlineStr">
        <is>
          <t>Montant à combler (FCFA) : réserve de trésorerie à constituer</t>
        </is>
      </c>
      <c r="C52" s="82">
        <f>MAX(0,'13b_parametres'!$C$14*'13c_donnees'!C23-'13c_donnees'!C22)</f>
        <v/>
      </c>
      <c r="D52" s="82">
        <f>MAX(0,'13b_parametres'!$C$14*'13c_donnees'!D23-'13c_donnees'!D22)</f>
        <v/>
      </c>
      <c r="E52" s="82">
        <f>MAX(0,'13b_parametres'!$C$14*'13c_donnees'!E23-'13c_donnees'!E22)</f>
        <v/>
      </c>
      <c r="F52" s="82">
        <f>MAX(0,'13b_parametres'!$C$14*'13c_donnees'!F23-'13c_donnees'!F22)</f>
        <v/>
      </c>
      <c r="G52" s="82">
        <f>MAX(0,'13b_parametres'!$C$14*'13c_donnees'!G23-'13c_donnees'!G22)</f>
        <v/>
      </c>
      <c r="H52" s="82">
        <f>MAX(0,'13b_parametres'!$C$14*'13c_donnees'!H23-'13c_donnees'!H22)</f>
        <v/>
      </c>
      <c r="I52" s="82">
        <f>MAX(0,'13b_parametres'!$C$14*'13c_donnees'!I23-'13c_donnees'!I22)</f>
        <v/>
      </c>
    </row>
    <row r="53" ht="16" customHeight="1">
      <c r="B53" s="84" t="inlineStr">
        <is>
          <t>Montant à combler en % de RL4D</t>
        </is>
      </c>
      <c r="C53" s="85">
        <f>IF(OR(C52="",'13c_donnees'!C23=0),"",C52/ABS('13c_donnees'!C23))</f>
        <v/>
      </c>
      <c r="D53" s="85">
        <f>IF(OR(D52="",'13c_donnees'!D23=0),"",D52/ABS('13c_donnees'!D23))</f>
        <v/>
      </c>
      <c r="E53" s="85">
        <f>IF(OR(E52="",'13c_donnees'!E23=0),"",E52/ABS('13c_donnees'!E23))</f>
        <v/>
      </c>
      <c r="F53" s="85">
        <f>IF(OR(F52="",'13c_donnees'!F23=0),"",F52/ABS('13c_donnees'!F23))</f>
        <v/>
      </c>
      <c r="G53" s="85">
        <f>IF(OR(G52="",'13c_donnees'!G23=0),"",G52/ABS('13c_donnees'!G23))</f>
        <v/>
      </c>
      <c r="H53" s="85">
        <f>IF(OR(H52="",'13c_donnees'!H23=0),"",H52/ABS('13c_donnees'!H23))</f>
        <v/>
      </c>
      <c r="I53" s="85">
        <f>IF(OR(I52="",'13c_donnees'!I23=0),"",I52/ABS('13c_donnees'!I23))</f>
        <v/>
      </c>
    </row>
    <row r="54"/>
    <row r="55" ht="16" customHeight="1">
      <c r="A55" s="78" t="inlineStr">
        <is>
          <t>RL5</t>
        </is>
      </c>
      <c r="B55" s="78" t="inlineStr">
        <is>
          <t>Fonds propres / prestations longues : valeur</t>
        </is>
      </c>
      <c r="C55" s="79">
        <f>IF('13c_donnees'!C25="","",'13c_donnees'!C24/'13c_donnees'!C25)</f>
        <v/>
      </c>
      <c r="D55" s="79">
        <f>IF('13c_donnees'!D25="","",'13c_donnees'!D24/'13c_donnees'!D25)</f>
        <v/>
      </c>
      <c r="E55" s="79">
        <f>IF('13c_donnees'!E25="","",'13c_donnees'!E24/'13c_donnees'!E25)</f>
        <v/>
      </c>
      <c r="F55" s="79">
        <f>IF('13c_donnees'!F25="","",'13c_donnees'!F24/'13c_donnees'!F25)</f>
        <v/>
      </c>
      <c r="G55" s="79">
        <f>IF('13c_donnees'!G25="","",'13c_donnees'!G24/'13c_donnees'!G25)</f>
        <v/>
      </c>
      <c r="H55" s="79">
        <f>IF('13c_donnees'!H25="","",'13c_donnees'!H24/'13c_donnees'!H25)</f>
        <v/>
      </c>
      <c r="I55" s="79">
        <f>IF('13c_donnees'!I25="","",'13c_donnees'!I24/'13c_donnees'!I25)</f>
        <v/>
      </c>
      <c r="J55" s="80">
        <f>COUNTIF(C56:I56,"Non*")</f>
        <v/>
      </c>
      <c r="K55" s="81">
        <f>COUNTIF(E56:H56,"Non*")</f>
        <v/>
      </c>
      <c r="L55" s="81">
        <f>COUNTIF(C56:I56,"Conforme")+COUNTIF(C56:I56,"Non*")</f>
        <v/>
      </c>
      <c r="M55" s="82">
        <f>MIN(C57:I57)</f>
        <v/>
      </c>
      <c r="N55" s="82">
        <f>MAX(C57:I57)</f>
        <v/>
      </c>
      <c r="O55" s="82">
        <f>AVERAGE(C57:I57)</f>
        <v/>
      </c>
      <c r="P55" s="78">
        <f>IF(AND(J55&gt;0,J55=L55),"Structurel",IF(K55&gt;=2,"Récurrent",IF(J55&gt;0,"Ponctuel","Conforme")))</f>
        <v/>
      </c>
    </row>
    <row r="56" ht="16" customHeight="1">
      <c r="B56" s="83" t="inlineStr">
        <is>
          <t>Statut</t>
        </is>
      </c>
      <c r="C56" s="83">
        <f>IF(C55="","En attente",IF(AND(C55&gt;='13b_parametres'!$C$15,C55&lt;='13b_parametres'!$D$15),"Conforme","Non conforme"))</f>
        <v/>
      </c>
      <c r="D56" s="83">
        <f>IF(D55="","En attente",IF(AND(D55&gt;='13b_parametres'!$C$15,D55&lt;='13b_parametres'!$D$15),"Conforme","Non conforme"))</f>
        <v/>
      </c>
      <c r="E56" s="83">
        <f>IF(E55="","En attente",IF(AND(E55&gt;='13b_parametres'!$C$15,E55&lt;='13b_parametres'!$D$15),"Conforme","Non conforme"))</f>
        <v/>
      </c>
      <c r="F56" s="83">
        <f>IF(F55="","En attente",IF(AND(F55&gt;='13b_parametres'!$C$15,F55&lt;='13b_parametres'!$D$15),"Conforme","Non conforme"))</f>
        <v/>
      </c>
      <c r="G56" s="83">
        <f>IF(G55="","En attente",IF(AND(G55&gt;='13b_parametres'!$C$15,G55&lt;='13b_parametres'!$D$15),"Conforme","Non conforme"))</f>
        <v/>
      </c>
      <c r="H56" s="83">
        <f>IF(H55="","En attente",IF(AND(H55&gt;='13b_parametres'!$C$15,H55&lt;='13b_parametres'!$D$15),"Conforme","Non conforme"))</f>
        <v/>
      </c>
      <c r="I56" s="83">
        <f>IF(I55="","En attente",IF(AND(I55&gt;='13b_parametres'!$C$15,I55&lt;='13b_parametres'!$D$15),"Conforme","Non conforme"))</f>
        <v/>
      </c>
    </row>
    <row r="57" ht="28" customHeight="1">
      <c r="B57" s="84" t="inlineStr">
        <is>
          <t>Montant à combler (FCFA) : fonds propres à constituer</t>
        </is>
      </c>
      <c r="C57" s="82">
        <f>IF('13c_donnees'!C25="","",MAX(0,'13b_parametres'!$C$15*'13c_donnees'!C25-'13c_donnees'!C24))</f>
        <v/>
      </c>
      <c r="D57" s="82">
        <f>IF('13c_donnees'!D25="","",MAX(0,'13b_parametres'!$C$15*'13c_donnees'!D25-'13c_donnees'!D24))</f>
        <v/>
      </c>
      <c r="E57" s="82">
        <f>IF('13c_donnees'!E25="","",MAX(0,'13b_parametres'!$C$15*'13c_donnees'!E25-'13c_donnees'!E24))</f>
        <v/>
      </c>
      <c r="F57" s="82">
        <f>IF('13c_donnees'!F25="","",MAX(0,'13b_parametres'!$C$15*'13c_donnees'!F25-'13c_donnees'!F24))</f>
        <v/>
      </c>
      <c r="G57" s="82">
        <f>IF('13c_donnees'!G25="","",MAX(0,'13b_parametres'!$C$15*'13c_donnees'!G25-'13c_donnees'!G24))</f>
        <v/>
      </c>
      <c r="H57" s="82">
        <f>IF('13c_donnees'!H25="","",MAX(0,'13b_parametres'!$C$15*'13c_donnees'!H25-'13c_donnees'!H24))</f>
        <v/>
      </c>
      <c r="I57" s="82">
        <f>IF('13c_donnees'!I25="","",MAX(0,'13b_parametres'!$C$15*'13c_donnees'!I25-'13c_donnees'!I24))</f>
        <v/>
      </c>
    </row>
    <row r="58" ht="16" customHeight="1">
      <c r="B58" s="84" t="inlineStr">
        <is>
          <t>Montant à combler en % de SORT2</t>
        </is>
      </c>
      <c r="C58" s="85">
        <f>IF(OR(C57="",'13c_donnees'!C25=0),"",C57/ABS('13c_donnees'!C25))</f>
        <v/>
      </c>
      <c r="D58" s="85">
        <f>IF(OR(D57="",'13c_donnees'!D25=0),"",D57/ABS('13c_donnees'!D25))</f>
        <v/>
      </c>
      <c r="E58" s="85">
        <f>IF(OR(E57="",'13c_donnees'!E25=0),"",E57/ABS('13c_donnees'!E25))</f>
        <v/>
      </c>
      <c r="F58" s="85">
        <f>IF(OR(F57="",'13c_donnees'!F25=0),"",F57/ABS('13c_donnees'!F25))</f>
        <v/>
      </c>
      <c r="G58" s="85">
        <f>IF(OR(G57="",'13c_donnees'!G25=0),"",G57/ABS('13c_donnees'!G25))</f>
        <v/>
      </c>
      <c r="H58" s="85">
        <f>IF(OR(H57="",'13c_donnees'!H25=0),"",H57/ABS('13c_donnees'!H25))</f>
        <v/>
      </c>
      <c r="I58" s="85">
        <f>IF(OR(I57="",'13c_donnees'!I25=0),"",I57/ABS('13c_donnees'!I25))</f>
        <v/>
      </c>
    </row>
    <row r="59"/>
    <row r="60" ht="16" customHeight="1">
      <c r="A60" s="78" t="inlineStr">
        <is>
          <t>CHF</t>
        </is>
      </c>
      <c r="B60" s="78" t="inlineStr">
        <is>
          <t>Taux des charges de fonctionnement : valeur</t>
        </is>
      </c>
      <c r="C60" s="85">
        <f>'13c_donnees'!C7/'13c_donnees'!C5</f>
        <v/>
      </c>
      <c r="D60" s="85">
        <f>'13c_donnees'!D7/'13c_donnees'!D5</f>
        <v/>
      </c>
      <c r="E60" s="85">
        <f>'13c_donnees'!E7/'13c_donnees'!E5</f>
        <v/>
      </c>
      <c r="F60" s="85">
        <f>'13c_donnees'!F7/'13c_donnees'!F5</f>
        <v/>
      </c>
      <c r="G60" s="85">
        <f>'13c_donnees'!G7/'13c_donnees'!G5</f>
        <v/>
      </c>
      <c r="H60" s="85">
        <f>'13c_donnees'!H7/'13c_donnees'!H5</f>
        <v/>
      </c>
      <c r="I60" s="85">
        <f>'13c_donnees'!I7/'13c_donnees'!I5</f>
        <v/>
      </c>
      <c r="J60" s="80">
        <f>COUNTIF(C61:I61,"Non*")</f>
        <v/>
      </c>
      <c r="K60" s="81">
        <f>COUNTIF(E61:H61,"Non*")</f>
        <v/>
      </c>
      <c r="L60" s="81">
        <f>COUNTIF(C61:I61,"Conforme")+COUNTIF(C61:I61,"Non*")</f>
        <v/>
      </c>
      <c r="M60" s="82">
        <f>MIN(C62:I62)</f>
        <v/>
      </c>
      <c r="N60" s="82">
        <f>MAX(C62:I62)</f>
        <v/>
      </c>
      <c r="O60" s="82">
        <f>AVERAGE(C62:I62)</f>
        <v/>
      </c>
      <c r="P60" s="78">
        <f>IF(AND(J60&gt;0,J60=L60),"Structurel",IF(K60&gt;=2,"Récurrent",IF(J60&gt;0,"Ponctuel","Conforme")))</f>
        <v/>
      </c>
    </row>
    <row r="61" ht="16" customHeight="1">
      <c r="B61" s="83" t="inlineStr">
        <is>
          <t>Statut</t>
        </is>
      </c>
      <c r="C61" s="83">
        <f>IF(C60="","En attente",IF(AND(C60&gt;='13b_parametres'!$C$16,C60&lt;='13b_parametres'!$D$16),"Conforme","Non conforme"))</f>
        <v/>
      </c>
      <c r="D61" s="83">
        <f>IF(D60="","En attente",IF(AND(D60&gt;='13b_parametres'!$C$16,D60&lt;='13b_parametres'!$D$16),"Conforme","Non conforme"))</f>
        <v/>
      </c>
      <c r="E61" s="83">
        <f>IF(E60="","En attente",IF(AND(E60&gt;='13b_parametres'!$C$16,E60&lt;='13b_parametres'!$D$16),"Conforme","Non conforme"))</f>
        <v/>
      </c>
      <c r="F61" s="83">
        <f>IF(F60="","En attente",IF(AND(F60&gt;='13b_parametres'!$C$16,F60&lt;='13b_parametres'!$D$16),"Conforme","Non conforme"))</f>
        <v/>
      </c>
      <c r="G61" s="83">
        <f>IF(G60="","En attente",IF(AND(G60&gt;='13b_parametres'!$C$16,G60&lt;='13b_parametres'!$D$16),"Conforme","Non conforme"))</f>
        <v/>
      </c>
      <c r="H61" s="83">
        <f>IF(H60="","En attente",IF(AND(H60&gt;='13b_parametres'!$C$16,H60&lt;='13b_parametres'!$D$16),"Conforme","Non conforme"))</f>
        <v/>
      </c>
      <c r="I61" s="83">
        <f>IF(I60="","En attente",IF(AND(I60&gt;='13b_parametres'!$C$16,I60&lt;='13b_parametres'!$D$16),"Conforme","Non conforme"))</f>
        <v/>
      </c>
    </row>
    <row r="62" ht="28" customHeight="1">
      <c r="B62" s="84" t="inlineStr">
        <is>
          <t>Montant à combler (FCFA) : charges de fonctionnement à réduire</t>
        </is>
      </c>
      <c r="C62" s="82">
        <f>MAX(0,'13c_donnees'!C7-'13b_parametres'!$D$16*'13c_donnees'!C5)</f>
        <v/>
      </c>
      <c r="D62" s="82">
        <f>MAX(0,'13c_donnees'!D7-'13b_parametres'!$D$16*'13c_donnees'!D5)</f>
        <v/>
      </c>
      <c r="E62" s="82">
        <f>MAX(0,'13c_donnees'!E7-'13b_parametres'!$D$16*'13c_donnees'!E5)</f>
        <v/>
      </c>
      <c r="F62" s="82">
        <f>MAX(0,'13c_donnees'!F7-'13b_parametres'!$D$16*'13c_donnees'!F5)</f>
        <v/>
      </c>
      <c r="G62" s="82">
        <f>MAX(0,'13c_donnees'!G7-'13b_parametres'!$D$16*'13c_donnees'!G5)</f>
        <v/>
      </c>
      <c r="H62" s="82">
        <f>MAX(0,'13c_donnees'!H7-'13b_parametres'!$D$16*'13c_donnees'!H5)</f>
        <v/>
      </c>
      <c r="I62" s="82">
        <f>MAX(0,'13c_donnees'!I7-'13b_parametres'!$D$16*'13c_donnees'!I5)</f>
        <v/>
      </c>
    </row>
    <row r="63" ht="16" customHeight="1">
      <c r="B63" s="84" t="inlineStr">
        <is>
          <t>Montant à combler en % de CF</t>
        </is>
      </c>
      <c r="C63" s="85">
        <f>IF(OR(C62="",'13c_donnees'!C7=0),"",C62/ABS('13c_donnees'!C7))</f>
        <v/>
      </c>
      <c r="D63" s="85">
        <f>IF(OR(D62="",'13c_donnees'!D7=0),"",D62/ABS('13c_donnees'!D7))</f>
        <v/>
      </c>
      <c r="E63" s="85">
        <f>IF(OR(E62="",'13c_donnees'!E7=0),"",E62/ABS('13c_donnees'!E7))</f>
        <v/>
      </c>
      <c r="F63" s="85">
        <f>IF(OR(F62="",'13c_donnees'!F7=0),"",F62/ABS('13c_donnees'!F7))</f>
        <v/>
      </c>
      <c r="G63" s="85">
        <f>IF(OR(G62="",'13c_donnees'!G7=0),"",G62/ABS('13c_donnees'!G7))</f>
        <v/>
      </c>
      <c r="H63" s="85">
        <f>IF(OR(H62="",'13c_donnees'!H7=0),"",H62/ABS('13c_donnees'!H7))</f>
        <v/>
      </c>
      <c r="I63" s="85">
        <f>IF(OR(I62="",'13c_donnees'!I7=0),"",I62/ABS('13c_donnees'!I7))</f>
        <v/>
      </c>
    </row>
    <row r="64"/>
    <row r="65" ht="16" customHeight="1">
      <c r="A65" s="78" t="inlineStr">
        <is>
          <t>CHB</t>
        </is>
      </c>
      <c r="B65" s="78" t="inlineStr">
        <is>
          <t>Taux des charges de fonctionnement brut : valeur</t>
        </is>
      </c>
      <c r="C65" s="85">
        <f>'13c_donnees'!C9/'13c_donnees'!C10</f>
        <v/>
      </c>
      <c r="D65" s="85">
        <f>'13c_donnees'!D9/'13c_donnees'!D10</f>
        <v/>
      </c>
      <c r="E65" s="85">
        <f>'13c_donnees'!E9/'13c_donnees'!E10</f>
        <v/>
      </c>
      <c r="F65" s="85">
        <f>'13c_donnees'!F9/'13c_donnees'!F10</f>
        <v/>
      </c>
      <c r="G65" s="85">
        <f>'13c_donnees'!G9/'13c_donnees'!G10</f>
        <v/>
      </c>
      <c r="H65" s="85">
        <f>'13c_donnees'!H9/'13c_donnees'!H10</f>
        <v/>
      </c>
      <c r="I65" s="85">
        <f>'13c_donnees'!I9/'13c_donnees'!I10</f>
        <v/>
      </c>
      <c r="J65" s="80">
        <f>COUNTIF(C66:I66,"Non*")</f>
        <v/>
      </c>
      <c r="K65" s="81">
        <f>COUNTIF(E66:H66,"Non*")</f>
        <v/>
      </c>
      <c r="L65" s="81">
        <f>COUNTIF(C66:I66,"Conforme")+COUNTIF(C66:I66,"Non*")</f>
        <v/>
      </c>
      <c r="M65" s="82">
        <f>MIN(C67:I67)</f>
        <v/>
      </c>
      <c r="N65" s="82">
        <f>MAX(C67:I67)</f>
        <v/>
      </c>
      <c r="O65" s="82">
        <f>AVERAGE(C67:I67)</f>
        <v/>
      </c>
      <c r="P65" s="78">
        <f>IF(AND(J65&gt;0,J65=L65),"Structurel",IF(K65&gt;=2,"Récurrent",IF(J65&gt;0,"Ponctuel","Conforme")))</f>
        <v/>
      </c>
    </row>
    <row r="66" ht="16" customHeight="1">
      <c r="B66" s="83" t="inlineStr">
        <is>
          <t>Statut</t>
        </is>
      </c>
      <c r="C66" s="83">
        <f>IF(C65="","En attente",IF(AND(C65&gt;='13b_parametres'!$C$17,C65&lt;='13b_parametres'!$D$17),"Conforme","Non conforme"))</f>
        <v/>
      </c>
      <c r="D66" s="83">
        <f>IF(D65="","En attente",IF(AND(D65&gt;='13b_parametres'!$C$17,D65&lt;='13b_parametres'!$D$17),"Conforme","Non conforme"))</f>
        <v/>
      </c>
      <c r="E66" s="83">
        <f>IF(E65="","En attente",IF(AND(E65&gt;='13b_parametres'!$C$17,E65&lt;='13b_parametres'!$D$17),"Conforme","Non conforme"))</f>
        <v/>
      </c>
      <c r="F66" s="83">
        <f>IF(F65="","En attente",IF(AND(F65&gt;='13b_parametres'!$C$17,F65&lt;='13b_parametres'!$D$17),"Conforme","Non conforme"))</f>
        <v/>
      </c>
      <c r="G66" s="83">
        <f>IF(G65="","En attente",IF(AND(G65&gt;='13b_parametres'!$C$17,G65&lt;='13b_parametres'!$D$17),"Conforme","Non conforme"))</f>
        <v/>
      </c>
      <c r="H66" s="83">
        <f>IF(H65="","En attente",IF(AND(H65&gt;='13b_parametres'!$C$17,H65&lt;='13b_parametres'!$D$17),"Conforme","Non conforme"))</f>
        <v/>
      </c>
      <c r="I66" s="83">
        <f>IF(I65="","En attente",IF(AND(I65&gt;='13b_parametres'!$C$17,I65&lt;='13b_parametres'!$D$17),"Conforme","Non conforme"))</f>
        <v/>
      </c>
    </row>
    <row r="67" ht="28" customHeight="1">
      <c r="B67" s="84" t="inlineStr">
        <is>
          <t>Montant à combler (FCFA) : charges brutes à réduire</t>
        </is>
      </c>
      <c r="C67" s="82">
        <f>MAX(0,'13c_donnees'!C9-'13b_parametres'!$D$17*'13c_donnees'!C10)</f>
        <v/>
      </c>
      <c r="D67" s="82">
        <f>MAX(0,'13c_donnees'!D9-'13b_parametres'!$D$17*'13c_donnees'!D10)</f>
        <v/>
      </c>
      <c r="E67" s="82">
        <f>MAX(0,'13c_donnees'!E9-'13b_parametres'!$D$17*'13c_donnees'!E10)</f>
        <v/>
      </c>
      <c r="F67" s="82">
        <f>MAX(0,'13c_donnees'!F9-'13b_parametres'!$D$17*'13c_donnees'!F10)</f>
        <v/>
      </c>
      <c r="G67" s="82">
        <f>MAX(0,'13c_donnees'!G9-'13b_parametres'!$D$17*'13c_donnees'!G10)</f>
        <v/>
      </c>
      <c r="H67" s="82">
        <f>MAX(0,'13c_donnees'!H9-'13b_parametres'!$D$17*'13c_donnees'!H10)</f>
        <v/>
      </c>
      <c r="I67" s="82">
        <f>MAX(0,'13c_donnees'!I9-'13b_parametres'!$D$17*'13c_donnees'!I10)</f>
        <v/>
      </c>
    </row>
    <row r="68" ht="16" customHeight="1">
      <c r="B68" s="84" t="inlineStr">
        <is>
          <t>Montant à combler en % de CFB</t>
        </is>
      </c>
      <c r="C68" s="85">
        <f>IF(OR(C67="",'13c_donnees'!C9=0),"",C67/ABS('13c_donnees'!C9))</f>
        <v/>
      </c>
      <c r="D68" s="85">
        <f>IF(OR(D67="",'13c_donnees'!D9=0),"",D67/ABS('13c_donnees'!D9))</f>
        <v/>
      </c>
      <c r="E68" s="85">
        <f>IF(OR(E67="",'13c_donnees'!E9=0),"",E67/ABS('13c_donnees'!E9))</f>
        <v/>
      </c>
      <c r="F68" s="85">
        <f>IF(OR(F67="",'13c_donnees'!F9=0),"",F67/ABS('13c_donnees'!F9))</f>
        <v/>
      </c>
      <c r="G68" s="85">
        <f>IF(OR(G67="",'13c_donnees'!G9=0),"",G67/ABS('13c_donnees'!G9))</f>
        <v/>
      </c>
      <c r="H68" s="85">
        <f>IF(OR(H67="",'13c_donnees'!H9=0),"",H67/ABS('13c_donnees'!H9))</f>
        <v/>
      </c>
      <c r="I68" s="85">
        <f>IF(OR(I67="",'13c_donnees'!I9=0),"",I67/ABS('13c_donnees'!I9))</f>
        <v/>
      </c>
    </row>
    <row r="69"/>
    <row r="70" ht="16" customHeight="1">
      <c r="A70" s="78" t="inlineStr">
        <is>
          <t>CUP</t>
        </is>
      </c>
      <c r="B70" s="78" t="inlineStr">
        <is>
          <t>Coût par unité monétaire prestée : valeur</t>
        </is>
      </c>
      <c r="C70" s="85">
        <f>'13c_donnees'!C7/'13c_donnees'!C6</f>
        <v/>
      </c>
      <c r="D70" s="85">
        <f>'13c_donnees'!D7/'13c_donnees'!D6</f>
        <v/>
      </c>
      <c r="E70" s="85">
        <f>'13c_donnees'!E7/'13c_donnees'!E6</f>
        <v/>
      </c>
      <c r="F70" s="85">
        <f>'13c_donnees'!F7/'13c_donnees'!F6</f>
        <v/>
      </c>
      <c r="G70" s="85">
        <f>'13c_donnees'!G7/'13c_donnees'!G6</f>
        <v/>
      </c>
      <c r="H70" s="85">
        <f>'13c_donnees'!H7/'13c_donnees'!H6</f>
        <v/>
      </c>
      <c r="I70" s="85">
        <f>'13c_donnees'!I7/'13c_donnees'!I6</f>
        <v/>
      </c>
      <c r="J70" s="80">
        <f>COUNTIF(C71:I71,"Non*")</f>
        <v/>
      </c>
      <c r="K70" s="81">
        <f>COUNTIF(E71:H71,"Non*")</f>
        <v/>
      </c>
      <c r="L70" s="81">
        <f>COUNTIF(C71:I71,"Conforme")+COUNTIF(C71:I71,"Non*")</f>
        <v/>
      </c>
      <c r="M70" s="82">
        <f>MIN(C72:I72)</f>
        <v/>
      </c>
      <c r="N70" s="82">
        <f>MAX(C72:I72)</f>
        <v/>
      </c>
      <c r="O70" s="82">
        <f>AVERAGE(C72:I72)</f>
        <v/>
      </c>
      <c r="P70" s="78">
        <f>IF(AND(J70&gt;0,J70=L70),"Structurel",IF(K70&gt;=2,"Récurrent",IF(J70&gt;0,"Ponctuel","Conforme")))</f>
        <v/>
      </c>
    </row>
    <row r="71" ht="16" customHeight="1">
      <c r="B71" s="83" t="inlineStr">
        <is>
          <t>Statut</t>
        </is>
      </c>
      <c r="C71" s="83">
        <f>IF(C70="","En attente",IF(AND(C70&gt;='13b_parametres'!$C$18,C70&lt;='13b_parametres'!$D$18),"Conforme","Non conforme"))</f>
        <v/>
      </c>
      <c r="D71" s="83">
        <f>IF(D70="","En attente",IF(AND(D70&gt;='13b_parametres'!$C$18,D70&lt;='13b_parametres'!$D$18),"Conforme","Non conforme"))</f>
        <v/>
      </c>
      <c r="E71" s="83">
        <f>IF(E70="","En attente",IF(AND(E70&gt;='13b_parametres'!$C$18,E70&lt;='13b_parametres'!$D$18),"Conforme","Non conforme"))</f>
        <v/>
      </c>
      <c r="F71" s="83">
        <f>IF(F70="","En attente",IF(AND(F70&gt;='13b_parametres'!$C$18,F70&lt;='13b_parametres'!$D$18),"Conforme","Non conforme"))</f>
        <v/>
      </c>
      <c r="G71" s="83">
        <f>IF(G70="","En attente",IF(AND(G70&gt;='13b_parametres'!$C$18,G70&lt;='13b_parametres'!$D$18),"Conforme","Non conforme"))</f>
        <v/>
      </c>
      <c r="H71" s="83">
        <f>IF(H70="","En attente",IF(AND(H70&gt;='13b_parametres'!$C$18,H70&lt;='13b_parametres'!$D$18),"Conforme","Non conforme"))</f>
        <v/>
      </c>
      <c r="I71" s="83">
        <f>IF(I70="","En attente",IF(AND(I70&gt;='13b_parametres'!$C$18,I70&lt;='13b_parametres'!$D$18),"Conforme","Non conforme"))</f>
        <v/>
      </c>
    </row>
    <row r="72" ht="28" customHeight="1">
      <c r="B72" s="84" t="inlineStr">
        <is>
          <t>Montant à combler (FCFA) : charges de fonctionnement à réduire</t>
        </is>
      </c>
      <c r="C72" s="82">
        <f>MAX(0,'13c_donnees'!C7-'13b_parametres'!$D$18*'13c_donnees'!C6)</f>
        <v/>
      </c>
      <c r="D72" s="82">
        <f>MAX(0,'13c_donnees'!D7-'13b_parametres'!$D$18*'13c_donnees'!D6)</f>
        <v/>
      </c>
      <c r="E72" s="82">
        <f>MAX(0,'13c_donnees'!E7-'13b_parametres'!$D$18*'13c_donnees'!E6)</f>
        <v/>
      </c>
      <c r="F72" s="82">
        <f>MAX(0,'13c_donnees'!F7-'13b_parametres'!$D$18*'13c_donnees'!F6)</f>
        <v/>
      </c>
      <c r="G72" s="82">
        <f>MAX(0,'13c_donnees'!G7-'13b_parametres'!$D$18*'13c_donnees'!G6)</f>
        <v/>
      </c>
      <c r="H72" s="82">
        <f>MAX(0,'13c_donnees'!H7-'13b_parametres'!$D$18*'13c_donnees'!H6)</f>
        <v/>
      </c>
      <c r="I72" s="82">
        <f>MAX(0,'13c_donnees'!I7-'13b_parametres'!$D$18*'13c_donnees'!I6)</f>
        <v/>
      </c>
    </row>
    <row r="73" ht="16" customHeight="1">
      <c r="B73" s="84" t="inlineStr">
        <is>
          <t>Montant à combler en % de CF</t>
        </is>
      </c>
      <c r="C73" s="85">
        <f>IF(OR(C72="",'13c_donnees'!C7=0),"",C72/ABS('13c_donnees'!C7))</f>
        <v/>
      </c>
      <c r="D73" s="85">
        <f>IF(OR(D72="",'13c_donnees'!D7=0),"",D72/ABS('13c_donnees'!D7))</f>
        <v/>
      </c>
      <c r="E73" s="85">
        <f>IF(OR(E72="",'13c_donnees'!E7=0),"",E72/ABS('13c_donnees'!E7))</f>
        <v/>
      </c>
      <c r="F73" s="85">
        <f>IF(OR(F72="",'13c_donnees'!F7=0),"",F72/ABS('13c_donnees'!F7))</f>
        <v/>
      </c>
      <c r="G73" s="85">
        <f>IF(OR(G72="",'13c_donnees'!G7=0),"",G72/ABS('13c_donnees'!G7))</f>
        <v/>
      </c>
      <c r="H73" s="85">
        <f>IF(OR(H72="",'13c_donnees'!H7=0),"",H72/ABS('13c_donnees'!H7))</f>
        <v/>
      </c>
      <c r="I73" s="85">
        <f>IF(OR(I72="",'13c_donnees'!I7=0),"",I72/ABS('13c_donnees'!I7))</f>
        <v/>
      </c>
    </row>
  </sheetData>
  <mergeCells count="1">
    <mergeCell ref="A2:L2"/>
  </mergeCells>
  <conditionalFormatting sqref="A1:P73">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78.xml><?xml version="1.0" encoding="utf-8"?>
<worksheet xmlns="http://schemas.openxmlformats.org/spreadsheetml/2006/main">
  <sheetPr>
    <tabColor rgb="00EFAC62"/>
    <outlinePr summaryBelow="1" summaryRight="1"/>
    <pageSetUpPr fitToPage="1"/>
  </sheetPr>
  <dimension ref="A1:R26"/>
  <sheetViews>
    <sheetView showGridLines="0" workbookViewId="0">
      <selection activeCell="A1" sqref="A1"/>
    </sheetView>
  </sheetViews>
  <sheetFormatPr baseColWidth="8" defaultRowHeight="15"/>
  <cols>
    <col width="8" customWidth="1" min="1" max="1"/>
    <col width="50" customWidth="1" min="2" max="2"/>
    <col width="40" customWidth="1" min="3" max="3"/>
    <col width="16" customWidth="1" min="4" max="4"/>
    <col width="16" customWidth="1" min="5" max="5"/>
    <col width="16" customWidth="1" min="6" max="6"/>
    <col width="16" customWidth="1" min="7" max="7"/>
    <col width="16" customWidth="1" min="8" max="8"/>
    <col width="16"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16" customWidth="1" min="18" max="18"/>
  </cols>
  <sheetData>
    <row r="1">
      <c r="A1" s="5" t="inlineStr">
        <is>
          <t>Facteurs récurrents : quels comptes expliquent les écarts chaque année ?</t>
        </is>
      </c>
    </row>
    <row r="2" ht="42" customHeight="1">
      <c r="A2" s="62" t="inlineStr">
        <is>
          <t>Une croix indique que le facteur entre dans la formule du ratio (numérateur ou dénominateur). La dernière colonne compte les ratios du facteur qualifiés de structurels (onglet 13d).</t>
        </is>
      </c>
    </row>
    <row r="3"/>
    <row r="4">
      <c r="A4" s="8" t="inlineStr">
        <is>
          <t>Facteur</t>
        </is>
      </c>
      <c r="B4" s="8" t="inlineStr">
        <is>
          <t>Description</t>
        </is>
      </c>
      <c r="C4" s="8" t="inlineStr">
        <is>
          <t>Comptes en cause</t>
        </is>
      </c>
      <c r="D4" s="8" t="inlineStr">
        <is>
          <t>SIN</t>
        </is>
      </c>
      <c r="E4" s="8" t="inlineStr">
        <is>
          <t>ROB</t>
        </is>
      </c>
      <c r="F4" s="8" t="inlineStr">
        <is>
          <t>FEP</t>
        </is>
      </c>
      <c r="G4" s="8" t="inlineStr">
        <is>
          <t>LIQ</t>
        </is>
      </c>
      <c r="H4" s="8" t="inlineStr">
        <is>
          <t>EQS</t>
        </is>
      </c>
      <c r="I4" s="8" t="inlineStr">
        <is>
          <t>EXN</t>
        </is>
      </c>
      <c r="J4" s="8" t="inlineStr">
        <is>
          <t>RL1</t>
        </is>
      </c>
      <c r="K4" s="8" t="inlineStr">
        <is>
          <t>RL2</t>
        </is>
      </c>
      <c r="L4" s="8" t="inlineStr">
        <is>
          <t>RL3</t>
        </is>
      </c>
      <c r="M4" s="8" t="inlineStr">
        <is>
          <t>RL4</t>
        </is>
      </c>
      <c r="N4" s="8" t="inlineStr">
        <is>
          <t>RL5</t>
        </is>
      </c>
      <c r="O4" s="8" t="inlineStr">
        <is>
          <t>CHF</t>
        </is>
      </c>
      <c r="P4" s="8" t="inlineStr">
        <is>
          <t>CHB</t>
        </is>
      </c>
      <c r="Q4" s="8" t="inlineStr">
        <is>
          <t>CUP</t>
        </is>
      </c>
      <c r="R4" s="8" t="inlineStr">
        <is>
          <t>Ratios structurels / ratios du facteur</t>
        </is>
      </c>
    </row>
    <row r="5" ht="44" customHeight="1">
      <c r="A5" s="27" t="inlineStr">
        <is>
          <t>F1</t>
        </is>
      </c>
      <c r="B5" s="10" t="inlineStr">
        <is>
          <t>Épargne des adhérents non adossée à des actifs liquides dédiés</t>
        </is>
      </c>
      <c r="C5" s="10" t="inlineStr">
        <is>
          <t>41195100 et 41195200 (épargne) en dettes à court terme ; classe 5 et DAT dédiés</t>
        </is>
      </c>
      <c r="D5" s="44" t="n"/>
      <c r="E5" s="44" t="n"/>
      <c r="F5" s="44" t="n"/>
      <c r="G5" s="44" t="inlineStr">
        <is>
          <t>X</t>
        </is>
      </c>
      <c r="H5" s="44" t="inlineStr">
        <is>
          <t>X</t>
        </is>
      </c>
      <c r="I5" s="44" t="n"/>
      <c r="J5" s="44" t="inlineStr">
        <is>
          <t>X</t>
        </is>
      </c>
      <c r="K5" s="44" t="inlineStr">
        <is>
          <t>X</t>
        </is>
      </c>
      <c r="L5" s="44" t="inlineStr">
        <is>
          <t>X</t>
        </is>
      </c>
      <c r="M5" s="44" t="inlineStr">
        <is>
          <t>X</t>
        </is>
      </c>
      <c r="N5" s="44" t="n"/>
      <c r="O5" s="44" t="n"/>
      <c r="P5" s="44" t="n"/>
      <c r="Q5" s="44" t="n"/>
      <c r="R5" s="76">
        <f>(IF('13d_ecarts'!P20="Structurel",1,0)+IF('13d_ecarts'!P35="Structurel",1,0)+IF('13d_ecarts'!P40="Structurel",1,0)+IF('13d_ecarts'!P45="Structurel",1,0)+IF('13d_ecarts'!P50="Structurel",1,0)+IF('13d_ecarts'!P25="Structurel",1,0))&amp;" / 6"</f>
        <v/>
      </c>
    </row>
    <row r="6" ht="44" customHeight="1">
      <c r="A6" s="27" t="inlineStr">
        <is>
          <t>F2</t>
        </is>
      </c>
      <c r="B6" s="12" t="inlineStr">
        <is>
          <t>Pertes reportées non apurées</t>
        </is>
      </c>
      <c r="C6" s="12" t="inlineStr">
        <is>
          <t>129 (report à nouveau débiteur) dans les fonds propres</t>
        </is>
      </c>
      <c r="D6" s="46" t="n"/>
      <c r="E6" s="46" t="n"/>
      <c r="F6" s="46" t="inlineStr">
        <is>
          <t>X</t>
        </is>
      </c>
      <c r="G6" s="46" t="n"/>
      <c r="H6" s="46" t="n"/>
      <c r="I6" s="46" t="n"/>
      <c r="J6" s="46" t="n"/>
      <c r="K6" s="46" t="n"/>
      <c r="L6" s="46" t="n"/>
      <c r="M6" s="46" t="n"/>
      <c r="N6" s="46" t="inlineStr">
        <is>
          <t>X</t>
        </is>
      </c>
      <c r="O6" s="46" t="n"/>
      <c r="P6" s="46" t="n"/>
      <c r="Q6" s="46" t="n"/>
      <c r="R6" s="86">
        <f>(IF('13d_ecarts'!P15="Structurel",1,0)+IF('13d_ecarts'!P55="Structurel",1,0))&amp;" / 2"</f>
        <v/>
      </c>
    </row>
    <row r="7" ht="44" customHeight="1">
      <c r="A7" s="27" t="inlineStr">
        <is>
          <t>F3</t>
        </is>
      </c>
      <c r="B7" s="10" t="inlineStr">
        <is>
          <t>Réserve obligatoire absente puis insuffisante</t>
        </is>
      </c>
      <c r="C7" s="10" t="inlineStr">
        <is>
          <t>111 (réserve légale) ; affectations des excédents</t>
        </is>
      </c>
      <c r="D7" s="44" t="n"/>
      <c r="E7" s="44" t="inlineStr">
        <is>
          <t>X</t>
        </is>
      </c>
      <c r="F7" s="44" t="n"/>
      <c r="G7" s="44" t="n"/>
      <c r="H7" s="44" t="n"/>
      <c r="I7" s="44" t="n"/>
      <c r="J7" s="44" t="n"/>
      <c r="K7" s="44" t="n"/>
      <c r="L7" s="44" t="n"/>
      <c r="M7" s="44" t="n"/>
      <c r="N7" s="44" t="n"/>
      <c r="O7" s="44" t="n"/>
      <c r="P7" s="44" t="n"/>
      <c r="Q7" s="44" t="n"/>
      <c r="R7" s="76">
        <f>(IF('13d_ecarts'!P10="Structurel",1,0))&amp;" / 1"</f>
        <v/>
      </c>
    </row>
    <row r="8" ht="44" customHeight="1">
      <c r="A8" s="27" t="inlineStr">
        <is>
          <t>F4</t>
        </is>
      </c>
      <c r="B8" s="12" t="inlineStr">
        <is>
          <t>Charges de fonctionnement au-delà des plafonds de la Décision (cotisations et prestations)</t>
        </is>
      </c>
      <c r="C8" s="12" t="inlineStr">
        <is>
          <t>612, 613, 618, 62 à 68 (dont 6518, prime de la garantie décès, en 2020)</t>
        </is>
      </c>
      <c r="D8" s="46" t="n"/>
      <c r="E8" s="46" t="n"/>
      <c r="F8" s="46" t="n"/>
      <c r="G8" s="46" t="n"/>
      <c r="H8" s="46" t="n"/>
      <c r="I8" s="46" t="n"/>
      <c r="J8" s="46" t="n"/>
      <c r="K8" s="46" t="n"/>
      <c r="L8" s="46" t="n"/>
      <c r="M8" s="46" t="n"/>
      <c r="N8" s="46" t="n"/>
      <c r="O8" s="46" t="inlineStr">
        <is>
          <t>X</t>
        </is>
      </c>
      <c r="P8" s="46" t="inlineStr">
        <is>
          <t>X</t>
        </is>
      </c>
      <c r="Q8" s="46" t="inlineStr">
        <is>
          <t>X</t>
        </is>
      </c>
      <c r="R8" s="86">
        <f>(IF('13d_ecarts'!P60="Structurel",1,0)+IF('13d_ecarts'!P65="Structurel",1,0)+IF('13d_ecarts'!P70="Structurel",1,0))&amp;" / 3"</f>
        <v/>
      </c>
    </row>
    <row r="9" ht="44" customHeight="1">
      <c r="A9" s="27" t="inlineStr">
        <is>
          <t>F5</t>
        </is>
      </c>
      <c r="B9" s="10" t="inlineStr">
        <is>
          <t>Prestations faibles par rapport aux cotisations (couverture limitée à l'hospitalisation, provisions figées)</t>
        </is>
      </c>
      <c r="C9" s="10" t="inlineStr">
        <is>
          <t>60 (prestations), 70 (cotisations), 6901 et 7901 absents</t>
        </is>
      </c>
      <c r="D9" s="44" t="inlineStr">
        <is>
          <t>X</t>
        </is>
      </c>
      <c r="E9" s="44" t="n"/>
      <c r="F9" s="44" t="n"/>
      <c r="G9" s="44" t="n"/>
      <c r="H9" s="44" t="n"/>
      <c r="I9" s="44" t="inlineStr">
        <is>
          <t>X</t>
        </is>
      </c>
      <c r="J9" s="44" t="n"/>
      <c r="K9" s="44" t="n"/>
      <c r="L9" s="44" t="n"/>
      <c r="M9" s="44" t="n"/>
      <c r="N9" s="44" t="n"/>
      <c r="O9" s="44" t="n"/>
      <c r="P9" s="44" t="n"/>
      <c r="Q9" s="44" t="n"/>
      <c r="R9" s="76">
        <f>(IF('13d_ecarts'!P5="Structurel",1,0)+IF('13d_ecarts'!P30="Structurel",1,0))&amp;" / 2"</f>
        <v/>
      </c>
    </row>
    <row r="10"/>
    <row r="11"/>
    <row r="12">
      <c r="A12" s="87" t="inlineStr">
        <is>
          <t>Preuves par année (FCFA ou %)</t>
        </is>
      </c>
    </row>
    <row r="13">
      <c r="A13" s="8" t="inlineStr">
        <is>
          <t>Facteur</t>
        </is>
      </c>
      <c r="B13" s="8" t="inlineStr">
        <is>
          <t>Indicateur</t>
        </is>
      </c>
      <c r="C13" s="8" t="inlineStr">
        <is>
          <t>2020</t>
        </is>
      </c>
      <c r="D13" s="8" t="inlineStr">
        <is>
          <t>2021</t>
        </is>
      </c>
      <c r="E13" s="8" t="inlineStr">
        <is>
          <t>2022</t>
        </is>
      </c>
      <c r="F13" s="8" t="inlineStr">
        <is>
          <t>2023</t>
        </is>
      </c>
      <c r="G13" s="8" t="inlineStr">
        <is>
          <t>2024</t>
        </is>
      </c>
      <c r="H13" s="8" t="inlineStr">
        <is>
          <t>2025</t>
        </is>
      </c>
      <c r="I13" s="8" t="inlineStr">
        <is>
          <t>2026</t>
        </is>
      </c>
    </row>
    <row r="14">
      <c r="A14" s="27" t="inlineStr">
        <is>
          <t>F1</t>
        </is>
      </c>
      <c r="B14" s="28" t="inlineStr">
        <is>
          <t>Épargne des adhérents (PEP + EFC)</t>
        </is>
      </c>
      <c r="C14" s="29">
        <f>'13c_donnees'!C21</f>
        <v/>
      </c>
      <c r="D14" s="29">
        <f>'13c_donnees'!D21</f>
        <v/>
      </c>
      <c r="E14" s="29">
        <f>'13c_donnees'!E21</f>
        <v/>
      </c>
      <c r="F14" s="29">
        <f>'13c_donnees'!F21</f>
        <v/>
      </c>
      <c r="G14" s="29">
        <f>'13c_donnees'!G21</f>
        <v/>
      </c>
      <c r="H14" s="29">
        <f>'13c_donnees'!H21</f>
        <v/>
      </c>
      <c r="I14" s="29">
        <f>'13c_donnees'!I21</f>
        <v/>
      </c>
    </row>
    <row r="15">
      <c r="A15" s="27" t="inlineStr">
        <is>
          <t>F1</t>
        </is>
      </c>
      <c r="B15" s="30" t="inlineStr">
        <is>
          <t>Actifs admis dédiés à l'épargne</t>
        </is>
      </c>
      <c r="C15" s="31">
        <f>'13c_donnees'!C20</f>
        <v/>
      </c>
      <c r="D15" s="31">
        <f>'13c_donnees'!D20</f>
        <v/>
      </c>
      <c r="E15" s="31">
        <f>'13c_donnees'!E20</f>
        <v/>
      </c>
      <c r="F15" s="31">
        <f>'13c_donnees'!F20</f>
        <v/>
      </c>
      <c r="G15" s="31">
        <f>'13c_donnees'!G20</f>
        <v/>
      </c>
      <c r="H15" s="31">
        <f>'13c_donnees'!H20</f>
        <v/>
      </c>
      <c r="I15" s="31">
        <f>'13c_donnees'!I20</f>
        <v/>
      </c>
    </row>
    <row r="16">
      <c r="A16" s="27" t="inlineStr">
        <is>
          <t>F1</t>
        </is>
      </c>
      <c r="B16" s="28" t="inlineStr">
        <is>
          <t>Couverture de l'épargne par les actifs dédiés</t>
        </is>
      </c>
      <c r="C16" s="32">
        <f>'13c_donnees'!C20/'13c_donnees'!C21</f>
        <v/>
      </c>
      <c r="D16" s="32">
        <f>'13c_donnees'!D20/'13c_donnees'!D21</f>
        <v/>
      </c>
      <c r="E16" s="32">
        <f>'13c_donnees'!E20/'13c_donnees'!E21</f>
        <v/>
      </c>
      <c r="F16" s="32">
        <f>'13c_donnees'!F20/'13c_donnees'!F21</f>
        <v/>
      </c>
      <c r="G16" s="32">
        <f>'13c_donnees'!G20/'13c_donnees'!G21</f>
        <v/>
      </c>
      <c r="H16" s="32">
        <f>'13c_donnees'!H20/'13c_donnees'!H21</f>
        <v/>
      </c>
      <c r="I16" s="32">
        <f>'13c_donnees'!I20/'13c_donnees'!I21</f>
        <v/>
      </c>
    </row>
    <row r="17">
      <c r="A17" s="27" t="inlineStr">
        <is>
          <t>F1</t>
        </is>
      </c>
      <c r="B17" s="30" t="inlineStr">
        <is>
          <t>Part de l'épargne dans les dettes à court terme</t>
        </is>
      </c>
      <c r="C17" s="33">
        <f>'13c_donnees'!C21/'13c_donnees'!C16</f>
        <v/>
      </c>
      <c r="D17" s="33">
        <f>'13c_donnees'!D21/'13c_donnees'!D16</f>
        <v/>
      </c>
      <c r="E17" s="33">
        <f>'13c_donnees'!E21/'13c_donnees'!E16</f>
        <v/>
      </c>
      <c r="F17" s="33">
        <f>'13c_donnees'!F21/'13c_donnees'!F16</f>
        <v/>
      </c>
      <c r="G17" s="33">
        <f>'13c_donnees'!G21/'13c_donnees'!G16</f>
        <v/>
      </c>
      <c r="H17" s="33">
        <f>'13c_donnees'!H21/'13c_donnees'!H16</f>
        <v/>
      </c>
      <c r="I17" s="33">
        <f>'13c_donnees'!I21/'13c_donnees'!I16</f>
        <v/>
      </c>
    </row>
    <row r="18">
      <c r="A18" s="27" t="inlineStr">
        <is>
          <t>F2</t>
        </is>
      </c>
      <c r="B18" s="28" t="inlineStr">
        <is>
          <t>Pertes reportées (129)</t>
        </is>
      </c>
      <c r="C18" s="29">
        <f>'13c_donnees'!C26</f>
        <v/>
      </c>
      <c r="D18" s="29">
        <f>'13c_donnees'!D26</f>
        <v/>
      </c>
      <c r="E18" s="29">
        <f>'13c_donnees'!E26</f>
        <v/>
      </c>
      <c r="F18" s="29">
        <f>'13c_donnees'!F26</f>
        <v/>
      </c>
      <c r="G18" s="29">
        <f>'13c_donnees'!G26</f>
        <v/>
      </c>
      <c r="H18" s="29">
        <f>'13c_donnees'!H26</f>
        <v/>
      </c>
      <c r="I18" s="29">
        <f>'13c_donnees'!I26</f>
        <v/>
      </c>
    </row>
    <row r="19">
      <c r="A19" s="27" t="inlineStr">
        <is>
          <t>F2</t>
        </is>
      </c>
      <c r="B19" s="30" t="inlineStr">
        <is>
          <t>Pertes reportées / dettes</t>
        </is>
      </c>
      <c r="C19" s="33">
        <f>'13c_donnees'!C26/'13c_donnees'!C14</f>
        <v/>
      </c>
      <c r="D19" s="33">
        <f>'13c_donnees'!D26/'13c_donnees'!D14</f>
        <v/>
      </c>
      <c r="E19" s="33">
        <f>'13c_donnees'!E26/'13c_donnees'!E14</f>
        <v/>
      </c>
      <c r="F19" s="33">
        <f>'13c_donnees'!F26/'13c_donnees'!F14</f>
        <v/>
      </c>
      <c r="G19" s="33">
        <f>'13c_donnees'!G26/'13c_donnees'!G14</f>
        <v/>
      </c>
      <c r="H19" s="33">
        <f>'13c_donnees'!H26/'13c_donnees'!H14</f>
        <v/>
      </c>
      <c r="I19" s="33">
        <f>'13c_donnees'!I26/'13c_donnees'!I14</f>
        <v/>
      </c>
    </row>
    <row r="20">
      <c r="A20" s="27" t="inlineStr">
        <is>
          <t>F3</t>
        </is>
      </c>
      <c r="B20" s="28" t="inlineStr">
        <is>
          <t>Réserve obligatoire (111)</t>
        </is>
      </c>
      <c r="C20" s="29">
        <f>'13c_donnees'!C12</f>
        <v/>
      </c>
      <c r="D20" s="29">
        <f>'13c_donnees'!D12</f>
        <v/>
      </c>
      <c r="E20" s="29">
        <f>'13c_donnees'!E12</f>
        <v/>
      </c>
      <c r="F20" s="29">
        <f>'13c_donnees'!F12</f>
        <v/>
      </c>
      <c r="G20" s="29">
        <f>'13c_donnees'!G12</f>
        <v/>
      </c>
      <c r="H20" s="29">
        <f>'13c_donnees'!H12</f>
        <v/>
      </c>
      <c r="I20" s="29">
        <f>'13c_donnees'!I12</f>
        <v/>
      </c>
    </row>
    <row r="21">
      <c r="A21" s="27" t="inlineStr">
        <is>
          <t>F3</t>
        </is>
      </c>
      <c r="B21" s="30" t="inlineStr">
        <is>
          <t>Six mois de prestations (borne basse de ROB)</t>
        </is>
      </c>
      <c r="C21" s="31">
        <f>'13b_parametres'!$C$6*'13c_donnees'!C6/12</f>
        <v/>
      </c>
      <c r="D21" s="31">
        <f>'13b_parametres'!$C$6*'13c_donnees'!D6/12</f>
        <v/>
      </c>
      <c r="E21" s="31">
        <f>'13b_parametres'!$C$6*'13c_donnees'!E6/12</f>
        <v/>
      </c>
      <c r="F21" s="31">
        <f>'13b_parametres'!$C$6*'13c_donnees'!F6/12</f>
        <v/>
      </c>
      <c r="G21" s="31">
        <f>'13b_parametres'!$C$6*'13c_donnees'!G6/12</f>
        <v/>
      </c>
      <c r="H21" s="31">
        <f>'13b_parametres'!$C$6*'13c_donnees'!H6/12</f>
        <v/>
      </c>
      <c r="I21" s="31">
        <f>'13b_parametres'!$C$6*'13c_donnees'!I6/12</f>
        <v/>
      </c>
    </row>
    <row r="22">
      <c r="A22" s="27" t="inlineStr">
        <is>
          <t>F4</t>
        </is>
      </c>
      <c r="B22" s="28" t="inlineStr">
        <is>
          <t>Charges de fonctionnement</t>
        </is>
      </c>
      <c r="C22" s="29">
        <f>'13c_donnees'!C7</f>
        <v/>
      </c>
      <c r="D22" s="29">
        <f>'13c_donnees'!D7</f>
        <v/>
      </c>
      <c r="E22" s="29">
        <f>'13c_donnees'!E7</f>
        <v/>
      </c>
      <c r="F22" s="29">
        <f>'13c_donnees'!F7</f>
        <v/>
      </c>
      <c r="G22" s="29">
        <f>'13c_donnees'!G7</f>
        <v/>
      </c>
      <c r="H22" s="29">
        <f>'13c_donnees'!H7</f>
        <v/>
      </c>
      <c r="I22" s="29">
        <f>'13c_donnees'!I7</f>
        <v/>
      </c>
    </row>
    <row r="23">
      <c r="A23" s="27" t="inlineStr">
        <is>
          <t>F4</t>
        </is>
      </c>
      <c r="B23" s="30" t="inlineStr">
        <is>
          <t>dont prime de la garantie décès (6518)</t>
        </is>
      </c>
      <c r="C23" s="31">
        <f>'13c_donnees'!C8</f>
        <v/>
      </c>
      <c r="D23" s="31">
        <f>'13c_donnees'!D8</f>
        <v/>
      </c>
      <c r="E23" s="31">
        <f>'13c_donnees'!E8</f>
        <v/>
      </c>
      <c r="F23" s="31">
        <f>'13c_donnees'!F8</f>
        <v/>
      </c>
      <c r="G23" s="31">
        <f>'13c_donnees'!G8</f>
        <v/>
      </c>
      <c r="H23" s="31">
        <f>'13c_donnees'!H8</f>
        <v/>
      </c>
      <c r="I23" s="31">
        <f>'13c_donnees'!I8</f>
        <v/>
      </c>
    </row>
    <row r="24">
      <c r="A24" s="27" t="inlineStr">
        <is>
          <t>F4</t>
        </is>
      </c>
      <c r="B24" s="28" t="inlineStr">
        <is>
          <t>Part de la prime décès dans les charges de fonctionnement</t>
        </is>
      </c>
      <c r="C24" s="32">
        <f>'13c_donnees'!C8/'13c_donnees'!C7</f>
        <v/>
      </c>
      <c r="D24" s="32">
        <f>'13c_donnees'!D8/'13c_donnees'!D7</f>
        <v/>
      </c>
      <c r="E24" s="32">
        <f>'13c_donnees'!E8/'13c_donnees'!E7</f>
        <v/>
      </c>
      <c r="F24" s="32">
        <f>'13c_donnees'!F8/'13c_donnees'!F7</f>
        <v/>
      </c>
      <c r="G24" s="32">
        <f>'13c_donnees'!G8/'13c_donnees'!G7</f>
        <v/>
      </c>
      <c r="H24" s="32">
        <f>'13c_donnees'!H8/'13c_donnees'!H7</f>
        <v/>
      </c>
      <c r="I24" s="32">
        <f>'13c_donnees'!I8/'13c_donnees'!I7</f>
        <v/>
      </c>
    </row>
    <row r="25">
      <c r="A25" s="27" t="inlineStr">
        <is>
          <t>F5</t>
        </is>
      </c>
      <c r="B25" s="30" t="inlineStr">
        <is>
          <t>Prestations / cotisations (toutes garanties)</t>
        </is>
      </c>
      <c r="C25" s="33">
        <f>'13c_donnees'!C6/'13c_donnees'!C5</f>
        <v/>
      </c>
      <c r="D25" s="33">
        <f>'13c_donnees'!D6/'13c_donnees'!D5</f>
        <v/>
      </c>
      <c r="E25" s="33">
        <f>'13c_donnees'!E6/'13c_donnees'!E5</f>
        <v/>
      </c>
      <c r="F25" s="33">
        <f>'13c_donnees'!F6/'13c_donnees'!F5</f>
        <v/>
      </c>
      <c r="G25" s="33">
        <f>'13c_donnees'!G6/'13c_donnees'!G5</f>
        <v/>
      </c>
      <c r="H25" s="33">
        <f>'13c_donnees'!H6/'13c_donnees'!H5</f>
        <v/>
      </c>
      <c r="I25" s="33">
        <f>'13c_donnees'!I6/'13c_donnees'!I5</f>
        <v/>
      </c>
    </row>
    <row r="26">
      <c r="A26" s="27" t="inlineStr">
        <is>
          <t>F5</t>
        </is>
      </c>
      <c r="B26" s="28" t="inlineStr">
        <is>
          <t>Prestations maladie / cotisations maladie</t>
        </is>
      </c>
      <c r="C26" s="32">
        <f>'13c_donnees'!C28/'13c_donnees'!C27</f>
        <v/>
      </c>
      <c r="D26" s="32">
        <f>'13c_donnees'!D28/'13c_donnees'!D27</f>
        <v/>
      </c>
      <c r="E26" s="32">
        <f>'13c_donnees'!E28/'13c_donnees'!E27</f>
        <v/>
      </c>
      <c r="F26" s="32">
        <f>'13c_donnees'!F28/'13c_donnees'!F27</f>
        <v/>
      </c>
      <c r="G26" s="32">
        <f>'13c_donnees'!G28/'13c_donnees'!G27</f>
        <v/>
      </c>
      <c r="H26" s="32">
        <f>'13c_donnees'!H28/'13c_donnees'!H27</f>
        <v/>
      </c>
      <c r="I26" s="32">
        <f>'13c_donnees'!I28/'13c_donnees'!I27</f>
        <v/>
      </c>
    </row>
  </sheetData>
  <mergeCells count="1">
    <mergeCell ref="A2:L2"/>
  </mergeCells>
  <conditionalFormatting sqref="A1:R26">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79.xml><?xml version="1.0" encoding="utf-8"?>
<worksheet xmlns="http://schemas.openxmlformats.org/spreadsheetml/2006/main">
  <sheetPr>
    <tabColor rgb="00EFAC62"/>
    <outlinePr summaryBelow="1" summaryRight="1"/>
    <pageSetUpPr fitToPage="1"/>
  </sheetPr>
  <dimension ref="A1:L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2" customWidth="1" min="11" max="11"/>
    <col width="16" customWidth="1" min="12" max="12"/>
  </cols>
  <sheetData>
    <row r="1">
      <c r="A1" s="5" t="inlineStr">
        <is>
          <t>Leviers tirés des textes : montants d'équilibre par ratio et par année (FCFA)</t>
        </is>
      </c>
    </row>
    <row r="2" ht="42" customHeight="1">
      <c r="A2" s="62" t="inlineStr">
        <is>
          <t>Chaque ligne donne le montant du levier qui ramène un ratio sur sa borne, toutes choses égales par ailleurs (IAS 19 § 145). Un même levier peut améliorer un ratio et en dégrader un autre : les signes opposés d'une même ligne de levier (L1, L2) révèlent ces conflits.</t>
        </is>
      </c>
    </row>
    <row r="3"/>
    <row r="4">
      <c r="A4" s="8" t="inlineStr">
        <is>
          <t>Levier</t>
        </is>
      </c>
      <c r="B4" s="8" t="inlineStr">
        <is>
          <t>Texte</t>
        </is>
      </c>
      <c r="C4" s="8" t="inlineStr">
        <is>
          <t>Ratio visé</t>
        </is>
      </c>
      <c r="D4" s="8" t="inlineStr">
        <is>
          <t>2020</t>
        </is>
      </c>
      <c r="E4" s="8" t="inlineStr">
        <is>
          <t>2021</t>
        </is>
      </c>
      <c r="F4" s="8" t="inlineStr">
        <is>
          <t>2022</t>
        </is>
      </c>
      <c r="G4" s="8" t="inlineStr">
        <is>
          <t>2023</t>
        </is>
      </c>
      <c r="H4" s="8" t="inlineStr">
        <is>
          <t>2024</t>
        </is>
      </c>
      <c r="I4" s="8" t="inlineStr">
        <is>
          <t>2025</t>
        </is>
      </c>
      <c r="J4" s="8" t="inlineStr">
        <is>
          <t>2026</t>
        </is>
      </c>
      <c r="K4" s="8" t="inlineStr">
        <is>
          <t>Années où un effort est requis</t>
        </is>
      </c>
      <c r="L4" s="8" t="inlineStr">
        <is>
          <t>Moyenne</t>
        </is>
      </c>
    </row>
    <row r="5" ht="30" customHeight="1">
      <c r="A5" s="27" t="inlineStr">
        <is>
          <t>L1</t>
        </is>
      </c>
      <c r="B5" s="9" t="inlineStr">
        <is>
          <t>Taux de cotisation : Variation des cotisations acquises (FCFA) qui ramène le ratio sur la borne ; signe négatif : baisse.</t>
        </is>
      </c>
      <c r="C5" s="9" t="inlineStr">
        <is>
          <t>Statuts, art. 17 et 93 ; règlement intérieur, art. 86</t>
        </is>
      </c>
      <c r="D5" s="27" t="n"/>
      <c r="E5" s="27" t="n"/>
      <c r="F5" s="27" t="n"/>
      <c r="G5" s="27" t="n"/>
      <c r="H5" s="27" t="n"/>
      <c r="I5" s="27" t="n"/>
      <c r="J5" s="27" t="n"/>
      <c r="K5" s="27" t="n"/>
      <c r="L5" s="27" t="n"/>
    </row>
    <row r="6">
      <c r="A6" s="27" t="inlineStr">
        <is>
          <t>L1</t>
        </is>
      </c>
      <c r="B6" s="30" t="inlineStr">
        <is>
          <t>Montant d'équilibre pour SIN</t>
        </is>
      </c>
      <c r="C6" s="86" t="inlineStr">
        <is>
          <t>SIN</t>
        </is>
      </c>
      <c r="D6" s="31">
        <f>IF('13c_donnees'!C6/'13c_donnees'!C5&lt;'13b_parametres'!$C$5,'13c_donnees'!C6/'13b_parametres'!$C$5-'13c_donnees'!C5,IF('13c_donnees'!C6/'13c_donnees'!C5&gt;'13b_parametres'!$D$5,'13c_donnees'!C6/'13b_parametres'!$D$5-'13c_donnees'!C5,0))</f>
        <v/>
      </c>
      <c r="E6" s="31">
        <f>IF('13c_donnees'!D6/'13c_donnees'!D5&lt;'13b_parametres'!$C$5,'13c_donnees'!D6/'13b_parametres'!$C$5-'13c_donnees'!D5,IF('13c_donnees'!D6/'13c_donnees'!D5&gt;'13b_parametres'!$D$5,'13c_donnees'!D6/'13b_parametres'!$D$5-'13c_donnees'!D5,0))</f>
        <v/>
      </c>
      <c r="F6" s="31">
        <f>IF('13c_donnees'!E6/'13c_donnees'!E5&lt;'13b_parametres'!$C$5,'13c_donnees'!E6/'13b_parametres'!$C$5-'13c_donnees'!E5,IF('13c_donnees'!E6/'13c_donnees'!E5&gt;'13b_parametres'!$D$5,'13c_donnees'!E6/'13b_parametres'!$D$5-'13c_donnees'!E5,0))</f>
        <v/>
      </c>
      <c r="G6" s="31">
        <f>IF('13c_donnees'!F6/'13c_donnees'!F5&lt;'13b_parametres'!$C$5,'13c_donnees'!F6/'13b_parametres'!$C$5-'13c_donnees'!F5,IF('13c_donnees'!F6/'13c_donnees'!F5&gt;'13b_parametres'!$D$5,'13c_donnees'!F6/'13b_parametres'!$D$5-'13c_donnees'!F5,0))</f>
        <v/>
      </c>
      <c r="H6" s="31">
        <f>IF('13c_donnees'!G6/'13c_donnees'!G5&lt;'13b_parametres'!$C$5,'13c_donnees'!G6/'13b_parametres'!$C$5-'13c_donnees'!G5,IF('13c_donnees'!G6/'13c_donnees'!G5&gt;'13b_parametres'!$D$5,'13c_donnees'!G6/'13b_parametres'!$D$5-'13c_donnees'!G5,0))</f>
        <v/>
      </c>
      <c r="I6" s="31">
        <f>IF('13c_donnees'!H6/'13c_donnees'!H5&lt;'13b_parametres'!$C$5,'13c_donnees'!H6/'13b_parametres'!$C$5-'13c_donnees'!H5,IF('13c_donnees'!H6/'13c_donnees'!H5&gt;'13b_parametres'!$D$5,'13c_donnees'!H6/'13b_parametres'!$D$5-'13c_donnees'!H5,0))</f>
        <v/>
      </c>
      <c r="J6" s="31">
        <f>IF('13c_donnees'!I6/'13c_donnees'!I5&lt;'13b_parametres'!$C$5,'13c_donnees'!I6/'13b_parametres'!$C$5-'13c_donnees'!I5,IF('13c_donnees'!I6/'13c_donnees'!I5&gt;'13b_parametres'!$D$5,'13c_donnees'!I6/'13b_parametres'!$D$5-'13c_donnees'!I5,0))</f>
        <v/>
      </c>
      <c r="K6" s="36">
        <f>COUNTIF(D6:J6,"&lt;&gt;0")-COUNTBLANK(D6:J6)</f>
        <v/>
      </c>
      <c r="L6" s="31">
        <f>AVERAGE(D6:J6)</f>
        <v/>
      </c>
    </row>
    <row r="7">
      <c r="A7" s="27" t="inlineStr">
        <is>
          <t>L1</t>
        </is>
      </c>
      <c r="B7" s="28" t="inlineStr">
        <is>
          <t>Montant d'équilibre pour CHF</t>
        </is>
      </c>
      <c r="C7" s="76" t="inlineStr">
        <is>
          <t>CHF</t>
        </is>
      </c>
      <c r="D7" s="29">
        <f>IF('13c_donnees'!C7/'13c_donnees'!C5&gt;'13b_parametres'!$D$16,'13c_donnees'!C7/'13b_parametres'!$D$16-'13c_donnees'!C5,0)</f>
        <v/>
      </c>
      <c r="E7" s="29">
        <f>IF('13c_donnees'!D7/'13c_donnees'!D5&gt;'13b_parametres'!$D$16,'13c_donnees'!D7/'13b_parametres'!$D$16-'13c_donnees'!D5,0)</f>
        <v/>
      </c>
      <c r="F7" s="29">
        <f>IF('13c_donnees'!E7/'13c_donnees'!E5&gt;'13b_parametres'!$D$16,'13c_donnees'!E7/'13b_parametres'!$D$16-'13c_donnees'!E5,0)</f>
        <v/>
      </c>
      <c r="G7" s="29">
        <f>IF('13c_donnees'!F7/'13c_donnees'!F5&gt;'13b_parametres'!$D$16,'13c_donnees'!F7/'13b_parametres'!$D$16-'13c_donnees'!F5,0)</f>
        <v/>
      </c>
      <c r="H7" s="29">
        <f>IF('13c_donnees'!G7/'13c_donnees'!G5&gt;'13b_parametres'!$D$16,'13c_donnees'!G7/'13b_parametres'!$D$16-'13c_donnees'!G5,0)</f>
        <v/>
      </c>
      <c r="I7" s="29">
        <f>IF('13c_donnees'!H7/'13c_donnees'!H5&gt;'13b_parametres'!$D$16,'13c_donnees'!H7/'13b_parametres'!$D$16-'13c_donnees'!H5,0)</f>
        <v/>
      </c>
      <c r="J7" s="29">
        <f>IF('13c_donnees'!I7/'13c_donnees'!I5&gt;'13b_parametres'!$D$16,'13c_donnees'!I7/'13b_parametres'!$D$16-'13c_donnees'!I5,0)</f>
        <v/>
      </c>
      <c r="K7" s="35">
        <f>COUNTIF(D7:J7,"&lt;&gt;0")-COUNTBLANK(D7:J7)</f>
        <v/>
      </c>
      <c r="L7" s="29">
        <f>AVERAGE(D7:J7)</f>
        <v/>
      </c>
    </row>
    <row r="8">
      <c r="A8" s="27" t="inlineStr">
        <is>
          <t>L1</t>
        </is>
      </c>
      <c r="B8" s="30" t="inlineStr">
        <is>
          <t>Montant d'équilibre pour CHB</t>
        </is>
      </c>
      <c r="C8" s="86" t="inlineStr">
        <is>
          <t>CHB</t>
        </is>
      </c>
      <c r="D8" s="31">
        <f>IF('13c_donnees'!C9/'13c_donnees'!C10&gt;'13b_parametres'!$D$17,'13c_donnees'!C9/'13b_parametres'!$D$17-'13c_donnees'!C10,0)</f>
        <v/>
      </c>
      <c r="E8" s="31">
        <f>IF('13c_donnees'!D9/'13c_donnees'!D10&gt;'13b_parametres'!$D$17,'13c_donnees'!D9/'13b_parametres'!$D$17-'13c_donnees'!D10,0)</f>
        <v/>
      </c>
      <c r="F8" s="31">
        <f>IF('13c_donnees'!E9/'13c_donnees'!E10&gt;'13b_parametres'!$D$17,'13c_donnees'!E9/'13b_parametres'!$D$17-'13c_donnees'!E10,0)</f>
        <v/>
      </c>
      <c r="G8" s="31">
        <f>IF('13c_donnees'!F9/'13c_donnees'!F10&gt;'13b_parametres'!$D$17,'13c_donnees'!F9/'13b_parametres'!$D$17-'13c_donnees'!F10,0)</f>
        <v/>
      </c>
      <c r="H8" s="31">
        <f>IF('13c_donnees'!G9/'13c_donnees'!G10&gt;'13b_parametres'!$D$17,'13c_donnees'!G9/'13b_parametres'!$D$17-'13c_donnees'!G10,0)</f>
        <v/>
      </c>
      <c r="I8" s="31">
        <f>IF('13c_donnees'!H9/'13c_donnees'!H10&gt;'13b_parametres'!$D$17,'13c_donnees'!H9/'13b_parametres'!$D$17-'13c_donnees'!H10,0)</f>
        <v/>
      </c>
      <c r="J8" s="31">
        <f>IF('13c_donnees'!I9/'13c_donnees'!I10&gt;'13b_parametres'!$D$17,'13c_donnees'!I9/'13b_parametres'!$D$17-'13c_donnees'!I10,0)</f>
        <v/>
      </c>
      <c r="K8" s="36">
        <f>COUNTIF(D8:J8,"&lt;&gt;0")-COUNTBLANK(D8:J8)</f>
        <v/>
      </c>
      <c r="L8" s="31">
        <f>AVERAGE(D8:J8)</f>
        <v/>
      </c>
    </row>
    <row r="9">
      <c r="A9" s="27" t="inlineStr">
        <is>
          <t>L1</t>
        </is>
      </c>
      <c r="B9" s="28" t="inlineStr">
        <is>
          <t>Montant d'équilibre pour EXN</t>
        </is>
      </c>
      <c r="C9" s="76" t="inlineStr">
        <is>
          <t>EXN</t>
        </is>
      </c>
      <c r="D9" s="29">
        <f>IF('13c_donnees'!C11&lt;0,-'13c_donnees'!C11,IF('13c_donnees'!C11&gt;'13b_parametres'!$D$10*'13c_donnees'!C5,('13b_parametres'!$D$10*'13c_donnees'!C5-'13c_donnees'!C11)/(1-'13b_parametres'!$D$10),0))</f>
        <v/>
      </c>
      <c r="E9" s="29">
        <f>IF('13c_donnees'!D11&lt;0,-'13c_donnees'!D11,IF('13c_donnees'!D11&gt;'13b_parametres'!$D$10*'13c_donnees'!D5,('13b_parametres'!$D$10*'13c_donnees'!D5-'13c_donnees'!D11)/(1-'13b_parametres'!$D$10),0))</f>
        <v/>
      </c>
      <c r="F9" s="29">
        <f>IF('13c_donnees'!E11&lt;0,-'13c_donnees'!E11,IF('13c_donnees'!E11&gt;'13b_parametres'!$D$10*'13c_donnees'!E5,('13b_parametres'!$D$10*'13c_donnees'!E5-'13c_donnees'!E11)/(1-'13b_parametres'!$D$10),0))</f>
        <v/>
      </c>
      <c r="G9" s="29">
        <f>IF('13c_donnees'!F11&lt;0,-'13c_donnees'!F11,IF('13c_donnees'!F11&gt;'13b_parametres'!$D$10*'13c_donnees'!F5,('13b_parametres'!$D$10*'13c_donnees'!F5-'13c_donnees'!F11)/(1-'13b_parametres'!$D$10),0))</f>
        <v/>
      </c>
      <c r="H9" s="29">
        <f>IF('13c_donnees'!G11&lt;0,-'13c_donnees'!G11,IF('13c_donnees'!G11&gt;'13b_parametres'!$D$10*'13c_donnees'!G5,('13b_parametres'!$D$10*'13c_donnees'!G5-'13c_donnees'!G11)/(1-'13b_parametres'!$D$10),0))</f>
        <v/>
      </c>
      <c r="I9" s="29">
        <f>IF('13c_donnees'!H11&lt;0,-'13c_donnees'!H11,IF('13c_donnees'!H11&gt;'13b_parametres'!$D$10*'13c_donnees'!H5,('13b_parametres'!$D$10*'13c_donnees'!H5-'13c_donnees'!H11)/(1-'13b_parametres'!$D$10),0))</f>
        <v/>
      </c>
      <c r="J9" s="29">
        <f>IF('13c_donnees'!I11&lt;0,-'13c_donnees'!I11,IF('13c_donnees'!I11&gt;'13b_parametres'!$D$10*'13c_donnees'!I5,('13b_parametres'!$D$10*'13c_donnees'!I5-'13c_donnees'!I11)/(1-'13b_parametres'!$D$10),0))</f>
        <v/>
      </c>
      <c r="K9" s="35">
        <f>COUNTIF(D9:J9,"&lt;&gt;0")-COUNTBLANK(D9:J9)</f>
        <v/>
      </c>
      <c r="L9" s="29">
        <f>AVERAGE(D9:J9)</f>
        <v/>
      </c>
    </row>
    <row r="10">
      <c r="A10" s="27" t="n"/>
      <c r="B10" s="30" t="inlineStr">
        <is>
          <t>Taux de cotisation équivalent pour SIN (base 5 %)</t>
        </is>
      </c>
      <c r="C10" s="30" t="n"/>
      <c r="D10" s="33">
        <f>'13b_parametres'!$C$21*('13c_donnees'!C5+D6)/'13c_donnees'!C5</f>
        <v/>
      </c>
      <c r="E10" s="33">
        <f>'13b_parametres'!$C$21*('13c_donnees'!D5+E6)/'13c_donnees'!D5</f>
        <v/>
      </c>
      <c r="F10" s="33">
        <f>'13b_parametres'!$C$21*('13c_donnees'!E5+F6)/'13c_donnees'!E5</f>
        <v/>
      </c>
      <c r="G10" s="33">
        <f>'13b_parametres'!$C$21*('13c_donnees'!F5+G6)/'13c_donnees'!F5</f>
        <v/>
      </c>
      <c r="H10" s="33">
        <f>'13b_parametres'!$C$21*('13c_donnees'!G5+H6)/'13c_donnees'!G5</f>
        <v/>
      </c>
      <c r="I10" s="33">
        <f>'13b_parametres'!$C$21*('13c_donnees'!H5+I6)/'13c_donnees'!H5</f>
        <v/>
      </c>
      <c r="J10" s="33">
        <f>'13b_parametres'!$C$21*('13c_donnees'!I5+J6)/'13c_donnees'!I5</f>
        <v/>
      </c>
      <c r="K10" s="30" t="n"/>
      <c r="L10" s="30" t="n"/>
    </row>
    <row r="11">
      <c r="A11" s="27" t="n"/>
      <c r="B11" s="28" t="inlineStr">
        <is>
          <t>Taux de cotisation équivalent pour CHF (base 5 %)</t>
        </is>
      </c>
      <c r="C11" s="28" t="n"/>
      <c r="D11" s="32">
        <f>'13b_parametres'!$C$21*('13c_donnees'!C5+D7)/'13c_donnees'!C5</f>
        <v/>
      </c>
      <c r="E11" s="32">
        <f>'13b_parametres'!$C$21*('13c_donnees'!D5+E7)/'13c_donnees'!D5</f>
        <v/>
      </c>
      <c r="F11" s="32">
        <f>'13b_parametres'!$C$21*('13c_donnees'!E5+F7)/'13c_donnees'!E5</f>
        <v/>
      </c>
      <c r="G11" s="32">
        <f>'13b_parametres'!$C$21*('13c_donnees'!F5+G7)/'13c_donnees'!F5</f>
        <v/>
      </c>
      <c r="H11" s="32">
        <f>'13b_parametres'!$C$21*('13c_donnees'!G5+H7)/'13c_donnees'!G5</f>
        <v/>
      </c>
      <c r="I11" s="32">
        <f>'13b_parametres'!$C$21*('13c_donnees'!H5+I7)/'13c_donnees'!H5</f>
        <v/>
      </c>
      <c r="J11" s="32">
        <f>'13b_parametres'!$C$21*('13c_donnees'!I5+J7)/'13c_donnees'!I5</f>
        <v/>
      </c>
      <c r="K11" s="28" t="n"/>
      <c r="L11" s="28" t="n"/>
    </row>
    <row r="12"/>
    <row r="13" ht="30" customHeight="1">
      <c r="A13" s="88" t="inlineStr">
        <is>
          <t>L2</t>
        </is>
      </c>
      <c r="B13" s="89" t="inlineStr">
        <is>
          <t>Régime des prestations : Variation des prestations (FCFA) qui ramène le ratio sur la borne ; signe négatif : baisse.</t>
        </is>
      </c>
      <c r="C13" s="90" t="inlineStr">
        <is>
          <t>Statuts, art. 93 ; règlement intérieur, art. 41, 45 et 86</t>
        </is>
      </c>
      <c r="D13" s="91" t="n"/>
      <c r="E13" s="91" t="n"/>
      <c r="F13" s="91" t="n"/>
      <c r="G13" s="91" t="n"/>
      <c r="H13" s="91" t="n"/>
      <c r="I13" s="91" t="n"/>
      <c r="J13" s="91" t="n"/>
      <c r="K13" s="91" t="n"/>
      <c r="L13" s="91" t="n"/>
    </row>
    <row r="14">
      <c r="A14" s="83" t="inlineStr">
        <is>
          <t>L2</t>
        </is>
      </c>
      <c r="B14" s="83" t="inlineStr">
        <is>
          <t>Montant d'équilibre pour SIN</t>
        </is>
      </c>
      <c r="C14" s="78" t="inlineStr">
        <is>
          <t>SIN</t>
        </is>
      </c>
      <c r="D14" s="82">
        <f>'13d_ecarts'!C7</f>
        <v/>
      </c>
      <c r="E14" s="82">
        <f>'13d_ecarts'!D7</f>
        <v/>
      </c>
      <c r="F14" s="82">
        <f>'13d_ecarts'!E7</f>
        <v/>
      </c>
      <c r="G14" s="82">
        <f>'13d_ecarts'!F7</f>
        <v/>
      </c>
      <c r="H14" s="82">
        <f>'13d_ecarts'!G7</f>
        <v/>
      </c>
      <c r="I14" s="82">
        <f>'13d_ecarts'!H7</f>
        <v/>
      </c>
      <c r="J14" s="82">
        <f>'13d_ecarts'!I7</f>
        <v/>
      </c>
      <c r="K14" s="81">
        <f>COUNTIF(D14:J14,"&lt;&gt;0")-COUNTBLANK(D14:J14)</f>
        <v/>
      </c>
      <c r="L14" s="82">
        <f>AVERAGE(D14:J14)</f>
        <v/>
      </c>
    </row>
    <row r="15">
      <c r="A15" s="83" t="inlineStr">
        <is>
          <t>L2</t>
        </is>
      </c>
      <c r="B15" s="83" t="inlineStr">
        <is>
          <t>Montant d'équilibre pour CUP</t>
        </is>
      </c>
      <c r="C15" s="78" t="inlineStr">
        <is>
          <t>CUP</t>
        </is>
      </c>
      <c r="D15" s="82">
        <f>IF('13c_donnees'!C7&gt;'13b_parametres'!$D$18*'13c_donnees'!C6,'13c_donnees'!C7/'13b_parametres'!$D$18-'13c_donnees'!C6,0)</f>
        <v/>
      </c>
      <c r="E15" s="82">
        <f>IF('13c_donnees'!D7&gt;'13b_parametres'!$D$18*'13c_donnees'!D6,'13c_donnees'!D7/'13b_parametres'!$D$18-'13c_donnees'!D6,0)</f>
        <v/>
      </c>
      <c r="F15" s="82">
        <f>IF('13c_donnees'!E7&gt;'13b_parametres'!$D$18*'13c_donnees'!E6,'13c_donnees'!E7/'13b_parametres'!$D$18-'13c_donnees'!E6,0)</f>
        <v/>
      </c>
      <c r="G15" s="82">
        <f>IF('13c_donnees'!F7&gt;'13b_parametres'!$D$18*'13c_donnees'!F6,'13c_donnees'!F7/'13b_parametres'!$D$18-'13c_donnees'!F6,0)</f>
        <v/>
      </c>
      <c r="H15" s="82">
        <f>IF('13c_donnees'!G7&gt;'13b_parametres'!$D$18*'13c_donnees'!G6,'13c_donnees'!G7/'13b_parametres'!$D$18-'13c_donnees'!G6,0)</f>
        <v/>
      </c>
      <c r="I15" s="82">
        <f>IF('13c_donnees'!H7&gt;'13b_parametres'!$D$18*'13c_donnees'!H6,'13c_donnees'!H7/'13b_parametres'!$D$18-'13c_donnees'!H6,0)</f>
        <v/>
      </c>
      <c r="J15" s="82">
        <f>IF('13c_donnees'!I7&gt;'13b_parametres'!$D$18*'13c_donnees'!I6,'13c_donnees'!I7/'13b_parametres'!$D$18-'13c_donnees'!I6,0)</f>
        <v/>
      </c>
      <c r="K15" s="81">
        <f>COUNTIF(D15:J15,"&lt;&gt;0")-COUNTBLANK(D15:J15)</f>
        <v/>
      </c>
      <c r="L15" s="82">
        <f>AVERAGE(D15:J15)</f>
        <v/>
      </c>
    </row>
    <row r="16">
      <c r="A16" s="83" t="inlineStr">
        <is>
          <t>L2</t>
        </is>
      </c>
      <c r="B16" s="83" t="inlineStr">
        <is>
          <t>Montant d'équilibre pour EXN</t>
        </is>
      </c>
      <c r="C16" s="78" t="inlineStr">
        <is>
          <t>EXN</t>
        </is>
      </c>
      <c r="D16" s="82">
        <f>IF('13c_donnees'!C11&lt;0,'13c_donnees'!C11,IF('13c_donnees'!C11&gt;'13b_parametres'!$D$10*'13c_donnees'!C5,'13c_donnees'!C11-'13b_parametres'!$D$10*'13c_donnees'!C5,0))</f>
        <v/>
      </c>
      <c r="E16" s="82">
        <f>IF('13c_donnees'!D11&lt;0,'13c_donnees'!D11,IF('13c_donnees'!D11&gt;'13b_parametres'!$D$10*'13c_donnees'!D5,'13c_donnees'!D11-'13b_parametres'!$D$10*'13c_donnees'!D5,0))</f>
        <v/>
      </c>
      <c r="F16" s="82">
        <f>IF('13c_donnees'!E11&lt;0,'13c_donnees'!E11,IF('13c_donnees'!E11&gt;'13b_parametres'!$D$10*'13c_donnees'!E5,'13c_donnees'!E11-'13b_parametres'!$D$10*'13c_donnees'!E5,0))</f>
        <v/>
      </c>
      <c r="G16" s="82">
        <f>IF('13c_donnees'!F11&lt;0,'13c_donnees'!F11,IF('13c_donnees'!F11&gt;'13b_parametres'!$D$10*'13c_donnees'!F5,'13c_donnees'!F11-'13b_parametres'!$D$10*'13c_donnees'!F5,0))</f>
        <v/>
      </c>
      <c r="H16" s="82">
        <f>IF('13c_donnees'!G11&lt;0,'13c_donnees'!G11,IF('13c_donnees'!G11&gt;'13b_parametres'!$D$10*'13c_donnees'!G5,'13c_donnees'!G11-'13b_parametres'!$D$10*'13c_donnees'!G5,0))</f>
        <v/>
      </c>
      <c r="I16" s="82">
        <f>IF('13c_donnees'!H11&lt;0,'13c_donnees'!H11,IF('13c_donnees'!H11&gt;'13b_parametres'!$D$10*'13c_donnees'!H5,'13c_donnees'!H11-'13b_parametres'!$D$10*'13c_donnees'!H5,0))</f>
        <v/>
      </c>
      <c r="J16" s="82">
        <f>IF('13c_donnees'!I11&lt;0,'13c_donnees'!I11,IF('13c_donnees'!I11&gt;'13b_parametres'!$D$10*'13c_donnees'!I5,'13c_donnees'!I11-'13b_parametres'!$D$10*'13c_donnees'!I5,0))</f>
        <v/>
      </c>
      <c r="K16" s="81">
        <f>COUNTIF(D16:J16,"&lt;&gt;0")-COUNTBLANK(D16:J16)</f>
        <v/>
      </c>
      <c r="L16" s="82">
        <f>AVERAGE(D16:J16)</f>
        <v/>
      </c>
    </row>
    <row r="17">
      <c r="A17" s="83" t="inlineStr">
        <is>
          <t>L2</t>
        </is>
      </c>
      <c r="B17" s="83" t="inlineStr">
        <is>
          <t>Montant d'équilibre pour ROB</t>
        </is>
      </c>
      <c r="C17" s="78" t="inlineStr">
        <is>
          <t>ROB</t>
        </is>
      </c>
      <c r="D17" s="82">
        <f>IF('13c_donnees'!C12*12/'13c_donnees'!C6&lt;'13b_parametres'!$C$6,'13c_donnees'!C12*12/'13b_parametres'!$C$6-'13c_donnees'!C6,0)</f>
        <v/>
      </c>
      <c r="E17" s="82">
        <f>IF('13c_donnees'!D12*12/'13c_donnees'!D6&lt;'13b_parametres'!$C$6,'13c_donnees'!D12*12/'13b_parametres'!$C$6-'13c_donnees'!D6,0)</f>
        <v/>
      </c>
      <c r="F17" s="82">
        <f>IF('13c_donnees'!E12*12/'13c_donnees'!E6&lt;'13b_parametres'!$C$6,'13c_donnees'!E12*12/'13b_parametres'!$C$6-'13c_donnees'!E6,0)</f>
        <v/>
      </c>
      <c r="G17" s="82">
        <f>IF('13c_donnees'!F12*12/'13c_donnees'!F6&lt;'13b_parametres'!$C$6,'13c_donnees'!F12*12/'13b_parametres'!$C$6-'13c_donnees'!F6,0)</f>
        <v/>
      </c>
      <c r="H17" s="82">
        <f>IF('13c_donnees'!G12*12/'13c_donnees'!G6&lt;'13b_parametres'!$C$6,'13c_donnees'!G12*12/'13b_parametres'!$C$6-'13c_donnees'!G6,0)</f>
        <v/>
      </c>
      <c r="I17" s="82">
        <f>IF('13c_donnees'!H12*12/'13c_donnees'!H6&lt;'13b_parametres'!$C$6,'13c_donnees'!H12*12/'13b_parametres'!$C$6-'13c_donnees'!H6,0)</f>
        <v/>
      </c>
      <c r="J17" s="82">
        <f>IF('13c_donnees'!I12*12/'13c_donnees'!I6&lt;'13b_parametres'!$C$6,'13c_donnees'!I12*12/'13b_parametres'!$C$6-'13c_donnees'!I6,0)</f>
        <v/>
      </c>
      <c r="K17" s="81">
        <f>COUNTIF(D17:J17,"&lt;&gt;0")-COUNTBLANK(D17:J17)</f>
        <v/>
      </c>
      <c r="L17" s="82">
        <f>AVERAGE(D17:J17)</f>
        <v/>
      </c>
    </row>
    <row r="18"/>
    <row r="19" ht="30" customHeight="1">
      <c r="A19" s="88" t="inlineStr">
        <is>
          <t>L3</t>
        </is>
      </c>
      <c r="B19" s="89" t="inlineStr">
        <is>
          <t>Charges de fonctionnement : Réduction des charges (FCFA) qui ramène le ratio sur la borne.</t>
        </is>
      </c>
      <c r="C19" s="90" t="inlineStr">
        <is>
          <t>Décision 05/2022, tableau 1, lignes 2 et 3 ; tableau 2, ligne 5</t>
        </is>
      </c>
      <c r="D19" s="91" t="n"/>
      <c r="E19" s="91" t="n"/>
      <c r="F19" s="91" t="n"/>
      <c r="G19" s="91" t="n"/>
      <c r="H19" s="91" t="n"/>
      <c r="I19" s="91" t="n"/>
      <c r="J19" s="91" t="n"/>
      <c r="K19" s="91" t="n"/>
      <c r="L19" s="91" t="n"/>
    </row>
    <row r="20">
      <c r="A20" s="83" t="inlineStr">
        <is>
          <t>L3</t>
        </is>
      </c>
      <c r="B20" s="83" t="inlineStr">
        <is>
          <t>Montant d'équilibre pour CHF</t>
        </is>
      </c>
      <c r="C20" s="78" t="inlineStr">
        <is>
          <t>CHF</t>
        </is>
      </c>
      <c r="D20" s="82">
        <f>'13d_ecarts'!C62</f>
        <v/>
      </c>
      <c r="E20" s="82">
        <f>'13d_ecarts'!D62</f>
        <v/>
      </c>
      <c r="F20" s="82">
        <f>'13d_ecarts'!E62</f>
        <v/>
      </c>
      <c r="G20" s="82">
        <f>'13d_ecarts'!F62</f>
        <v/>
      </c>
      <c r="H20" s="82">
        <f>'13d_ecarts'!G62</f>
        <v/>
      </c>
      <c r="I20" s="82">
        <f>'13d_ecarts'!H62</f>
        <v/>
      </c>
      <c r="J20" s="82">
        <f>'13d_ecarts'!I62</f>
        <v/>
      </c>
      <c r="K20" s="81">
        <f>COUNTIF(D20:J20,"&lt;&gt;0")-COUNTBLANK(D20:J20)</f>
        <v/>
      </c>
      <c r="L20" s="82">
        <f>AVERAGE(D20:J20)</f>
        <v/>
      </c>
    </row>
    <row r="21">
      <c r="A21" s="83" t="inlineStr">
        <is>
          <t>L3</t>
        </is>
      </c>
      <c r="B21" s="83" t="inlineStr">
        <is>
          <t>Montant d'équilibre pour CHB</t>
        </is>
      </c>
      <c r="C21" s="78" t="inlineStr">
        <is>
          <t>CHB</t>
        </is>
      </c>
      <c r="D21" s="82">
        <f>'13d_ecarts'!C67</f>
        <v/>
      </c>
      <c r="E21" s="82">
        <f>'13d_ecarts'!D67</f>
        <v/>
      </c>
      <c r="F21" s="82">
        <f>'13d_ecarts'!E67</f>
        <v/>
      </c>
      <c r="G21" s="82">
        <f>'13d_ecarts'!F67</f>
        <v/>
      </c>
      <c r="H21" s="82">
        <f>'13d_ecarts'!G67</f>
        <v/>
      </c>
      <c r="I21" s="82">
        <f>'13d_ecarts'!H67</f>
        <v/>
      </c>
      <c r="J21" s="82">
        <f>'13d_ecarts'!I67</f>
        <v/>
      </c>
      <c r="K21" s="81">
        <f>COUNTIF(D21:J21,"&lt;&gt;0")-COUNTBLANK(D21:J21)</f>
        <v/>
      </c>
      <c r="L21" s="82">
        <f>AVERAGE(D21:J21)</f>
        <v/>
      </c>
    </row>
    <row r="22">
      <c r="A22" s="83" t="inlineStr">
        <is>
          <t>L3</t>
        </is>
      </c>
      <c r="B22" s="83" t="inlineStr">
        <is>
          <t>Montant d'équilibre pour CUP</t>
        </is>
      </c>
      <c r="C22" s="78" t="inlineStr">
        <is>
          <t>CUP</t>
        </is>
      </c>
      <c r="D22" s="82">
        <f>'13d_ecarts'!C72</f>
        <v/>
      </c>
      <c r="E22" s="82">
        <f>'13d_ecarts'!D72</f>
        <v/>
      </c>
      <c r="F22" s="82">
        <f>'13d_ecarts'!E72</f>
        <v/>
      </c>
      <c r="G22" s="82">
        <f>'13d_ecarts'!F72</f>
        <v/>
      </c>
      <c r="H22" s="82">
        <f>'13d_ecarts'!G72</f>
        <v/>
      </c>
      <c r="I22" s="82">
        <f>'13d_ecarts'!H72</f>
        <v/>
      </c>
      <c r="J22" s="82">
        <f>'13d_ecarts'!I72</f>
        <v/>
      </c>
      <c r="K22" s="81">
        <f>COUNTIF(D22:J22,"&lt;&gt;0")-COUNTBLANK(D22:J22)</f>
        <v/>
      </c>
      <c r="L22" s="82">
        <f>AVERAGE(D22:J22)</f>
        <v/>
      </c>
    </row>
    <row r="23">
      <c r="B23" s="83" t="inlineStr">
        <is>
          <t>Réduction requise pour CUP, en % des charges de fonctionnement</t>
        </is>
      </c>
      <c r="D23" s="85">
        <f>D22/'13c_donnees'!C7</f>
        <v/>
      </c>
      <c r="E23" s="85">
        <f>E22/'13c_donnees'!D7</f>
        <v/>
      </c>
      <c r="F23" s="85">
        <f>F22/'13c_donnees'!E7</f>
        <v/>
      </c>
      <c r="G23" s="85">
        <f>G22/'13c_donnees'!F7</f>
        <v/>
      </c>
      <c r="H23" s="85">
        <f>H22/'13c_donnees'!G7</f>
        <v/>
      </c>
      <c r="I23" s="85">
        <f>I22/'13c_donnees'!H7</f>
        <v/>
      </c>
      <c r="J23" s="85">
        <f>J22/'13c_donnees'!I7</f>
        <v/>
      </c>
    </row>
    <row r="24"/>
    <row r="25" ht="30" customHeight="1">
      <c r="A25" s="88" t="inlineStr">
        <is>
          <t>L4</t>
        </is>
      </c>
      <c r="B25" s="89" t="inlineStr">
        <is>
          <t>Dotation à la réserve légale : Réserve à doter (FCFA) ; comparaison avec les dotations de 20 % et 50 % des excédents passés.</t>
        </is>
      </c>
      <c r="C25" s="90" t="inlineStr">
        <is>
          <t>Statuts, art. 90 ; Décision 05/2022, tableau 1, ligne 10</t>
        </is>
      </c>
      <c r="D25" s="91" t="n"/>
      <c r="E25" s="91" t="n"/>
      <c r="F25" s="91" t="n"/>
      <c r="G25" s="91" t="n"/>
      <c r="H25" s="91" t="n"/>
      <c r="I25" s="91" t="n"/>
      <c r="J25" s="91" t="n"/>
      <c r="K25" s="91" t="n"/>
      <c r="L25" s="91" t="n"/>
    </row>
    <row r="26">
      <c r="A26" s="83" t="inlineStr">
        <is>
          <t>L4</t>
        </is>
      </c>
      <c r="B26" s="83" t="inlineStr">
        <is>
          <t>Montant d'équilibre pour ROB</t>
        </is>
      </c>
      <c r="C26" s="78" t="inlineStr">
        <is>
          <t>ROB</t>
        </is>
      </c>
      <c r="D26" s="82">
        <f>'13d_ecarts'!C12</f>
        <v/>
      </c>
      <c r="E26" s="82">
        <f>'13d_ecarts'!D12</f>
        <v/>
      </c>
      <c r="F26" s="82">
        <f>'13d_ecarts'!E12</f>
        <v/>
      </c>
      <c r="G26" s="82">
        <f>'13d_ecarts'!F12</f>
        <v/>
      </c>
      <c r="H26" s="82">
        <f>'13d_ecarts'!G12</f>
        <v/>
      </c>
      <c r="I26" s="82">
        <f>'13d_ecarts'!H12</f>
        <v/>
      </c>
      <c r="J26" s="82">
        <f>'13d_ecarts'!I12</f>
        <v/>
      </c>
      <c r="K26" s="81">
        <f>COUNTIF(D26:J26,"&lt;&gt;0")-COUNTBLANK(D26:J26)</f>
        <v/>
      </c>
      <c r="L26" s="82">
        <f>AVERAGE(D26:J26)</f>
        <v/>
      </c>
    </row>
    <row r="27">
      <c r="B27" s="83" t="inlineStr">
        <is>
          <t>Excédents positifs cumulés depuis 2020 (exercices précédents)</t>
        </is>
      </c>
      <c r="D27" s="82">
        <f>0</f>
        <v/>
      </c>
      <c r="E27" s="82">
        <f>MAX(0,'13c_donnees'!C11)</f>
        <v/>
      </c>
      <c r="F27" s="82">
        <f>MAX(0,'13c_donnees'!C11)+MAX(0,'13c_donnees'!D11)</f>
        <v/>
      </c>
      <c r="G27" s="82">
        <f>MAX(0,'13c_donnees'!C11)+MAX(0,'13c_donnees'!D11)+MAX(0,'13c_donnees'!E11)</f>
        <v/>
      </c>
      <c r="H27" s="82">
        <f>MAX(0,'13c_donnees'!C11)+MAX(0,'13c_donnees'!D11)+MAX(0,'13c_donnees'!E11)+MAX(0,'13c_donnees'!F11)</f>
        <v/>
      </c>
      <c r="I27" s="82">
        <f>MAX(0,'13c_donnees'!C11)+MAX(0,'13c_donnees'!D11)+MAX(0,'13c_donnees'!E11)+MAX(0,'13c_donnees'!F11)+MAX(0,'13c_donnees'!G11)</f>
        <v/>
      </c>
      <c r="J27" s="82">
        <f>MAX(0,'13c_donnees'!C11)+MAX(0,'13c_donnees'!D11)+MAX(0,'13c_donnees'!E11)+MAX(0,'13c_donnees'!F11)+MAX(0,'13c_donnees'!G11)+MAX(0,'13c_donnees'!H11)</f>
        <v/>
      </c>
    </row>
    <row r="28">
      <c r="B28" s="83" t="inlineStr">
        <is>
          <t>ROB si la réserve avait reçu 20 % des excédents passés (mois)</t>
        </is>
      </c>
      <c r="D28" s="79">
        <f>MAX('13c_donnees'!C12,'13b_parametres'!$C$23*D27)*12/'13c_donnees'!C6</f>
        <v/>
      </c>
      <c r="E28" s="79">
        <f>MAX('13c_donnees'!D12,'13b_parametres'!$C$23*E27)*12/'13c_donnees'!D6</f>
        <v/>
      </c>
      <c r="F28" s="79">
        <f>MAX('13c_donnees'!E12,'13b_parametres'!$C$23*F27)*12/'13c_donnees'!E6</f>
        <v/>
      </c>
      <c r="G28" s="79">
        <f>MAX('13c_donnees'!F12,'13b_parametres'!$C$23*G27)*12/'13c_donnees'!F6</f>
        <v/>
      </c>
      <c r="H28" s="79">
        <f>MAX('13c_donnees'!G12,'13b_parametres'!$C$23*H27)*12/'13c_donnees'!G6</f>
        <v/>
      </c>
      <c r="I28" s="79">
        <f>MAX('13c_donnees'!H12,'13b_parametres'!$C$23*I27)*12/'13c_donnees'!H6</f>
        <v/>
      </c>
      <c r="J28" s="79">
        <f>MAX('13c_donnees'!I12,'13b_parametres'!$C$23*J27)*12/'13c_donnees'!I6</f>
        <v/>
      </c>
    </row>
    <row r="29">
      <c r="B29" s="83" t="inlineStr">
        <is>
          <t>Statut de ROB avec 20 %</t>
        </is>
      </c>
      <c r="D29" s="83">
        <f>IF(AND(D28&gt;='13b_parametres'!$C$6,D28&lt;='13b_parametres'!$D$6),"Conforme","Non conforme")</f>
        <v/>
      </c>
      <c r="E29" s="83">
        <f>IF(AND(E28&gt;='13b_parametres'!$C$6,E28&lt;='13b_parametres'!$D$6),"Conforme","Non conforme")</f>
        <v/>
      </c>
      <c r="F29" s="83">
        <f>IF(AND(F28&gt;='13b_parametres'!$C$6,F28&lt;='13b_parametres'!$D$6),"Conforme","Non conforme")</f>
        <v/>
      </c>
      <c r="G29" s="83">
        <f>IF(AND(G28&gt;='13b_parametres'!$C$6,G28&lt;='13b_parametres'!$D$6),"Conforme","Non conforme")</f>
        <v/>
      </c>
      <c r="H29" s="83">
        <f>IF(AND(H28&gt;='13b_parametres'!$C$6,H28&lt;='13b_parametres'!$D$6),"Conforme","Non conforme")</f>
        <v/>
      </c>
      <c r="I29" s="83">
        <f>IF(AND(I28&gt;='13b_parametres'!$C$6,I28&lt;='13b_parametres'!$D$6),"Conforme","Non conforme")</f>
        <v/>
      </c>
      <c r="J29" s="83">
        <f>IF(AND(J28&gt;='13b_parametres'!$C$6,J28&lt;='13b_parametres'!$D$6),"Conforme","Non conforme")</f>
        <v/>
      </c>
      <c r="K29" s="81">
        <f>COUNTIF(D29:J29,"Conforme")</f>
        <v/>
      </c>
    </row>
    <row r="30">
      <c r="B30" s="83" t="inlineStr">
        <is>
          <t>ROB si la réserve avait reçu 50 % des excédents passés (mois)</t>
        </is>
      </c>
      <c r="D30" s="79">
        <f>MAX('13c_donnees'!C12,'13b_parametres'!$C$24*D27)*12/'13c_donnees'!C6</f>
        <v/>
      </c>
      <c r="E30" s="79">
        <f>MAX('13c_donnees'!D12,'13b_parametres'!$C$24*E27)*12/'13c_donnees'!D6</f>
        <v/>
      </c>
      <c r="F30" s="79">
        <f>MAX('13c_donnees'!E12,'13b_parametres'!$C$24*F27)*12/'13c_donnees'!E6</f>
        <v/>
      </c>
      <c r="G30" s="79">
        <f>MAX('13c_donnees'!F12,'13b_parametres'!$C$24*G27)*12/'13c_donnees'!F6</f>
        <v/>
      </c>
      <c r="H30" s="79">
        <f>MAX('13c_donnees'!G12,'13b_parametres'!$C$24*H27)*12/'13c_donnees'!G6</f>
        <v/>
      </c>
      <c r="I30" s="79">
        <f>MAX('13c_donnees'!H12,'13b_parametres'!$C$24*I27)*12/'13c_donnees'!H6</f>
        <v/>
      </c>
      <c r="J30" s="79">
        <f>MAX('13c_donnees'!I12,'13b_parametres'!$C$24*J27)*12/'13c_donnees'!I6</f>
        <v/>
      </c>
    </row>
    <row r="31">
      <c r="B31" s="83" t="inlineStr">
        <is>
          <t>Statut de ROB avec 50 %</t>
        </is>
      </c>
      <c r="D31" s="83">
        <f>IF(AND(D30&gt;='13b_parametres'!$C$6,D30&lt;='13b_parametres'!$D$6),"Conforme","Non conforme")</f>
        <v/>
      </c>
      <c r="E31" s="83">
        <f>IF(AND(E30&gt;='13b_parametres'!$C$6,E30&lt;='13b_parametres'!$D$6),"Conforme","Non conforme")</f>
        <v/>
      </c>
      <c r="F31" s="83">
        <f>IF(AND(F30&gt;='13b_parametres'!$C$6,F30&lt;='13b_parametres'!$D$6),"Conforme","Non conforme")</f>
        <v/>
      </c>
      <c r="G31" s="83">
        <f>IF(AND(G30&gt;='13b_parametres'!$C$6,G30&lt;='13b_parametres'!$D$6),"Conforme","Non conforme")</f>
        <v/>
      </c>
      <c r="H31" s="83">
        <f>IF(AND(H30&gt;='13b_parametres'!$C$6,H30&lt;='13b_parametres'!$D$6),"Conforme","Non conforme")</f>
        <v/>
      </c>
      <c r="I31" s="83">
        <f>IF(AND(I30&gt;='13b_parametres'!$C$6,I30&lt;='13b_parametres'!$D$6),"Conforme","Non conforme")</f>
        <v/>
      </c>
      <c r="J31" s="83">
        <f>IF(AND(J30&gt;='13b_parametres'!$C$6,J30&lt;='13b_parametres'!$D$6),"Conforme","Non conforme")</f>
        <v/>
      </c>
      <c r="K31" s="81">
        <f>COUNTIF(D31:J31,"Conforme")</f>
        <v/>
      </c>
    </row>
    <row r="32"/>
    <row r="33" ht="30" customHeight="1">
      <c r="A33" s="88" t="inlineStr">
        <is>
          <t>L5</t>
        </is>
      </c>
      <c r="B33" s="89" t="inlineStr">
        <is>
          <t>Réallocation des placements : Actifs longs à transformer en disponibilités dédiées (FCFA) ; comparaison avec toute la classe 2.</t>
        </is>
      </c>
      <c r="C33" s="90" t="inlineStr">
        <is>
          <t>Statuts, art. 85 ; règlement d'exécution 004/2022, art. 17 et 19</t>
        </is>
      </c>
      <c r="D33" s="91" t="n"/>
      <c r="E33" s="91" t="n"/>
      <c r="F33" s="91" t="n"/>
      <c r="G33" s="91" t="n"/>
      <c r="H33" s="91" t="n"/>
      <c r="I33" s="91" t="n"/>
      <c r="J33" s="91" t="n"/>
      <c r="K33" s="91" t="n"/>
      <c r="L33" s="91" t="n"/>
    </row>
    <row r="34">
      <c r="A34" s="83" t="inlineStr">
        <is>
          <t>L5</t>
        </is>
      </c>
      <c r="B34" s="83" t="inlineStr">
        <is>
          <t>Montant d'équilibre pour LIQ</t>
        </is>
      </c>
      <c r="C34" s="78" t="inlineStr">
        <is>
          <t>LIQ</t>
        </is>
      </c>
      <c r="D34" s="82">
        <f>'13d_ecarts'!C22</f>
        <v/>
      </c>
      <c r="E34" s="82">
        <f>'13d_ecarts'!D22</f>
        <v/>
      </c>
      <c r="F34" s="82">
        <f>'13d_ecarts'!E22</f>
        <v/>
      </c>
      <c r="G34" s="82">
        <f>'13d_ecarts'!F22</f>
        <v/>
      </c>
      <c r="H34" s="82">
        <f>'13d_ecarts'!G22</f>
        <v/>
      </c>
      <c r="I34" s="82">
        <f>'13d_ecarts'!H22</f>
        <v/>
      </c>
      <c r="J34" s="82">
        <f>'13d_ecarts'!I22</f>
        <v/>
      </c>
      <c r="K34" s="81">
        <f>COUNTIF(D34:J34,"&lt;&gt;0")-COUNTBLANK(D34:J34)</f>
        <v/>
      </c>
      <c r="L34" s="82">
        <f>AVERAGE(D34:J34)</f>
        <v/>
      </c>
    </row>
    <row r="35">
      <c r="A35" s="83" t="inlineStr">
        <is>
          <t>L5</t>
        </is>
      </c>
      <c r="B35" s="83" t="inlineStr">
        <is>
          <t>Montant d'équilibre pour RL1</t>
        </is>
      </c>
      <c r="C35" s="78" t="inlineStr">
        <is>
          <t>RL1</t>
        </is>
      </c>
      <c r="D35" s="82">
        <f>'13d_ecarts'!C37</f>
        <v/>
      </c>
      <c r="E35" s="82">
        <f>'13d_ecarts'!D37</f>
        <v/>
      </c>
      <c r="F35" s="82">
        <f>'13d_ecarts'!E37</f>
        <v/>
      </c>
      <c r="G35" s="82">
        <f>'13d_ecarts'!F37</f>
        <v/>
      </c>
      <c r="H35" s="82">
        <f>'13d_ecarts'!G37</f>
        <v/>
      </c>
      <c r="I35" s="82">
        <f>'13d_ecarts'!H37</f>
        <v/>
      </c>
      <c r="J35" s="82">
        <f>'13d_ecarts'!I37</f>
        <v/>
      </c>
      <c r="K35" s="81">
        <f>COUNTIF(D35:J35,"&lt;&gt;0")-COUNTBLANK(D35:J35)</f>
        <v/>
      </c>
      <c r="L35" s="82">
        <f>AVERAGE(D35:J35)</f>
        <v/>
      </c>
    </row>
    <row r="36">
      <c r="A36" s="83" t="inlineStr">
        <is>
          <t>L5</t>
        </is>
      </c>
      <c r="B36" s="83" t="inlineStr">
        <is>
          <t>Montant d'équilibre pour RL2</t>
        </is>
      </c>
      <c r="C36" s="78" t="inlineStr">
        <is>
          <t>RL2</t>
        </is>
      </c>
      <c r="D36" s="82">
        <f>'13d_ecarts'!C42</f>
        <v/>
      </c>
      <c r="E36" s="82">
        <f>'13d_ecarts'!D42</f>
        <v/>
      </c>
      <c r="F36" s="82">
        <f>'13d_ecarts'!E42</f>
        <v/>
      </c>
      <c r="G36" s="82">
        <f>'13d_ecarts'!F42</f>
        <v/>
      </c>
      <c r="H36" s="82">
        <f>'13d_ecarts'!G42</f>
        <v/>
      </c>
      <c r="I36" s="82">
        <f>'13d_ecarts'!H42</f>
        <v/>
      </c>
      <c r="J36" s="82">
        <f>'13d_ecarts'!I42</f>
        <v/>
      </c>
      <c r="K36" s="81">
        <f>COUNTIF(D36:J36,"&lt;&gt;0")-COUNTBLANK(D36:J36)</f>
        <v/>
      </c>
      <c r="L36" s="82">
        <f>AVERAGE(D36:J36)</f>
        <v/>
      </c>
    </row>
    <row r="37">
      <c r="A37" s="83" t="inlineStr">
        <is>
          <t>L5</t>
        </is>
      </c>
      <c r="B37" s="83" t="inlineStr">
        <is>
          <t>Montant d'équilibre pour RL3</t>
        </is>
      </c>
      <c r="C37" s="78" t="inlineStr">
        <is>
          <t>RL3</t>
        </is>
      </c>
      <c r="D37" s="82">
        <f>'13d_ecarts'!C47</f>
        <v/>
      </c>
      <c r="E37" s="82">
        <f>'13d_ecarts'!D47</f>
        <v/>
      </c>
      <c r="F37" s="82">
        <f>'13d_ecarts'!E47</f>
        <v/>
      </c>
      <c r="G37" s="82">
        <f>'13d_ecarts'!F47</f>
        <v/>
      </c>
      <c r="H37" s="82">
        <f>'13d_ecarts'!G47</f>
        <v/>
      </c>
      <c r="I37" s="82">
        <f>'13d_ecarts'!H47</f>
        <v/>
      </c>
      <c r="J37" s="82">
        <f>'13d_ecarts'!I47</f>
        <v/>
      </c>
      <c r="K37" s="81">
        <f>COUNTIF(D37:J37,"&lt;&gt;0")-COUNTBLANK(D37:J37)</f>
        <v/>
      </c>
      <c r="L37" s="82">
        <f>AVERAGE(D37:J37)</f>
        <v/>
      </c>
    </row>
    <row r="38">
      <c r="A38" s="83" t="inlineStr">
        <is>
          <t>L5</t>
        </is>
      </c>
      <c r="B38" s="83" t="inlineStr">
        <is>
          <t>Montant d'équilibre pour RL4</t>
        </is>
      </c>
      <c r="C38" s="78" t="inlineStr">
        <is>
          <t>RL4</t>
        </is>
      </c>
      <c r="D38" s="82">
        <f>'13d_ecarts'!C52</f>
        <v/>
      </c>
      <c r="E38" s="82">
        <f>'13d_ecarts'!D52</f>
        <v/>
      </c>
      <c r="F38" s="82">
        <f>'13d_ecarts'!E52</f>
        <v/>
      </c>
      <c r="G38" s="82">
        <f>'13d_ecarts'!F52</f>
        <v/>
      </c>
      <c r="H38" s="82">
        <f>'13d_ecarts'!G52</f>
        <v/>
      </c>
      <c r="I38" s="82">
        <f>'13d_ecarts'!H52</f>
        <v/>
      </c>
      <c r="J38" s="82">
        <f>'13d_ecarts'!I52</f>
        <v/>
      </c>
      <c r="K38" s="81">
        <f>COUNTIF(D38:J38,"&lt;&gt;0")-COUNTBLANK(D38:J38)</f>
        <v/>
      </c>
      <c r="L38" s="82">
        <f>AVERAGE(D38:J38)</f>
        <v/>
      </c>
    </row>
    <row r="39">
      <c r="A39" s="83" t="inlineStr">
        <is>
          <t>L5</t>
        </is>
      </c>
      <c r="B39" s="83" t="inlineStr">
        <is>
          <t>Montant d'équilibre pour EQS</t>
        </is>
      </c>
      <c r="C39" s="78" t="inlineStr">
        <is>
          <t>EQS</t>
        </is>
      </c>
      <c r="D39" s="82">
        <f>'13d_ecarts'!C27</f>
        <v/>
      </c>
      <c r="E39" s="82">
        <f>'13d_ecarts'!D27</f>
        <v/>
      </c>
      <c r="F39" s="82">
        <f>'13d_ecarts'!E27</f>
        <v/>
      </c>
      <c r="G39" s="82">
        <f>'13d_ecarts'!F27</f>
        <v/>
      </c>
      <c r="H39" s="82">
        <f>'13d_ecarts'!G27</f>
        <v/>
      </c>
      <c r="I39" s="82">
        <f>'13d_ecarts'!H27</f>
        <v/>
      </c>
      <c r="J39" s="82">
        <f>'13d_ecarts'!I27</f>
        <v/>
      </c>
      <c r="K39" s="81">
        <f>COUNTIF(D39:J39,"&lt;&gt;0")-COUNTBLANK(D39:J39)</f>
        <v/>
      </c>
      <c r="L39" s="82">
        <f>AVERAGE(D39:J39)</f>
        <v/>
      </c>
    </row>
    <row r="40">
      <c r="B40" s="83" t="inlineStr">
        <is>
          <t>Classe 2 nette disponible (plafond théorique de réallocation)</t>
        </is>
      </c>
      <c r="D40" s="82">
        <f>'13c_donnees'!C18</f>
        <v/>
      </c>
      <c r="E40" s="82">
        <f>'13c_donnees'!D18</f>
        <v/>
      </c>
      <c r="F40" s="82">
        <f>'13c_donnees'!E18</f>
        <v/>
      </c>
      <c r="G40" s="82">
        <f>'13c_donnees'!F18</f>
        <v/>
      </c>
      <c r="H40" s="82">
        <f>'13c_donnees'!G18</f>
        <v/>
      </c>
      <c r="I40" s="82">
        <f>'13c_donnees'!H18</f>
        <v/>
      </c>
      <c r="J40" s="82">
        <f>'13c_donnees'!I18</f>
        <v/>
      </c>
    </row>
    <row r="41">
      <c r="B41" s="83" t="inlineStr">
        <is>
          <t>LIQ si toute la classe 2 était transformée en disponibilités</t>
        </is>
      </c>
      <c r="D41" s="79">
        <f>('13c_donnees'!C15+'13c_donnees'!C18)/'13c_donnees'!C16</f>
        <v/>
      </c>
      <c r="E41" s="79">
        <f>('13c_donnees'!D15+'13c_donnees'!D18)/'13c_donnees'!D16</f>
        <v/>
      </c>
      <c r="F41" s="79">
        <f>('13c_donnees'!E15+'13c_donnees'!E18)/'13c_donnees'!E16</f>
        <v/>
      </c>
      <c r="G41" s="79">
        <f>('13c_donnees'!F15+'13c_donnees'!F18)/'13c_donnees'!F16</f>
        <v/>
      </c>
      <c r="H41" s="79">
        <f>('13c_donnees'!G15+'13c_donnees'!G18)/'13c_donnees'!G16</f>
        <v/>
      </c>
      <c r="I41" s="79">
        <f>('13c_donnees'!H15+'13c_donnees'!H18)/'13c_donnees'!H16</f>
        <v/>
      </c>
      <c r="J41" s="79">
        <f>('13c_donnees'!I15+'13c_donnees'!I18)/'13c_donnees'!I16</f>
        <v/>
      </c>
    </row>
    <row r="42">
      <c r="B42" s="83" t="inlineStr">
        <is>
          <t>Statut de LIQ au maximum théorique</t>
        </is>
      </c>
      <c r="D42" s="83">
        <f>IF(D41&gt;='13b_parametres'!$C$8,"Conforme","Non conforme")</f>
        <v/>
      </c>
      <c r="E42" s="83">
        <f>IF(E41&gt;='13b_parametres'!$C$8,"Conforme","Non conforme")</f>
        <v/>
      </c>
      <c r="F42" s="83">
        <f>IF(F41&gt;='13b_parametres'!$C$8,"Conforme","Non conforme")</f>
        <v/>
      </c>
      <c r="G42" s="83">
        <f>IF(G41&gt;='13b_parametres'!$C$8,"Conforme","Non conforme")</f>
        <v/>
      </c>
      <c r="H42" s="83">
        <f>IF(H41&gt;='13b_parametres'!$C$8,"Conforme","Non conforme")</f>
        <v/>
      </c>
      <c r="I42" s="83">
        <f>IF(I41&gt;='13b_parametres'!$C$8,"Conforme","Non conforme")</f>
        <v/>
      </c>
      <c r="J42" s="83">
        <f>IF(J41&gt;='13b_parametres'!$C$8,"Conforme","Non conforme")</f>
        <v/>
      </c>
    </row>
    <row r="43"/>
    <row r="44" ht="30" customHeight="1">
      <c r="A44" s="88" t="inlineStr">
        <is>
          <t>L6</t>
        </is>
      </c>
      <c r="B44" s="89" t="inlineStr">
        <is>
          <t>Classement de l'épargne en ressource longue : Reclassement de présentation, sans effet économique (valeurs retraitées).</t>
        </is>
      </c>
      <c r="C44" s="90" t="inlineStr">
        <is>
          <t>Règlement d'exécution 004/2022, art. 3 (risques longs) ; PCMS</t>
        </is>
      </c>
      <c r="D44" s="91" t="n"/>
      <c r="E44" s="91" t="n"/>
      <c r="F44" s="91" t="n"/>
      <c r="G44" s="91" t="n"/>
      <c r="H44" s="91" t="n"/>
      <c r="I44" s="91" t="n"/>
      <c r="J44" s="91" t="n"/>
      <c r="K44" s="91" t="n"/>
      <c r="L44" s="91" t="n"/>
    </row>
    <row r="45">
      <c r="B45" s="83" t="inlineStr">
        <is>
          <t>LIQ retraité</t>
        </is>
      </c>
      <c r="C45" s="78" t="inlineStr">
        <is>
          <t>LIQ</t>
        </is>
      </c>
      <c r="D45" s="79">
        <f>'13c_donnees'!C29</f>
        <v/>
      </c>
      <c r="E45" s="79">
        <f>'13c_donnees'!D29</f>
        <v/>
      </c>
      <c r="F45" s="79">
        <f>'13c_donnees'!E29</f>
        <v/>
      </c>
      <c r="G45" s="79">
        <f>'13c_donnees'!F29</f>
        <v/>
      </c>
      <c r="H45" s="79">
        <f>'13c_donnees'!G29</f>
        <v/>
      </c>
      <c r="I45" s="79">
        <f>'13c_donnees'!H29</f>
        <v/>
      </c>
      <c r="J45" s="79">
        <f>'13c_donnees'!I29</f>
        <v/>
      </c>
    </row>
    <row r="46">
      <c r="B46" s="83" t="inlineStr">
        <is>
          <t>Statut de LIQ retraité</t>
        </is>
      </c>
      <c r="D46" s="83">
        <f>IF(AND(D45&gt;='13b_parametres'!$C$8,D45&lt;='13b_parametres'!$D$8),"Conforme","Non conforme")</f>
        <v/>
      </c>
      <c r="E46" s="83">
        <f>IF(AND(E45&gt;='13b_parametres'!$C$8,E45&lt;='13b_parametres'!$D$8),"Conforme","Non conforme")</f>
        <v/>
      </c>
      <c r="F46" s="83">
        <f>IF(AND(F45&gt;='13b_parametres'!$C$8,F45&lt;='13b_parametres'!$D$8),"Conforme","Non conforme")</f>
        <v/>
      </c>
      <c r="G46" s="83">
        <f>IF(AND(G45&gt;='13b_parametres'!$C$8,G45&lt;='13b_parametres'!$D$8),"Conforme","Non conforme")</f>
        <v/>
      </c>
      <c r="H46" s="83">
        <f>IF(AND(H45&gt;='13b_parametres'!$C$8,H45&lt;='13b_parametres'!$D$8),"Conforme","Non conforme")</f>
        <v/>
      </c>
      <c r="I46" s="83">
        <f>IF(AND(I45&gt;='13b_parametres'!$C$8,I45&lt;='13b_parametres'!$D$8),"Conforme","Non conforme")</f>
        <v/>
      </c>
      <c r="J46" s="83">
        <f>IF(AND(J45&gt;='13b_parametres'!$C$8,J45&lt;='13b_parametres'!$D$8),"Conforme","Non conforme")</f>
        <v/>
      </c>
      <c r="K46" s="81">
        <f>COUNTIF(D46:J46,"Conforme")</f>
        <v/>
      </c>
    </row>
    <row r="47">
      <c r="B47" s="83" t="inlineStr">
        <is>
          <t>RL2 retraité</t>
        </is>
      </c>
      <c r="C47" s="78" t="inlineStr">
        <is>
          <t>RL2</t>
        </is>
      </c>
      <c r="D47" s="79">
        <f>'13c_donnees'!C30</f>
        <v/>
      </c>
      <c r="E47" s="79">
        <f>'13c_donnees'!D30</f>
        <v/>
      </c>
      <c r="F47" s="79">
        <f>'13c_donnees'!E30</f>
        <v/>
      </c>
      <c r="G47" s="79">
        <f>'13c_donnees'!F30</f>
        <v/>
      </c>
      <c r="H47" s="79">
        <f>'13c_donnees'!G30</f>
        <v/>
      </c>
      <c r="I47" s="79">
        <f>'13c_donnees'!H30</f>
        <v/>
      </c>
      <c r="J47" s="79">
        <f>'13c_donnees'!I30</f>
        <v/>
      </c>
    </row>
    <row r="48">
      <c r="B48" s="83" t="inlineStr">
        <is>
          <t>Statut de RL2 retraité</t>
        </is>
      </c>
      <c r="D48" s="83">
        <f>IF(AND(D47&gt;'13b_parametres'!$C$12,D47&lt;='13b_parametres'!$D$12),"Conforme","Non conforme")</f>
        <v/>
      </c>
      <c r="E48" s="83">
        <f>IF(AND(E47&gt;'13b_parametres'!$C$12,E47&lt;='13b_parametres'!$D$12),"Conforme","Non conforme")</f>
        <v/>
      </c>
      <c r="F48" s="83">
        <f>IF(AND(F47&gt;'13b_parametres'!$C$12,F47&lt;='13b_parametres'!$D$12),"Conforme","Non conforme")</f>
        <v/>
      </c>
      <c r="G48" s="83">
        <f>IF(AND(G47&gt;'13b_parametres'!$C$12,G47&lt;='13b_parametres'!$D$12),"Conforme","Non conforme")</f>
        <v/>
      </c>
      <c r="H48" s="83">
        <f>IF(AND(H47&gt;'13b_parametres'!$C$12,H47&lt;='13b_parametres'!$D$12),"Conforme","Non conforme")</f>
        <v/>
      </c>
      <c r="I48" s="83">
        <f>IF(AND(I47&gt;'13b_parametres'!$C$12,I47&lt;='13b_parametres'!$D$12),"Conforme","Non conforme")</f>
        <v/>
      </c>
      <c r="J48" s="83">
        <f>IF(AND(J47&gt;'13b_parametres'!$C$12,J47&lt;='13b_parametres'!$D$12),"Conforme","Non conforme")</f>
        <v/>
      </c>
      <c r="K48" s="81">
        <f>COUNTIF(D48:J48,"Conforme")</f>
        <v/>
      </c>
    </row>
    <row r="49">
      <c r="B49" s="83" t="inlineStr">
        <is>
          <t>RL3 retraité</t>
        </is>
      </c>
      <c r="C49" s="78" t="inlineStr">
        <is>
          <t>RL3</t>
        </is>
      </c>
      <c r="D49" s="79">
        <f>'13c_donnees'!C31</f>
        <v/>
      </c>
      <c r="E49" s="79">
        <f>'13c_donnees'!D31</f>
        <v/>
      </c>
      <c r="F49" s="79">
        <f>'13c_donnees'!E31</f>
        <v/>
      </c>
      <c r="G49" s="79">
        <f>'13c_donnees'!F31</f>
        <v/>
      </c>
      <c r="H49" s="79">
        <f>'13c_donnees'!G31</f>
        <v/>
      </c>
      <c r="I49" s="79">
        <f>'13c_donnees'!H31</f>
        <v/>
      </c>
      <c r="J49" s="79">
        <f>'13c_donnees'!I31</f>
        <v/>
      </c>
    </row>
    <row r="50">
      <c r="B50" s="83" t="inlineStr">
        <is>
          <t>Statut de RL3 retraité</t>
        </is>
      </c>
      <c r="D50" s="83">
        <f>IF(AND(D49&gt;='13b_parametres'!$C$13,D49&lt;='13b_parametres'!$D$13),"Conforme","Non conforme")</f>
        <v/>
      </c>
      <c r="E50" s="83">
        <f>IF(AND(E49&gt;='13b_parametres'!$C$13,E49&lt;='13b_parametres'!$D$13),"Conforme","Non conforme")</f>
        <v/>
      </c>
      <c r="F50" s="83">
        <f>IF(AND(F49&gt;='13b_parametres'!$C$13,F49&lt;='13b_parametres'!$D$13),"Conforme","Non conforme")</f>
        <v/>
      </c>
      <c r="G50" s="83">
        <f>IF(AND(G49&gt;='13b_parametres'!$C$13,G49&lt;='13b_parametres'!$D$13),"Conforme","Non conforme")</f>
        <v/>
      </c>
      <c r="H50" s="83">
        <f>IF(AND(H49&gt;='13b_parametres'!$C$13,H49&lt;='13b_parametres'!$D$13),"Conforme","Non conforme")</f>
        <v/>
      </c>
      <c r="I50" s="83">
        <f>IF(AND(I49&gt;='13b_parametres'!$C$13,I49&lt;='13b_parametres'!$D$13),"Conforme","Non conforme")</f>
        <v/>
      </c>
      <c r="J50" s="83">
        <f>IF(AND(J49&gt;='13b_parametres'!$C$13,J49&lt;='13b_parametres'!$D$13),"Conforme","Non conforme")</f>
        <v/>
      </c>
      <c r="K50" s="81">
        <f>COUNTIF(D50:J50,"Conforme")</f>
        <v/>
      </c>
    </row>
    <row r="51">
      <c r="B51" s="83" t="inlineStr">
        <is>
          <t>EQS retraité</t>
        </is>
      </c>
      <c r="C51" s="78" t="inlineStr">
        <is>
          <t>EQS</t>
        </is>
      </c>
      <c r="D51" s="79">
        <f>'13c_donnees'!C32</f>
        <v/>
      </c>
      <c r="E51" s="79">
        <f>'13c_donnees'!D32</f>
        <v/>
      </c>
      <c r="F51" s="79">
        <f>'13c_donnees'!E32</f>
        <v/>
      </c>
      <c r="G51" s="79">
        <f>'13c_donnees'!F32</f>
        <v/>
      </c>
      <c r="H51" s="79">
        <f>'13c_donnees'!G32</f>
        <v/>
      </c>
      <c r="I51" s="79">
        <f>'13c_donnees'!H32</f>
        <v/>
      </c>
      <c r="J51" s="79">
        <f>'13c_donnees'!I32</f>
        <v/>
      </c>
    </row>
    <row r="52">
      <c r="B52" s="83" t="inlineStr">
        <is>
          <t>Statut de EQS retraité</t>
        </is>
      </c>
      <c r="D52" s="83">
        <f>IF(AND(D51&gt;='13b_parametres'!$C$9,D51&lt;='13b_parametres'!$D$9),"Conforme","Non conforme")</f>
        <v/>
      </c>
      <c r="E52" s="83">
        <f>IF(AND(E51&gt;='13b_parametres'!$C$9,E51&lt;='13b_parametres'!$D$9),"Conforme","Non conforme")</f>
        <v/>
      </c>
      <c r="F52" s="83">
        <f>IF(AND(F51&gt;='13b_parametres'!$C$9,F51&lt;='13b_parametres'!$D$9),"Conforme","Non conforme")</f>
        <v/>
      </c>
      <c r="G52" s="83">
        <f>IF(AND(G51&gt;='13b_parametres'!$C$9,G51&lt;='13b_parametres'!$D$9),"Conforme","Non conforme")</f>
        <v/>
      </c>
      <c r="H52" s="83">
        <f>IF(AND(H51&gt;='13b_parametres'!$C$9,H51&lt;='13b_parametres'!$D$9),"Conforme","Non conforme")</f>
        <v/>
      </c>
      <c r="I52" s="83">
        <f>IF(AND(I51&gt;='13b_parametres'!$C$9,I51&lt;='13b_parametres'!$D$9),"Conforme","Non conforme")</f>
        <v/>
      </c>
      <c r="J52" s="83">
        <f>IF(AND(J51&gt;='13b_parametres'!$C$9,J51&lt;='13b_parametres'!$D$9),"Conforme","Non conforme")</f>
        <v/>
      </c>
      <c r="K52" s="81">
        <f>COUNTIF(D52:J52,"Conforme")</f>
        <v/>
      </c>
    </row>
    <row r="53"/>
    <row r="54" ht="30" customHeight="1">
      <c r="A54" s="88" t="inlineStr">
        <is>
          <t>L7</t>
        </is>
      </c>
      <c r="B54" s="89" t="inlineStr">
        <is>
          <t>Apport en fonds propres : Fonds propres à apporter (FCFA) ; nombre d'années d'excédent moyen nécessaires.</t>
        </is>
      </c>
      <c r="C54" s="90" t="inlineStr">
        <is>
          <t>Statuts, art. 79 et 81 (dons et legs) ; règlement d'exécution 004/2022, art. 21</t>
        </is>
      </c>
      <c r="D54" s="91" t="n"/>
      <c r="E54" s="91" t="n"/>
      <c r="F54" s="91" t="n"/>
      <c r="G54" s="91" t="n"/>
      <c r="H54" s="91" t="n"/>
      <c r="I54" s="91" t="n"/>
      <c r="J54" s="91" t="n"/>
      <c r="K54" s="91" t="n"/>
      <c r="L54" s="91" t="n"/>
    </row>
    <row r="55">
      <c r="A55" s="83" t="inlineStr">
        <is>
          <t>L7</t>
        </is>
      </c>
      <c r="B55" s="83" t="inlineStr">
        <is>
          <t>Montant d'équilibre pour FEP</t>
        </is>
      </c>
      <c r="C55" s="78" t="inlineStr">
        <is>
          <t>FEP</t>
        </is>
      </c>
      <c r="D55" s="82">
        <f>'13d_ecarts'!C17</f>
        <v/>
      </c>
      <c r="E55" s="82">
        <f>'13d_ecarts'!D17</f>
        <v/>
      </c>
      <c r="F55" s="82">
        <f>'13d_ecarts'!E17</f>
        <v/>
      </c>
      <c r="G55" s="82">
        <f>'13d_ecarts'!F17</f>
        <v/>
      </c>
      <c r="H55" s="82">
        <f>'13d_ecarts'!G17</f>
        <v/>
      </c>
      <c r="I55" s="82">
        <f>'13d_ecarts'!H17</f>
        <v/>
      </c>
      <c r="J55" s="82">
        <f>'13d_ecarts'!I17</f>
        <v/>
      </c>
      <c r="K55" s="81">
        <f>COUNTIF(D55:J55,"&lt;&gt;0")-COUNTBLANK(D55:J55)</f>
        <v/>
      </c>
      <c r="L55" s="82">
        <f>AVERAGE(D55:J55)</f>
        <v/>
      </c>
    </row>
    <row r="56">
      <c r="A56" s="83" t="inlineStr">
        <is>
          <t>L7</t>
        </is>
      </c>
      <c r="B56" s="83" t="inlineStr">
        <is>
          <t>Montant d'équilibre pour RL5</t>
        </is>
      </c>
      <c r="C56" s="78" t="inlineStr">
        <is>
          <t>RL5</t>
        </is>
      </c>
      <c r="D56" s="82">
        <f>'13d_ecarts'!C57</f>
        <v/>
      </c>
      <c r="E56" s="82">
        <f>'13d_ecarts'!D57</f>
        <v/>
      </c>
      <c r="F56" s="82">
        <f>'13d_ecarts'!E57</f>
        <v/>
      </c>
      <c r="G56" s="82">
        <f>'13d_ecarts'!F57</f>
        <v/>
      </c>
      <c r="H56" s="82">
        <f>'13d_ecarts'!G57</f>
        <v/>
      </c>
      <c r="I56" s="82">
        <f>'13d_ecarts'!H57</f>
        <v/>
      </c>
      <c r="J56" s="82">
        <f>'13d_ecarts'!I57</f>
        <v/>
      </c>
      <c r="K56" s="81">
        <f>COUNTIF(D56:J56,"&lt;&gt;0")-COUNTBLANK(D56:J56)</f>
        <v/>
      </c>
      <c r="L56" s="82">
        <f>AVERAGE(D56:J56)</f>
        <v/>
      </c>
    </row>
    <row r="57">
      <c r="B57" s="83" t="inlineStr">
        <is>
          <t>Excédent net moyen 2023 à 2025</t>
        </is>
      </c>
      <c r="D57" s="82">
        <f>AVERAGE('13c_donnees'!F11,'13c_donnees'!G11,'13c_donnees'!H11)</f>
        <v/>
      </c>
    </row>
    <row r="58">
      <c r="B58" s="83" t="inlineStr">
        <is>
          <t>Années d'excédent moyen nécessaires pour FEP</t>
        </is>
      </c>
      <c r="D58" s="79">
        <f>D55/$D$57</f>
        <v/>
      </c>
      <c r="E58" s="79">
        <f>E55/$D$57</f>
        <v/>
      </c>
      <c r="F58" s="79">
        <f>F55/$D$57</f>
        <v/>
      </c>
      <c r="G58" s="79">
        <f>G55/$D$57</f>
        <v/>
      </c>
      <c r="H58" s="79">
        <f>H55/$D$57</f>
        <v/>
      </c>
      <c r="I58" s="79">
        <f>I55/$D$57</f>
        <v/>
      </c>
      <c r="J58" s="79">
        <f>J55/$D$57</f>
        <v/>
      </c>
    </row>
  </sheetData>
  <mergeCells count="8">
    <mergeCell ref="C19:L19"/>
    <mergeCell ref="A2:L2"/>
    <mergeCell ref="C13:L13"/>
    <mergeCell ref="C5:L5"/>
    <mergeCell ref="C54:L54"/>
    <mergeCell ref="C33:L33"/>
    <mergeCell ref="C25:L25"/>
    <mergeCell ref="C44:L44"/>
  </mergeCells>
  <conditionalFormatting sqref="A1:L5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80.xml><?xml version="1.0" encoding="utf-8"?>
<worksheet xmlns="http://schemas.openxmlformats.org/spreadsheetml/2006/main">
  <sheetPr>
    <tabColor rgb="00EFAC62"/>
    <outlinePr summaryBelow="1" summaryRight="1"/>
    <pageSetUpPr fitToPage="1"/>
  </sheetPr>
  <dimension ref="A1:W98"/>
  <sheetViews>
    <sheetView showGridLines="0" workbookViewId="0">
      <pane ySplit="4" topLeftCell="A5" activePane="bottomLeft" state="frozen"/>
      <selection pane="bottomLeft" activeCell="A1" sqref="A1"/>
    </sheetView>
  </sheetViews>
  <sheetFormatPr baseColWidth="8" defaultRowHeight="15"/>
  <cols>
    <col width="4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6" customWidth="1" min="11" max="11"/>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c r="A1" s="5" t="inlineStr">
        <is>
          <t>Inflation médicale : sous-indices IHPC santé de l'ANStat pondérés par les prestations du FPPN</t>
        </is>
      </c>
    </row>
    <row r="2" ht="42" customHeight="1">
      <c r="A2" s="62" t="inlineStr">
        <is>
          <t>Source : ANStat, IHPC par poste de consommation (national), fichiers téléchargés le 19/10/2026, janvier 2017 à octobre 2024. Anomalie d'export : les mois 2, 8 et 12 sont codés 0 ; le mois est reconstitué par la position de la ligne dans l'année (12 lignes ordonnées par an). Année de base non indiquée dans les fichiers : seules les variations sont utilisées.</t>
        </is>
      </c>
    </row>
    <row r="3"/>
    <row r="4">
      <c r="A4" s="8" t="inlineStr">
        <is>
          <t>Poste IHPC</t>
        </is>
      </c>
      <c r="B4" s="8" t="inlineStr">
        <is>
          <t>Retenu</t>
        </is>
      </c>
      <c r="C4" s="8" t="inlineStr">
        <is>
          <t>2017</t>
        </is>
      </c>
      <c r="D4" s="8" t="inlineStr">
        <is>
          <t>2018</t>
        </is>
      </c>
      <c r="E4" s="8" t="inlineStr">
        <is>
          <t>2019</t>
        </is>
      </c>
      <c r="F4" s="8" t="inlineStr">
        <is>
          <t>2020</t>
        </is>
      </c>
      <c r="G4" s="8" t="inlineStr">
        <is>
          <t>2021</t>
        </is>
      </c>
      <c r="H4" s="8" t="inlineStr">
        <is>
          <t>2022</t>
        </is>
      </c>
      <c r="I4" s="8" t="inlineStr">
        <is>
          <t>2023</t>
        </is>
      </c>
      <c r="J4" s="8" t="inlineStr">
        <is>
          <t>2024</t>
        </is>
      </c>
      <c r="K4" s="8" t="inlineStr">
        <is>
          <t>Oct. 2024 / oct. 2023</t>
        </is>
      </c>
      <c r="N4" s="8" t="inlineStr">
        <is>
          <t>Année</t>
        </is>
      </c>
      <c r="O4" s="8" t="inlineStr">
        <is>
          <t>Mois</t>
        </is>
      </c>
      <c r="P4" s="8" t="inlineStr">
        <is>
          <t>Services hospitaliers</t>
        </is>
      </c>
      <c r="Q4" s="8" t="inlineStr">
        <is>
          <t>Services de laboratoires et de radiologie</t>
        </is>
      </c>
      <c r="R4" s="8" t="inlineStr">
        <is>
          <t>Médicaments modernes</t>
        </is>
      </c>
      <c r="S4" s="8" t="inlineStr">
        <is>
          <t>Services médicaux et dentaires</t>
        </is>
      </c>
      <c r="T4" s="8" t="inlineStr">
        <is>
          <t>Services des auxiliaires médicaux</t>
        </is>
      </c>
      <c r="U4" s="8" t="inlineStr">
        <is>
          <t>Appareils et matériel thérapeutiques</t>
        </is>
      </c>
      <c r="V4" s="8" t="inlineStr">
        <is>
          <t>Produits medicaux divers</t>
        </is>
      </c>
      <c r="W4" s="8" t="inlineStr">
        <is>
          <t>Médicaments traditionnels</t>
        </is>
      </c>
    </row>
    <row r="5">
      <c r="A5" s="9" t="inlineStr">
        <is>
          <t>Services hospitaliers</t>
        </is>
      </c>
      <c r="B5" s="28" t="inlineStr">
        <is>
          <t>Oui</t>
        </is>
      </c>
      <c r="C5" s="37">
        <f>AVERAGEIFS($P$5:$P$98,$N$5:$N$98,2017)</f>
        <v/>
      </c>
      <c r="D5" s="37">
        <f>AVERAGEIFS($P$5:$P$98,$N$5:$N$98,2018)</f>
        <v/>
      </c>
      <c r="E5" s="37">
        <f>AVERAGEIFS($P$5:$P$98,$N$5:$N$98,2019)</f>
        <v/>
      </c>
      <c r="F5" s="37">
        <f>AVERAGEIFS($P$5:$P$98,$N$5:$N$98,2020)</f>
        <v/>
      </c>
      <c r="G5" s="37">
        <f>AVERAGEIFS($P$5:$P$98,$N$5:$N$98,2021)</f>
        <v/>
      </c>
      <c r="H5" s="37">
        <f>AVERAGEIFS($P$5:$P$98,$N$5:$N$98,2022)</f>
        <v/>
      </c>
      <c r="I5" s="37">
        <f>AVERAGEIFS($P$5:$P$98,$N$5:$N$98,2023)</f>
        <v/>
      </c>
      <c r="J5" s="37">
        <f>AVERAGEIFS($P$5:$P$98,$N$5:$N$98,2024)</f>
        <v/>
      </c>
      <c r="K5" s="32">
        <f>SUMIFS($P$5:$P$98,$N$5:$N$98,2024,$O$5:$O$98,10)/SUMIFS($P$5:$P$98,$N$5:$N$98,2023,$O$5:$O$98,10)-1</f>
        <v/>
      </c>
      <c r="N5" s="42" t="n">
        <v>2017</v>
      </c>
      <c r="O5" s="43" t="n">
        <v>1</v>
      </c>
      <c r="P5" s="37" t="n">
        <v>98.10199385088393</v>
      </c>
      <c r="Q5" s="37" t="n">
        <v>98.45179529027747</v>
      </c>
      <c r="R5" s="37" t="n">
        <v>99.8535124261347</v>
      </c>
      <c r="S5" s="37" t="n">
        <v>98.11719107896324</v>
      </c>
      <c r="T5" s="37" t="n">
        <v>100.3106581112208</v>
      </c>
      <c r="U5" s="37" t="n">
        <v>100.521012567325</v>
      </c>
      <c r="V5" s="37" t="n">
        <v>104.6386257928118</v>
      </c>
      <c r="W5" s="37" t="n">
        <v>83.05505757715338</v>
      </c>
    </row>
    <row r="6">
      <c r="A6" s="9" t="inlineStr">
        <is>
          <t>Services de laboratoires et de radiologie</t>
        </is>
      </c>
      <c r="B6" s="30" t="inlineStr">
        <is>
          <t>Oui</t>
        </is>
      </c>
      <c r="C6" s="38">
        <f>AVERAGEIFS($Q$5:$Q$98,$N$5:$N$98,2017)</f>
        <v/>
      </c>
      <c r="D6" s="38">
        <f>AVERAGEIFS($Q$5:$Q$98,$N$5:$N$98,2018)</f>
        <v/>
      </c>
      <c r="E6" s="38">
        <f>AVERAGEIFS($Q$5:$Q$98,$N$5:$N$98,2019)</f>
        <v/>
      </c>
      <c r="F6" s="38">
        <f>AVERAGEIFS($Q$5:$Q$98,$N$5:$N$98,2020)</f>
        <v/>
      </c>
      <c r="G6" s="38">
        <f>AVERAGEIFS($Q$5:$Q$98,$N$5:$N$98,2021)</f>
        <v/>
      </c>
      <c r="H6" s="38">
        <f>AVERAGEIFS($Q$5:$Q$98,$N$5:$N$98,2022)</f>
        <v/>
      </c>
      <c r="I6" s="38">
        <f>AVERAGEIFS($Q$5:$Q$98,$N$5:$N$98,2023)</f>
        <v/>
      </c>
      <c r="J6" s="38">
        <f>AVERAGEIFS($Q$5:$Q$98,$N$5:$N$98,2024)</f>
        <v/>
      </c>
      <c r="K6" s="33">
        <f>SUMIFS($Q$5:$Q$98,$N$5:$N$98,2024,$O$5:$O$98,10)/SUMIFS($Q$5:$Q$98,$N$5:$N$98,2023,$O$5:$O$98,10)-1</f>
        <v/>
      </c>
      <c r="N6" s="42" t="n">
        <v>2017</v>
      </c>
      <c r="O6" s="45" t="n">
        <v>2</v>
      </c>
      <c r="P6" s="38" t="n">
        <v>98.3940276710223</v>
      </c>
      <c r="Q6" s="38" t="n">
        <v>98.64730006994638</v>
      </c>
      <c r="R6" s="38" t="n">
        <v>99.98377896986713</v>
      </c>
      <c r="S6" s="38" t="n">
        <v>100.3363351416516</v>
      </c>
      <c r="T6" s="38" t="n">
        <v>99.81084896347485</v>
      </c>
      <c r="U6" s="38" t="n">
        <v>100.8128222621185</v>
      </c>
      <c r="V6" s="38" t="n">
        <v>103.9123572938689</v>
      </c>
      <c r="W6" s="38" t="n">
        <v>107.2498341777982</v>
      </c>
    </row>
    <row r="7">
      <c r="A7" s="9" t="inlineStr">
        <is>
          <t>Médicaments modernes</t>
        </is>
      </c>
      <c r="B7" s="28" t="inlineStr">
        <is>
          <t>Oui</t>
        </is>
      </c>
      <c r="C7" s="37">
        <f>AVERAGEIFS($R$5:$R$98,$N$5:$N$98,2017)</f>
        <v/>
      </c>
      <c r="D7" s="37">
        <f>AVERAGEIFS($R$5:$R$98,$N$5:$N$98,2018)</f>
        <v/>
      </c>
      <c r="E7" s="37">
        <f>AVERAGEIFS($R$5:$R$98,$N$5:$N$98,2019)</f>
        <v/>
      </c>
      <c r="F7" s="37">
        <f>AVERAGEIFS($R$5:$R$98,$N$5:$N$98,2020)</f>
        <v/>
      </c>
      <c r="G7" s="37">
        <f>AVERAGEIFS($R$5:$R$98,$N$5:$N$98,2021)</f>
        <v/>
      </c>
      <c r="H7" s="37">
        <f>AVERAGEIFS($R$5:$R$98,$N$5:$N$98,2022)</f>
        <v/>
      </c>
      <c r="I7" s="37">
        <f>AVERAGEIFS($R$5:$R$98,$N$5:$N$98,2023)</f>
        <v/>
      </c>
      <c r="J7" s="37">
        <f>AVERAGEIFS($R$5:$R$98,$N$5:$N$98,2024)</f>
        <v/>
      </c>
      <c r="K7" s="32">
        <f>SUMIFS($R$5:$R$98,$N$5:$N$98,2024,$O$5:$O$98,10)/SUMIFS($R$5:$R$98,$N$5:$N$98,2023,$O$5:$O$98,10)-1</f>
        <v/>
      </c>
      <c r="N7" s="42" t="n">
        <v>2017</v>
      </c>
      <c r="O7" s="43" t="n">
        <v>3</v>
      </c>
      <c r="P7" s="37" t="n">
        <v>97.64167614655396</v>
      </c>
      <c r="Q7" s="37" t="n">
        <v>96.52767778036839</v>
      </c>
      <c r="R7" s="37" t="n">
        <v>100.7152005364402</v>
      </c>
      <c r="S7" s="37" t="n">
        <v>106.5878360458107</v>
      </c>
      <c r="T7" s="37" t="n">
        <v>99.29975978940443</v>
      </c>
      <c r="U7" s="37" t="n">
        <v>100.2114362657092</v>
      </c>
      <c r="V7" s="37" t="n">
        <v>105.4138689217759</v>
      </c>
      <c r="W7" s="37" t="n">
        <v>98.58864002763703</v>
      </c>
    </row>
    <row r="8">
      <c r="A8" s="9" t="inlineStr">
        <is>
          <t>Services médicaux et dentaires</t>
        </is>
      </c>
      <c r="B8" s="30" t="inlineStr">
        <is>
          <t>Oui</t>
        </is>
      </c>
      <c r="C8" s="38">
        <f>AVERAGEIFS($S$5:$S$98,$N$5:$N$98,2017)</f>
        <v/>
      </c>
      <c r="D8" s="38">
        <f>AVERAGEIFS($S$5:$S$98,$N$5:$N$98,2018)</f>
        <v/>
      </c>
      <c r="E8" s="38">
        <f>AVERAGEIFS($S$5:$S$98,$N$5:$N$98,2019)</f>
        <v/>
      </c>
      <c r="F8" s="38">
        <f>AVERAGEIFS($S$5:$S$98,$N$5:$N$98,2020)</f>
        <v/>
      </c>
      <c r="G8" s="38">
        <f>AVERAGEIFS($S$5:$S$98,$N$5:$N$98,2021)</f>
        <v/>
      </c>
      <c r="H8" s="38">
        <f>AVERAGEIFS($S$5:$S$98,$N$5:$N$98,2022)</f>
        <v/>
      </c>
      <c r="I8" s="38">
        <f>AVERAGEIFS($S$5:$S$98,$N$5:$N$98,2023)</f>
        <v/>
      </c>
      <c r="J8" s="38">
        <f>AVERAGEIFS($S$5:$S$98,$N$5:$N$98,2024)</f>
        <v/>
      </c>
      <c r="K8" s="33">
        <f>SUMIFS($S$5:$S$98,$N$5:$N$98,2024,$O$5:$O$98,10)/SUMIFS($S$5:$S$98,$N$5:$N$98,2023,$O$5:$O$98,10)-1</f>
        <v/>
      </c>
      <c r="N8" s="42" t="n">
        <v>2017</v>
      </c>
      <c r="O8" s="45" t="n">
        <v>4</v>
      </c>
      <c r="P8" s="38" t="n">
        <v>98.53957519856523</v>
      </c>
      <c r="Q8" s="38" t="n">
        <v>98.40932385171369</v>
      </c>
      <c r="R8" s="38" t="n">
        <v>101.065995976698</v>
      </c>
      <c r="S8" s="38" t="n">
        <v>98.69070524412298</v>
      </c>
      <c r="T8" s="38" t="n">
        <v>100.3773905890096</v>
      </c>
      <c r="U8" s="38" t="n">
        <v>99.55138958707363</v>
      </c>
      <c r="V8" s="38" t="n">
        <v>104.1834143763214</v>
      </c>
      <c r="W8" s="38" t="n">
        <v>92.63079226163057</v>
      </c>
    </row>
    <row r="9">
      <c r="A9" s="9" t="inlineStr">
        <is>
          <t>Services des auxiliaires médicaux</t>
        </is>
      </c>
      <c r="B9" s="28" t="inlineStr">
        <is>
          <t>Non (rééducation non isolée)</t>
        </is>
      </c>
      <c r="C9" s="37">
        <f>AVERAGEIFS($T$5:$T$98,$N$5:$N$98,2017)</f>
        <v/>
      </c>
      <c r="D9" s="37">
        <f>AVERAGEIFS($T$5:$T$98,$N$5:$N$98,2018)</f>
        <v/>
      </c>
      <c r="E9" s="37">
        <f>AVERAGEIFS($T$5:$T$98,$N$5:$N$98,2019)</f>
        <v/>
      </c>
      <c r="F9" s="37">
        <f>AVERAGEIFS($T$5:$T$98,$N$5:$N$98,2020)</f>
        <v/>
      </c>
      <c r="G9" s="37">
        <f>AVERAGEIFS($T$5:$T$98,$N$5:$N$98,2021)</f>
        <v/>
      </c>
      <c r="H9" s="37">
        <f>AVERAGEIFS($T$5:$T$98,$N$5:$N$98,2022)</f>
        <v/>
      </c>
      <c r="I9" s="37">
        <f>AVERAGEIFS($T$5:$T$98,$N$5:$N$98,2023)</f>
        <v/>
      </c>
      <c r="J9" s="37">
        <f>AVERAGEIFS($T$5:$T$98,$N$5:$N$98,2024)</f>
        <v/>
      </c>
      <c r="K9" s="32">
        <f>SUMIFS($T$5:$T$98,$N$5:$N$98,2024,$O$5:$O$98,10)/SUMIFS($T$5:$T$98,$N$5:$N$98,2023,$O$5:$O$98,10)-1</f>
        <v/>
      </c>
      <c r="N9" s="42" t="n">
        <v>2017</v>
      </c>
      <c r="O9" s="43" t="n">
        <v>5</v>
      </c>
      <c r="P9" s="37" t="n">
        <v>98.3164299256982</v>
      </c>
      <c r="Q9" s="37" t="n">
        <v>99.48367218465843</v>
      </c>
      <c r="R9" s="37" t="n">
        <v>100.345933112611</v>
      </c>
      <c r="S9" s="37" t="n">
        <v>99.21349005424956</v>
      </c>
      <c r="T9" s="37" t="n">
        <v>101.4178644290886</v>
      </c>
      <c r="U9" s="37" t="n">
        <v>99.54535727109517</v>
      </c>
      <c r="V9" s="37" t="n">
        <v>105.5001691331924</v>
      </c>
      <c r="W9" s="37" t="n">
        <v>104.0912666973745</v>
      </c>
    </row>
    <row r="10">
      <c r="A10" s="9" t="inlineStr">
        <is>
          <t>Appareils et matériel thérapeutiques</t>
        </is>
      </c>
      <c r="B10" s="30" t="inlineStr">
        <is>
          <t>Non (optique exclue, RI art. 45)</t>
        </is>
      </c>
      <c r="C10" s="38">
        <f>AVERAGEIFS($U$5:$U$98,$N$5:$N$98,2017)</f>
        <v/>
      </c>
      <c r="D10" s="38">
        <f>AVERAGEIFS($U$5:$U$98,$N$5:$N$98,2018)</f>
        <v/>
      </c>
      <c r="E10" s="38">
        <f>AVERAGEIFS($U$5:$U$98,$N$5:$N$98,2019)</f>
        <v/>
      </c>
      <c r="F10" s="38">
        <f>AVERAGEIFS($U$5:$U$98,$N$5:$N$98,2020)</f>
        <v/>
      </c>
      <c r="G10" s="38">
        <f>AVERAGEIFS($U$5:$U$98,$N$5:$N$98,2021)</f>
        <v/>
      </c>
      <c r="H10" s="38">
        <f>AVERAGEIFS($U$5:$U$98,$N$5:$N$98,2022)</f>
        <v/>
      </c>
      <c r="I10" s="38">
        <f>AVERAGEIFS($U$5:$U$98,$N$5:$N$98,2023)</f>
        <v/>
      </c>
      <c r="J10" s="38">
        <f>AVERAGEIFS($U$5:$U$98,$N$5:$N$98,2024)</f>
        <v/>
      </c>
      <c r="K10" s="33">
        <f>SUMIFS($U$5:$U$98,$N$5:$N$98,2024,$O$5:$O$98,10)/SUMIFS($U$5:$U$98,$N$5:$N$98,2023,$O$5:$O$98,10)-1</f>
        <v/>
      </c>
      <c r="N10" s="42" t="n">
        <v>2017</v>
      </c>
      <c r="O10" s="45" t="n">
        <v>6</v>
      </c>
      <c r="P10" s="38" t="n">
        <v>98.67458826543688</v>
      </c>
      <c r="Q10" s="38" t="n">
        <v>99.56303800419678</v>
      </c>
      <c r="R10" s="38" t="n">
        <v>100.400315158627</v>
      </c>
      <c r="S10" s="38" t="n">
        <v>99.57500904159133</v>
      </c>
      <c r="T10" s="38" t="n">
        <v>101.3511319512998</v>
      </c>
      <c r="U10" s="38" t="n">
        <v>99.51898743267506</v>
      </c>
      <c r="V10" s="38" t="n">
        <v>105.2962579281184</v>
      </c>
      <c r="W10" s="38" t="n">
        <v>106.2</v>
      </c>
    </row>
    <row r="11">
      <c r="A11" s="9" t="inlineStr">
        <is>
          <t>Produits medicaux divers</t>
        </is>
      </c>
      <c r="B11" s="28" t="inlineStr">
        <is>
          <t>Non (non isolé)</t>
        </is>
      </c>
      <c r="C11" s="37">
        <f>AVERAGEIFS($V$5:$V$98,$N$5:$N$98,2017)</f>
        <v/>
      </c>
      <c r="D11" s="37">
        <f>AVERAGEIFS($V$5:$V$98,$N$5:$N$98,2018)</f>
        <v/>
      </c>
      <c r="E11" s="37">
        <f>AVERAGEIFS($V$5:$V$98,$N$5:$N$98,2019)</f>
        <v/>
      </c>
      <c r="F11" s="37">
        <f>AVERAGEIFS($V$5:$V$98,$N$5:$N$98,2020)</f>
        <v/>
      </c>
      <c r="G11" s="37">
        <f>AVERAGEIFS($V$5:$V$98,$N$5:$N$98,2021)</f>
        <v/>
      </c>
      <c r="H11" s="37">
        <f>AVERAGEIFS($V$5:$V$98,$N$5:$N$98,2022)</f>
        <v/>
      </c>
      <c r="I11" s="37">
        <f>AVERAGEIFS($V$5:$V$98,$N$5:$N$98,2023)</f>
        <v/>
      </c>
      <c r="J11" s="37">
        <f>AVERAGEIFS($V$5:$V$98,$N$5:$N$98,2024)</f>
        <v/>
      </c>
      <c r="K11" s="32">
        <f>SUMIFS($V$5:$V$98,$N$5:$N$98,2024,$O$5:$O$98,10)/SUMIFS($V$5:$V$98,$N$5:$N$98,2023,$O$5:$O$98,10)-1</f>
        <v/>
      </c>
      <c r="N11" s="42" t="n">
        <v>2017</v>
      </c>
      <c r="O11" s="43" t="n">
        <v>7</v>
      </c>
      <c r="P11" s="37" t="n">
        <v>98.49201998462723</v>
      </c>
      <c r="Q11" s="37" t="n">
        <v>97.35546980648171</v>
      </c>
      <c r="R11" s="37" t="n">
        <v>100.676269645027</v>
      </c>
      <c r="S11" s="37" t="n">
        <v>105.8265099457505</v>
      </c>
      <c r="T11" s="37" t="n">
        <v>100.8400427772294</v>
      </c>
      <c r="U11" s="37" t="n">
        <v>98.58378456014363</v>
      </c>
      <c r="V11" s="37" t="n">
        <v>107.3996934460888</v>
      </c>
      <c r="W11" s="37" t="n">
        <v>106.5</v>
      </c>
    </row>
    <row r="12">
      <c r="A12" s="9" t="inlineStr">
        <is>
          <t>Médicaments traditionnels</t>
        </is>
      </c>
      <c r="B12" s="30" t="inlineStr">
        <is>
          <t>Non (hors couverture)</t>
        </is>
      </c>
      <c r="C12" s="38">
        <f>AVERAGEIFS($W$5:$W$98,$N$5:$N$98,2017)</f>
        <v/>
      </c>
      <c r="D12" s="38">
        <f>AVERAGEIFS($W$5:$W$98,$N$5:$N$98,2018)</f>
        <v/>
      </c>
      <c r="E12" s="38">
        <f>AVERAGEIFS($W$5:$W$98,$N$5:$N$98,2019)</f>
        <v/>
      </c>
      <c r="F12" s="38">
        <f>AVERAGEIFS($W$5:$W$98,$N$5:$N$98,2020)</f>
        <v/>
      </c>
      <c r="G12" s="38">
        <f>AVERAGEIFS($W$5:$W$98,$N$5:$N$98,2021)</f>
        <v/>
      </c>
      <c r="H12" s="38">
        <f>AVERAGEIFS($W$5:$W$98,$N$5:$N$98,2022)</f>
        <v/>
      </c>
      <c r="I12" s="38">
        <f>AVERAGEIFS($W$5:$W$98,$N$5:$N$98,2023)</f>
        <v/>
      </c>
      <c r="J12" s="38">
        <f>AVERAGEIFS($W$5:$W$98,$N$5:$N$98,2024)</f>
        <v/>
      </c>
      <c r="K12" s="33">
        <f>SUMIFS($W$5:$W$98,$N$5:$N$98,2024,$O$5:$O$98,10)/SUMIFS($W$5:$W$98,$N$5:$N$98,2023,$O$5:$O$98,10)-1</f>
        <v/>
      </c>
      <c r="N12" s="42" t="n">
        <v>2017</v>
      </c>
      <c r="O12" s="45" t="n">
        <v>8</v>
      </c>
      <c r="P12" s="38" t="n">
        <v>98.70230335639255</v>
      </c>
      <c r="Q12" s="38" t="n">
        <v>97.03800652832828</v>
      </c>
      <c r="R12" s="38" t="n">
        <v>100.9411080843217</v>
      </c>
      <c r="S12" s="38" t="n">
        <v>105.4649909584087</v>
      </c>
      <c r="T12" s="38" t="n">
        <v>100.2815432708128</v>
      </c>
      <c r="U12" s="38" t="n">
        <v>98.72463913824056</v>
      </c>
      <c r="V12" s="38" t="n">
        <v>107.7449788583509</v>
      </c>
      <c r="W12" s="38" t="n">
        <v>105.1</v>
      </c>
    </row>
    <row r="13">
      <c r="N13" s="42" t="n">
        <v>2017</v>
      </c>
      <c r="O13" s="43" t="n">
        <v>9</v>
      </c>
      <c r="P13" s="37" t="n">
        <v>99.07259492697928</v>
      </c>
      <c r="Q13" s="37" t="n">
        <v>97.24564467241782</v>
      </c>
      <c r="R13" s="37" t="n">
        <v>101.1816365617535</v>
      </c>
      <c r="S13" s="37" t="n">
        <v>105.890452079566</v>
      </c>
      <c r="T13" s="37" t="n">
        <v>100.4738696939783</v>
      </c>
      <c r="U13" s="37" t="n">
        <v>98.34318132854577</v>
      </c>
      <c r="V13" s="37" t="n">
        <v>107.4060253699788</v>
      </c>
      <c r="W13" s="37" t="n">
        <v>98.70955780746199</v>
      </c>
    </row>
    <row r="14">
      <c r="A14" s="87" t="inlineStr">
        <is>
          <t>Variation des moyennes annuelles</t>
        </is>
      </c>
      <c r="N14" s="42" t="n">
        <v>2017</v>
      </c>
      <c r="O14" s="45" t="n">
        <v>10</v>
      </c>
      <c r="P14" s="38" t="n">
        <v>99.07259492697928</v>
      </c>
      <c r="Q14" s="38" t="n">
        <v>97.24564467241782</v>
      </c>
      <c r="R14" s="38" t="n">
        <v>101.1816365617535</v>
      </c>
      <c r="S14" s="38" t="n">
        <v>105.890452079566</v>
      </c>
      <c r="T14" s="38" t="n">
        <v>100.4738696939783</v>
      </c>
      <c r="U14" s="38" t="n">
        <v>98.38428725314182</v>
      </c>
      <c r="V14" s="38" t="n">
        <v>107.4060253699788</v>
      </c>
      <c r="W14" s="38" t="n">
        <v>106.811923076923</v>
      </c>
    </row>
    <row r="15">
      <c r="A15" s="8" t="inlineStr">
        <is>
          <t>Poste IHPC</t>
        </is>
      </c>
      <c r="B15" s="8" t="n"/>
      <c r="C15" s="8" t="inlineStr">
        <is>
          <t>2018</t>
        </is>
      </c>
      <c r="D15" s="8" t="inlineStr">
        <is>
          <t>2019</t>
        </is>
      </c>
      <c r="E15" s="8" t="inlineStr">
        <is>
          <t>2020</t>
        </is>
      </c>
      <c r="F15" s="8" t="inlineStr">
        <is>
          <t>2021</t>
        </is>
      </c>
      <c r="G15" s="8" t="inlineStr">
        <is>
          <t>2022</t>
        </is>
      </c>
      <c r="H15" s="8" t="inlineStr">
        <is>
          <t>2023</t>
        </is>
      </c>
      <c r="I15" s="8" t="inlineStr">
        <is>
          <t>2024</t>
        </is>
      </c>
      <c r="N15" s="42" t="n">
        <v>2017</v>
      </c>
      <c r="O15" s="43" t="n">
        <v>11</v>
      </c>
      <c r="P15" s="37" t="n">
        <v>99.74827312323856</v>
      </c>
      <c r="Q15" s="37" t="n">
        <v>99.69903240848683</v>
      </c>
      <c r="R15" s="37" t="n">
        <v>100.4133385021583</v>
      </c>
      <c r="S15" s="37" t="n">
        <v>99.57500904159133</v>
      </c>
      <c r="T15" s="37" t="n">
        <v>101.76487331359</v>
      </c>
      <c r="U15" s="37" t="n">
        <v>99.17057809694793</v>
      </c>
      <c r="V15" s="37" t="n">
        <v>105.7647463002114</v>
      </c>
      <c r="W15" s="37" t="n">
        <v>106.2295969599263</v>
      </c>
    </row>
    <row r="16">
      <c r="A16" s="27" t="inlineStr">
        <is>
          <t>Services hospitaliers</t>
        </is>
      </c>
      <c r="B16" s="28" t="n"/>
      <c r="C16" s="32">
        <f>D5/C5-1</f>
        <v/>
      </c>
      <c r="D16" s="32">
        <f>E5/D5-1</f>
        <v/>
      </c>
      <c r="E16" s="32">
        <f>F5/E5-1</f>
        <v/>
      </c>
      <c r="F16" s="32">
        <f>G5/F5-1</f>
        <v/>
      </c>
      <c r="G16" s="32">
        <f>H5/G5-1</f>
        <v/>
      </c>
      <c r="H16" s="32">
        <f>I5/H5-1</f>
        <v/>
      </c>
      <c r="I16" s="32">
        <f>J5/I5-1</f>
        <v/>
      </c>
      <c r="N16" s="42" t="n">
        <v>2017</v>
      </c>
      <c r="O16" s="45" t="n">
        <v>12</v>
      </c>
      <c r="P16" s="38" t="n">
        <v>99.81920932615938</v>
      </c>
      <c r="Q16" s="38" t="n">
        <v>99.69903240848683</v>
      </c>
      <c r="R16" s="38" t="n">
        <v>99.63011357445204</v>
      </c>
      <c r="S16" s="38" t="n">
        <v>99.57500904159133</v>
      </c>
      <c r="T16" s="38" t="n">
        <v>101.0439058900955</v>
      </c>
      <c r="U16" s="38" t="n">
        <v>99.17057809694793</v>
      </c>
      <c r="V16" s="38" t="n">
        <v>105.7647463002114</v>
      </c>
      <c r="W16" s="38" t="n">
        <v>103.324758175955</v>
      </c>
    </row>
    <row r="17">
      <c r="A17" s="27" t="inlineStr">
        <is>
          <t>Services de laboratoires et de radiologie</t>
        </is>
      </c>
      <c r="B17" s="30" t="n"/>
      <c r="C17" s="33">
        <f>D6/C6-1</f>
        <v/>
      </c>
      <c r="D17" s="33">
        <f>E6/D6-1</f>
        <v/>
      </c>
      <c r="E17" s="33">
        <f>F6/E6-1</f>
        <v/>
      </c>
      <c r="F17" s="33">
        <f>G6/F6-1</f>
        <v/>
      </c>
      <c r="G17" s="33">
        <f>H6/G6-1</f>
        <v/>
      </c>
      <c r="H17" s="33">
        <f>I6/H6-1</f>
        <v/>
      </c>
      <c r="I17" s="33">
        <f>J6/I6-1</f>
        <v/>
      </c>
      <c r="N17" s="42" t="n">
        <v>2018</v>
      </c>
      <c r="O17" s="43" t="n">
        <v>1</v>
      </c>
      <c r="P17" s="37" t="n">
        <v>99.86823622854216</v>
      </c>
      <c r="Q17" s="37" t="n">
        <v>98.93352063418047</v>
      </c>
      <c r="R17" s="37" t="n">
        <v>100.5959930430409</v>
      </c>
      <c r="S17" s="37" t="n">
        <v>99.6998191681736</v>
      </c>
      <c r="T17" s="37" t="n">
        <v>100.7519151036525</v>
      </c>
      <c r="U17" s="37" t="n">
        <v>99.32179533213643</v>
      </c>
      <c r="V17" s="37" t="n">
        <v>104.1386363636363</v>
      </c>
      <c r="W17" s="37" t="n">
        <v>116.8908291110088</v>
      </c>
    </row>
    <row r="18">
      <c r="A18" s="27" t="inlineStr">
        <is>
          <t>Médicaments modernes</t>
        </is>
      </c>
      <c r="B18" s="28" t="n"/>
      <c r="C18" s="32">
        <f>D7/C7-1</f>
        <v/>
      </c>
      <c r="D18" s="32">
        <f>E7/D7-1</f>
        <v/>
      </c>
      <c r="E18" s="32">
        <f>F7/E7-1</f>
        <v/>
      </c>
      <c r="F18" s="32">
        <f>G7/F7-1</f>
        <v/>
      </c>
      <c r="G18" s="32">
        <f>H7/G7-1</f>
        <v/>
      </c>
      <c r="H18" s="32">
        <f>I7/H7-1</f>
        <v/>
      </c>
      <c r="I18" s="32">
        <f>J7/I7-1</f>
        <v/>
      </c>
      <c r="N18" s="42" t="n">
        <v>2018</v>
      </c>
      <c r="O18" s="45" t="n">
        <v>2</v>
      </c>
      <c r="P18" s="38" t="n">
        <v>99.86823622854216</v>
      </c>
      <c r="Q18" s="38" t="n">
        <v>98.98845651667057</v>
      </c>
      <c r="R18" s="38" t="n">
        <v>100.5086777586857</v>
      </c>
      <c r="S18" s="38" t="n">
        <v>99.67681735985533</v>
      </c>
      <c r="T18" s="38" t="n">
        <v>100.655409674235</v>
      </c>
      <c r="U18" s="38" t="n">
        <v>99.52732495511668</v>
      </c>
      <c r="V18" s="38" t="n">
        <v>104.6639006342495</v>
      </c>
      <c r="W18" s="38" t="n">
        <v>97.70177567941039</v>
      </c>
    </row>
    <row r="19">
      <c r="A19" s="27" t="inlineStr">
        <is>
          <t>Services médicaux et dentaires</t>
        </is>
      </c>
      <c r="B19" s="30" t="n"/>
      <c r="C19" s="33">
        <f>D8/C8-1</f>
        <v/>
      </c>
      <c r="D19" s="33">
        <f>E8/D8-1</f>
        <v/>
      </c>
      <c r="E19" s="33">
        <f>F8/E8-1</f>
        <v/>
      </c>
      <c r="F19" s="33">
        <f>G8/F8-1</f>
        <v/>
      </c>
      <c r="G19" s="33">
        <f>H8/G8-1</f>
        <v/>
      </c>
      <c r="H19" s="33">
        <f>I8/H8-1</f>
        <v/>
      </c>
      <c r="I19" s="33">
        <f>J8/I8-1</f>
        <v/>
      </c>
      <c r="N19" s="42" t="n">
        <v>2018</v>
      </c>
      <c r="O19" s="43" t="n">
        <v>3</v>
      </c>
      <c r="P19" s="37" t="n">
        <v>99.86823622854216</v>
      </c>
      <c r="Q19" s="37" t="n">
        <v>98.98845651667057</v>
      </c>
      <c r="R19" s="37" t="n">
        <v>100.5234265118813</v>
      </c>
      <c r="S19" s="37" t="n">
        <v>99.6998191681736</v>
      </c>
      <c r="T19" s="37" t="n">
        <v>100.655409674235</v>
      </c>
      <c r="U19" s="37" t="n">
        <v>99.52732495511668</v>
      </c>
      <c r="V19" s="37" t="n">
        <v>104.7625052854123</v>
      </c>
      <c r="W19" s="37" t="n">
        <v>89.13834638415476</v>
      </c>
    </row>
    <row r="20">
      <c r="A20" s="27" t="inlineStr">
        <is>
          <t>Services des auxiliaires médicaux</t>
        </is>
      </c>
      <c r="B20" s="28" t="n"/>
      <c r="C20" s="32">
        <f>D9/C9-1</f>
        <v/>
      </c>
      <c r="D20" s="32">
        <f>E9/D9-1</f>
        <v/>
      </c>
      <c r="E20" s="32">
        <f>F9/E9-1</f>
        <v/>
      </c>
      <c r="F20" s="32">
        <f>G9/F9-1</f>
        <v/>
      </c>
      <c r="G20" s="32">
        <f>H9/G9-1</f>
        <v/>
      </c>
      <c r="H20" s="32">
        <f>I9/H9-1</f>
        <v/>
      </c>
      <c r="I20" s="32">
        <f>J9/I9-1</f>
        <v/>
      </c>
      <c r="N20" s="42" t="n">
        <v>2018</v>
      </c>
      <c r="O20" s="45" t="n">
        <v>4</v>
      </c>
      <c r="P20" s="38" t="n">
        <v>99.79041301562901</v>
      </c>
      <c r="Q20" s="38" t="n">
        <v>99.06782233620891</v>
      </c>
      <c r="R20" s="38" t="n">
        <v>100.1091836050459</v>
      </c>
      <c r="S20" s="38" t="n">
        <v>99.53712477396022</v>
      </c>
      <c r="T20" s="38" t="n">
        <v>100.5958637709773</v>
      </c>
      <c r="U20" s="38" t="n">
        <v>99.53417594254935</v>
      </c>
      <c r="V20" s="38" t="n">
        <v>104.9106025369979</v>
      </c>
      <c r="W20" s="38" t="n">
        <v>107.7940073698756</v>
      </c>
    </row>
    <row r="21">
      <c r="A21" s="27" t="inlineStr">
        <is>
          <t>Appareils et matériel thérapeutiques</t>
        </is>
      </c>
      <c r="B21" s="30" t="n"/>
      <c r="C21" s="33">
        <f>D10/C10-1</f>
        <v/>
      </c>
      <c r="D21" s="33">
        <f>E10/D10-1</f>
        <v/>
      </c>
      <c r="E21" s="33">
        <f>F10/E10-1</f>
        <v/>
      </c>
      <c r="F21" s="33">
        <f>G10/F10-1</f>
        <v/>
      </c>
      <c r="G21" s="33">
        <f>H10/G10-1</f>
        <v/>
      </c>
      <c r="H21" s="33">
        <f>I10/H10-1</f>
        <v/>
      </c>
      <c r="I21" s="33">
        <f>J10/I10-1</f>
        <v/>
      </c>
      <c r="N21" s="42" t="n">
        <v>2018</v>
      </c>
      <c r="O21" s="43" t="n">
        <v>5</v>
      </c>
      <c r="P21" s="37" t="n">
        <v>99.13159979502947</v>
      </c>
      <c r="Q21" s="37" t="n">
        <v>97.18665190020984</v>
      </c>
      <c r="R21" s="37" t="n">
        <v>101.8269665982147</v>
      </c>
      <c r="S21" s="37" t="n">
        <v>107.324321880651</v>
      </c>
      <c r="T21" s="37" t="n">
        <v>100.1443205001646</v>
      </c>
      <c r="U21" s="37" t="n">
        <v>98.9838779174147</v>
      </c>
      <c r="V21" s="37" t="n">
        <v>106.2631501057082</v>
      </c>
      <c r="W21" s="37" t="n">
        <v>109.0494196222939</v>
      </c>
    </row>
    <row r="22">
      <c r="A22" s="27" t="inlineStr">
        <is>
          <t>Produits medicaux divers</t>
        </is>
      </c>
      <c r="B22" s="28" t="n"/>
      <c r="C22" s="32">
        <f>D11/C11-1</f>
        <v/>
      </c>
      <c r="D22" s="32">
        <f>E11/D11-1</f>
        <v/>
      </c>
      <c r="E22" s="32">
        <f>F11/E11-1</f>
        <v/>
      </c>
      <c r="F22" s="32">
        <f>G11/F11-1</f>
        <v/>
      </c>
      <c r="G22" s="32">
        <f>H11/G11-1</f>
        <v/>
      </c>
      <c r="H22" s="32">
        <f>I11/H11-1</f>
        <v/>
      </c>
      <c r="I22" s="32">
        <f>J11/I11-1</f>
        <v/>
      </c>
      <c r="N22" s="42" t="n">
        <v>2018</v>
      </c>
      <c r="O22" s="45" t="n">
        <v>6</v>
      </c>
      <c r="P22" s="38" t="n">
        <v>99.38570176787088</v>
      </c>
      <c r="Q22" s="38" t="n">
        <v>97.60354161809279</v>
      </c>
      <c r="R22" s="38" t="n">
        <v>101.2318130002934</v>
      </c>
      <c r="S22" s="38" t="n">
        <v>107.4592224231465</v>
      </c>
      <c r="T22" s="38" t="n">
        <v>99.97781836130309</v>
      </c>
      <c r="U22" s="38" t="n">
        <v>98.86941472172349</v>
      </c>
      <c r="V22" s="38" t="n">
        <v>106.292156448203</v>
      </c>
      <c r="W22" s="38" t="n">
        <v>108.939820359281</v>
      </c>
    </row>
    <row r="23">
      <c r="A23" s="27" t="inlineStr">
        <is>
          <t>Médicaments traditionnels</t>
        </is>
      </c>
      <c r="B23" s="30" t="n"/>
      <c r="C23" s="33">
        <f>D12/C12-1</f>
        <v/>
      </c>
      <c r="D23" s="33">
        <f>E12/D12-1</f>
        <v/>
      </c>
      <c r="E23" s="33">
        <f>F12/E12-1</f>
        <v/>
      </c>
      <c r="F23" s="33">
        <f>G12/F12-1</f>
        <v/>
      </c>
      <c r="G23" s="33">
        <f>H12/G12-1</f>
        <v/>
      </c>
      <c r="H23" s="33">
        <f>I12/H12-1</f>
        <v/>
      </c>
      <c r="I23" s="33">
        <f>J12/I12-1</f>
        <v/>
      </c>
      <c r="N23" s="42" t="n">
        <v>2018</v>
      </c>
      <c r="O23" s="43" t="n">
        <v>7</v>
      </c>
      <c r="P23" s="37" t="n">
        <v>99.38570176787088</v>
      </c>
      <c r="Q23" s="37" t="n">
        <v>97.60354161809279</v>
      </c>
      <c r="R23" s="37" t="n">
        <v>101.2129177318637</v>
      </c>
      <c r="S23" s="37" t="n">
        <v>107.4592224231465</v>
      </c>
      <c r="T23" s="37" t="n">
        <v>99.97781836130309</v>
      </c>
      <c r="U23" s="37" t="n">
        <v>98.86941472172349</v>
      </c>
      <c r="V23" s="37" t="n">
        <v>106.292156448203</v>
      </c>
      <c r="W23" s="37" t="n">
        <v>107.9491064025794</v>
      </c>
    </row>
    <row r="24">
      <c r="N24" s="42" t="n">
        <v>2018</v>
      </c>
      <c r="O24" s="45" t="n">
        <v>8</v>
      </c>
      <c r="P24" s="38" t="n">
        <v>100.1392031770433</v>
      </c>
      <c r="Q24" s="38" t="n">
        <v>99.72316390767079</v>
      </c>
      <c r="R24" s="38" t="n">
        <v>100.015046728972</v>
      </c>
      <c r="S24" s="38" t="n">
        <v>101.35452079566</v>
      </c>
      <c r="T24" s="38" t="n">
        <v>100.503385982231</v>
      </c>
      <c r="U24" s="38" t="n">
        <v>99.6815583482944</v>
      </c>
      <c r="V24" s="38" t="n">
        <v>104.8278118393235</v>
      </c>
      <c r="W24" s="38" t="n">
        <v>98.76626209120221</v>
      </c>
    </row>
    <row r="25">
      <c r="A25" s="87" t="inlineStr">
        <is>
          <t>Pondération par les prestations maladie du FPPN (exercice 2025)</t>
        </is>
      </c>
      <c r="N25" s="42" t="n">
        <v>2018</v>
      </c>
      <c r="O25" s="43" t="n">
        <v>9</v>
      </c>
      <c r="P25" s="37" t="n">
        <v>100.1392031770433</v>
      </c>
      <c r="Q25" s="37" t="n">
        <v>99.72316390767079</v>
      </c>
      <c r="R25" s="37" t="n">
        <v>101.4639415783077</v>
      </c>
      <c r="S25" s="37" t="n">
        <v>101.9094936708861</v>
      </c>
      <c r="T25" s="37" t="n">
        <v>101.1085850608753</v>
      </c>
      <c r="U25" s="37" t="n">
        <v>99.94682226211846</v>
      </c>
      <c r="V25" s="37" t="n">
        <v>104.3599048625793</v>
      </c>
      <c r="W25" s="37" t="n">
        <v>102.4643689543989</v>
      </c>
    </row>
    <row r="26">
      <c r="A26" s="8" t="inlineStr">
        <is>
          <t>Nature des prestations (FPPN)</t>
        </is>
      </c>
      <c r="B26" s="8" t="inlineStr">
        <is>
          <t>Poste IHPC associé</t>
        </is>
      </c>
      <c r="C26" s="8" t="inlineStr">
        <is>
          <t>Montant 2025</t>
        </is>
      </c>
      <c r="D26" s="8" t="inlineStr">
        <is>
          <t>Poids retenu</t>
        </is>
      </c>
      <c r="N26" s="42" t="n">
        <v>2018</v>
      </c>
      <c r="O26" s="45" t="n">
        <v>10</v>
      </c>
      <c r="P26" s="38" t="n">
        <v>100.1392031770433</v>
      </c>
      <c r="Q26" s="38" t="n">
        <v>99.72316390767079</v>
      </c>
      <c r="R26" s="38" t="n">
        <v>101.4676287666066</v>
      </c>
      <c r="S26" s="38" t="n">
        <v>101.9094936708861</v>
      </c>
      <c r="T26" s="38" t="n">
        <v>101.1085850608753</v>
      </c>
      <c r="U26" s="38" t="n">
        <v>99.94682226211846</v>
      </c>
      <c r="V26" s="38" t="n">
        <v>104.3599048625793</v>
      </c>
      <c r="W26" s="38" t="n">
        <v>104.0055412252418</v>
      </c>
    </row>
    <row r="27">
      <c r="A27" s="27" t="inlineStr">
        <is>
          <t>Hospitalisations</t>
        </is>
      </c>
      <c r="B27" s="28" t="inlineStr">
        <is>
          <t>Services hospitaliers</t>
        </is>
      </c>
      <c r="C27" s="29" t="n">
        <v>23247618</v>
      </c>
      <c r="D27" s="32">
        <f>C27/(C27+C28+C29+C30+C31)</f>
        <v/>
      </c>
      <c r="N27" s="42" t="n">
        <v>2018</v>
      </c>
      <c r="O27" s="43" t="n">
        <v>11</v>
      </c>
      <c r="P27" s="37" t="n">
        <v>100.2625790417627</v>
      </c>
      <c r="Q27" s="37" t="n">
        <v>99.7374749358825</v>
      </c>
      <c r="R27" s="37" t="n">
        <v>102.4443761787016</v>
      </c>
      <c r="S27" s="37" t="n">
        <v>102.0396383363472</v>
      </c>
      <c r="T27" s="37" t="n">
        <v>101.2026949654492</v>
      </c>
      <c r="U27" s="37" t="n">
        <v>99.91775224416514</v>
      </c>
      <c r="V27" s="37" t="n">
        <v>104.6943868921776</v>
      </c>
      <c r="W27" s="37" t="n">
        <v>99.45889221556887</v>
      </c>
    </row>
    <row r="28">
      <c r="A28" s="27" t="inlineStr">
        <is>
          <t>Analyses médicales</t>
        </is>
      </c>
      <c r="B28" s="30" t="inlineStr">
        <is>
          <t>Services de laboratoires et de radiologie</t>
        </is>
      </c>
      <c r="C28" s="31" t="n">
        <v>234266144</v>
      </c>
      <c r="D28" s="33">
        <f>C28/(C27+C28+C29+C30+C31)</f>
        <v/>
      </c>
      <c r="N28" s="42" t="n">
        <v>2018</v>
      </c>
      <c r="O28" s="45" t="n">
        <v>12</v>
      </c>
      <c r="P28" s="38" t="n">
        <v>100.1392031770433</v>
      </c>
      <c r="Q28" s="38" t="n">
        <v>99.7374749358825</v>
      </c>
      <c r="R28" s="38" t="n">
        <v>100.9278865093668</v>
      </c>
      <c r="S28" s="38" t="n">
        <v>101.4882459312839</v>
      </c>
      <c r="T28" s="38" t="n">
        <v>100.5709345179336</v>
      </c>
      <c r="U28" s="38" t="n">
        <v>100.0635475763016</v>
      </c>
      <c r="V28" s="38" t="n">
        <v>104.8311310782241</v>
      </c>
      <c r="W28" s="38" t="n">
        <v>84.8882703823123</v>
      </c>
    </row>
    <row r="29">
      <c r="A29" s="27" t="inlineStr">
        <is>
          <t>Radio et imagerie</t>
        </is>
      </c>
      <c r="B29" s="28" t="inlineStr">
        <is>
          <t>Services de laboratoires et de radiologie</t>
        </is>
      </c>
      <c r="C29" s="29" t="n">
        <v>249812169</v>
      </c>
      <c r="D29" s="32">
        <f>C29/(C27+C28+C29+C30+C31)</f>
        <v/>
      </c>
      <c r="N29" s="42" t="n">
        <v>2019</v>
      </c>
      <c r="O29" s="43" t="n">
        <v>1</v>
      </c>
      <c r="P29" s="37" t="n">
        <v>101.1673968741993</v>
      </c>
      <c r="Q29" s="37" t="n">
        <v>103.4784448589415</v>
      </c>
      <c r="R29" s="37" t="n">
        <v>101.9905527848791</v>
      </c>
      <c r="S29" s="37" t="n">
        <v>102.0542676311031</v>
      </c>
      <c r="T29" s="37" t="n">
        <v>102.2011813096414</v>
      </c>
      <c r="U29" s="37" t="n">
        <v>99.99697666068221</v>
      </c>
      <c r="V29" s="37" t="n">
        <v>105.2878752642706</v>
      </c>
      <c r="W29" s="37" t="n">
        <v>123.7304352832796</v>
      </c>
    </row>
    <row r="30">
      <c r="A30" s="27" t="inlineStr">
        <is>
          <t>Pharmacie</t>
        </is>
      </c>
      <c r="B30" s="30" t="inlineStr">
        <is>
          <t>Médicaments modernes</t>
        </is>
      </c>
      <c r="C30" s="31" t="n">
        <v>38076031</v>
      </c>
      <c r="D30" s="33">
        <f>C30/(C27+C28+C29+C30+C31)</f>
        <v/>
      </c>
      <c r="N30" s="42" t="n">
        <v>2019</v>
      </c>
      <c r="O30" s="45" t="n">
        <v>2</v>
      </c>
      <c r="P30" s="38" t="n">
        <v>100.279868306431</v>
      </c>
      <c r="Q30" s="38" t="n">
        <v>100.9528444858941</v>
      </c>
      <c r="R30" s="38" t="n">
        <v>101.3830463936968</v>
      </c>
      <c r="S30" s="38" t="n">
        <v>103.194894514768</v>
      </c>
      <c r="T30" s="38" t="n">
        <v>101.1077426785127</v>
      </c>
      <c r="U30" s="38" t="n">
        <v>99.57908078994615</v>
      </c>
      <c r="V30" s="38" t="n">
        <v>104.2464270613108</v>
      </c>
      <c r="W30" s="38" t="n">
        <v>98.61008751727313</v>
      </c>
    </row>
    <row r="31">
      <c r="A31" s="27" t="inlineStr">
        <is>
          <t>Consultations</t>
        </is>
      </c>
      <c r="B31" s="28" t="inlineStr">
        <is>
          <t>Services médicaux et dentaires</t>
        </is>
      </c>
      <c r="C31" s="29" t="n">
        <v>173759919</v>
      </c>
      <c r="D31" s="32">
        <f>C31/(C27+C28+C29+C30+C31)</f>
        <v/>
      </c>
      <c r="N31" s="42" t="n">
        <v>2019</v>
      </c>
      <c r="O31" s="43" t="n">
        <v>3</v>
      </c>
      <c r="P31" s="37" t="n">
        <v>100.229715603382</v>
      </c>
      <c r="Q31" s="37" t="n">
        <v>100.6634716717184</v>
      </c>
      <c r="R31" s="37" t="n">
        <v>101.0130367545367</v>
      </c>
      <c r="S31" s="37" t="n">
        <v>103.6861543098252</v>
      </c>
      <c r="T31" s="37" t="n">
        <v>99.82633432050018</v>
      </c>
      <c r="U31" s="37" t="n">
        <v>100.3284955116697</v>
      </c>
      <c r="V31" s="37" t="n">
        <v>104.2455813953488</v>
      </c>
      <c r="W31" s="37" t="n">
        <v>97.70724550898203</v>
      </c>
    </row>
    <row r="32">
      <c r="A32" s="27" t="inlineStr">
        <is>
          <t>Autres prestations maladie</t>
        </is>
      </c>
      <c r="B32" s="30" t="inlineStr">
        <is>
          <t>Non associé (nature non détaillée)</t>
        </is>
      </c>
      <c r="C32" s="31" t="n">
        <v>995311355</v>
      </c>
      <c r="D32" s="33" t="n">
        <v>0</v>
      </c>
      <c r="N32" s="42" t="n">
        <v>2019</v>
      </c>
      <c r="O32" s="45" t="n">
        <v>4</v>
      </c>
      <c r="P32" s="38" t="n">
        <v>100.048567255957</v>
      </c>
      <c r="Q32" s="38" t="n">
        <v>100.715176031709</v>
      </c>
      <c r="R32" s="38" t="n">
        <v>101.8960739281673</v>
      </c>
      <c r="S32" s="38" t="n">
        <v>101.619294755877</v>
      </c>
      <c r="T32" s="38" t="n">
        <v>100.5003060217177</v>
      </c>
      <c r="U32" s="38" t="n">
        <v>99.96299461400358</v>
      </c>
      <c r="V32" s="38" t="n">
        <v>104.2572938689218</v>
      </c>
      <c r="W32" s="38" t="n">
        <v>102.6370796867803</v>
      </c>
    </row>
    <row r="33">
      <c r="A33" s="27" t="inlineStr">
        <is>
          <t>Autres (transport, rééducation, bons)</t>
        </is>
      </c>
      <c r="B33" s="28" t="inlineStr">
        <is>
          <t>Non associé (nature non détaillée)</t>
        </is>
      </c>
      <c r="C33" s="29" t="n">
        <v>57162125</v>
      </c>
      <c r="D33" s="32" t="n">
        <v>0</v>
      </c>
      <c r="N33" s="42" t="n">
        <v>2019</v>
      </c>
      <c r="O33" s="43" t="n">
        <v>5</v>
      </c>
      <c r="P33" s="37" t="n">
        <v>100.9245767761947</v>
      </c>
      <c r="Q33" s="37" t="n">
        <v>101.3963414734694</v>
      </c>
      <c r="R33" s="37" t="n">
        <v>102.4263443498345</v>
      </c>
      <c r="S33" s="37" t="n">
        <v>102.4518305014662</v>
      </c>
      <c r="T33" s="37" t="n">
        <v>101.1800182363573</v>
      </c>
      <c r="U33" s="37" t="n">
        <v>100.701018603804</v>
      </c>
      <c r="V33" s="37" t="n">
        <v>104.9342348050781</v>
      </c>
      <c r="W33" s="37" t="n">
        <v>96.88557258281652</v>
      </c>
    </row>
    <row r="34">
      <c r="N34" s="42" t="n">
        <v>2019</v>
      </c>
      <c r="O34" s="45" t="n">
        <v>6</v>
      </c>
      <c r="P34" s="38" t="n">
        <v>99.39426236228545</v>
      </c>
      <c r="Q34" s="38" t="n">
        <v>100.715176031709</v>
      </c>
      <c r="R34" s="38" t="n">
        <v>101.7783487699593</v>
      </c>
      <c r="S34" s="38" t="n">
        <v>101.6710488245931</v>
      </c>
      <c r="T34" s="38" t="n">
        <v>100.5003060217177</v>
      </c>
      <c r="U34" s="38" t="n">
        <v>99.96299461400358</v>
      </c>
      <c r="V34" s="38" t="n">
        <v>104.2572938689218</v>
      </c>
      <c r="W34" s="38" t="n">
        <v>111.1435398433901</v>
      </c>
    </row>
    <row r="35">
      <c r="A35" s="87" t="inlineStr">
        <is>
          <t>Inflation médicale pondérée du FPPN</t>
        </is>
      </c>
      <c r="N35" s="42" t="n">
        <v>2019</v>
      </c>
      <c r="O35" s="43" t="n">
        <v>7</v>
      </c>
      <c r="P35" s="37" t="n">
        <v>99.48896438636949</v>
      </c>
      <c r="Q35" s="37" t="n">
        <v>100.5652319888086</v>
      </c>
      <c r="R35" s="37" t="n">
        <v>101.9704760906919</v>
      </c>
      <c r="S35" s="37" t="n">
        <v>101.8797769740808</v>
      </c>
      <c r="T35" s="37" t="n">
        <v>100.8542974662718</v>
      </c>
      <c r="U35" s="37" t="n">
        <v>100.0245242369838</v>
      </c>
      <c r="V35" s="37" t="n">
        <v>104.0256342494715</v>
      </c>
      <c r="W35" s="37" t="n">
        <v>109.0591570704744</v>
      </c>
    </row>
    <row r="36">
      <c r="A36" s="8" t="inlineStr">
        <is>
          <t>Exercice</t>
        </is>
      </c>
      <c r="B36" s="8" t="inlineStr">
        <is>
          <t>Inflation pondérée</t>
        </is>
      </c>
      <c r="C36" s="8" t="inlineStr">
        <is>
          <t>Source</t>
        </is>
      </c>
      <c r="N36" s="42" t="n">
        <v>2019</v>
      </c>
      <c r="O36" s="45" t="n">
        <v>8</v>
      </c>
      <c r="P36" s="38" t="n">
        <v>98.61619999999999</v>
      </c>
      <c r="Q36" s="38" t="n">
        <v>101.0962</v>
      </c>
      <c r="R36" s="38" t="n">
        <v>102.1023</v>
      </c>
      <c r="S36" s="38" t="n">
        <v>101.5714</v>
      </c>
      <c r="T36" s="38" t="n">
        <v>99.58629999999999</v>
      </c>
      <c r="U36" s="38" t="n">
        <v>100.6085</v>
      </c>
      <c r="V36" s="38" t="n">
        <v>104.2127</v>
      </c>
      <c r="W36" s="38" t="n">
        <v>102.8071</v>
      </c>
    </row>
    <row r="37">
      <c r="A37" s="42" t="n">
        <v>2018</v>
      </c>
      <c r="B37" s="32">
        <f>D27*C16+D28*C17+D29*C17+D30*C18+D31*C19</f>
        <v/>
      </c>
      <c r="C37" s="28" t="inlineStr">
        <is>
          <t>ANStat, variation des moyennes annuelles</t>
        </is>
      </c>
      <c r="N37" s="42" t="n">
        <v>2019</v>
      </c>
      <c r="O37" s="43" t="n">
        <v>9</v>
      </c>
      <c r="P37" s="37" t="n">
        <v>99.69209999999998</v>
      </c>
      <c r="Q37" s="37" t="n">
        <v>101.0962</v>
      </c>
      <c r="R37" s="37" t="n">
        <v>102.0606</v>
      </c>
      <c r="S37" s="37" t="n">
        <v>101.5767</v>
      </c>
      <c r="T37" s="37" t="n">
        <v>100.3548</v>
      </c>
      <c r="U37" s="37" t="n">
        <v>99.58030000000001</v>
      </c>
      <c r="V37" s="37" t="n">
        <v>104.5413</v>
      </c>
      <c r="W37" s="37" t="n">
        <v>93.60040000000002</v>
      </c>
    </row>
    <row r="38">
      <c r="A38" s="42" t="n">
        <v>2019</v>
      </c>
      <c r="B38" s="33">
        <f>D27*D16+D28*D17+D29*D17+D30*D18+D31*D19</f>
        <v/>
      </c>
      <c r="C38" s="30" t="inlineStr">
        <is>
          <t>ANStat, variation des moyennes annuelles</t>
        </is>
      </c>
      <c r="N38" s="42" t="n">
        <v>2019</v>
      </c>
      <c r="O38" s="45" t="n">
        <v>10</v>
      </c>
      <c r="P38" s="38" t="n">
        <v>99.69209999999998</v>
      </c>
      <c r="Q38" s="38" t="n">
        <v>101.0962</v>
      </c>
      <c r="R38" s="38" t="n">
        <v>102.0511</v>
      </c>
      <c r="S38" s="38" t="n">
        <v>101.0661</v>
      </c>
      <c r="T38" s="38" t="n">
        <v>101.1498</v>
      </c>
      <c r="U38" s="38" t="n">
        <v>100.1871</v>
      </c>
      <c r="V38" s="38" t="n">
        <v>104.6261</v>
      </c>
      <c r="W38" s="38" t="n">
        <v>97.7471</v>
      </c>
    </row>
    <row r="39">
      <c r="A39" s="42" t="n">
        <v>2020</v>
      </c>
      <c r="B39" s="32">
        <f>D27*E16+D28*E17+D29*E17+D30*E18+D31*E19</f>
        <v/>
      </c>
      <c r="C39" s="28" t="inlineStr">
        <is>
          <t>ANStat, variation des moyennes annuelles</t>
        </is>
      </c>
      <c r="N39" s="42" t="n">
        <v>2019</v>
      </c>
      <c r="O39" s="43" t="n">
        <v>11</v>
      </c>
      <c r="P39" s="37" t="n">
        <v>101.2366471944658</v>
      </c>
      <c r="Q39" s="37" t="n">
        <v>100.6282536721847</v>
      </c>
      <c r="R39" s="37" t="n">
        <v>102.0683982230418</v>
      </c>
      <c r="S39" s="37" t="n">
        <v>100.8902833031947</v>
      </c>
      <c r="T39" s="37" t="n">
        <v>101.6972885817703</v>
      </c>
      <c r="U39" s="37" t="n">
        <v>99.73261759425495</v>
      </c>
      <c r="V39" s="37" t="n">
        <v>104.7559936575053</v>
      </c>
      <c r="W39" s="37" t="n">
        <v>89.59466374942423</v>
      </c>
    </row>
    <row r="40">
      <c r="A40" s="42" t="n">
        <v>2021</v>
      </c>
      <c r="B40" s="33">
        <f>D27*F16+D28*F17+D29*F17+D30*F18+D31*F19</f>
        <v/>
      </c>
      <c r="C40" s="30" t="inlineStr">
        <is>
          <t>ANStat, variation des moyennes annuelles</t>
        </is>
      </c>
      <c r="N40" s="42" t="n">
        <v>2019</v>
      </c>
      <c r="O40" s="45" t="n">
        <v>12</v>
      </c>
      <c r="P40" s="38" t="n">
        <v>101.2366471944658</v>
      </c>
      <c r="Q40" s="38" t="n">
        <v>100.6282536721847</v>
      </c>
      <c r="R40" s="38" t="n">
        <v>101.9500117346297</v>
      </c>
      <c r="S40" s="38" t="n">
        <v>100.7757625075347</v>
      </c>
      <c r="T40" s="38" t="n">
        <v>101.6364791049688</v>
      </c>
      <c r="U40" s="38" t="n">
        <v>99.76168761220826</v>
      </c>
      <c r="V40" s="38" t="n">
        <v>104.6853276955603</v>
      </c>
      <c r="W40" s="38" t="n">
        <v>87.03052970981115</v>
      </c>
    </row>
    <row r="41">
      <c r="A41" s="42" t="n">
        <v>2022</v>
      </c>
      <c r="B41" s="32">
        <f>D27*G16+D28*G17+D29*G17+D30*G18+D31*G19</f>
        <v/>
      </c>
      <c r="C41" s="28" t="inlineStr">
        <is>
          <t>ANStat, variation des moyennes annuelles</t>
        </is>
      </c>
      <c r="N41" s="42" t="n">
        <v>2020</v>
      </c>
      <c r="O41" s="43" t="n">
        <v>1</v>
      </c>
      <c r="P41" s="37" t="n">
        <v>101.2366471944658</v>
      </c>
      <c r="Q41" s="37" t="n">
        <v>100.9483562602005</v>
      </c>
      <c r="R41" s="37" t="n">
        <v>101.8627408742299</v>
      </c>
      <c r="S41" s="37" t="n">
        <v>100.7563954189271</v>
      </c>
      <c r="T41" s="37" t="n">
        <v>101.6364791049688</v>
      </c>
      <c r="U41" s="37" t="n">
        <v>99.76937163375223</v>
      </c>
      <c r="V41" s="37" t="n">
        <v>104.501088794926</v>
      </c>
      <c r="W41" s="37" t="n">
        <v>114.6153132197144</v>
      </c>
    </row>
    <row r="42">
      <c r="A42" s="42" t="n">
        <v>2023</v>
      </c>
      <c r="B42" s="33">
        <f>D27*H16+D28*H17+D29*H17+D30*H18+D31*H19</f>
        <v/>
      </c>
      <c r="C42" s="30" t="inlineStr">
        <is>
          <t>ANStat, variation des moyennes annuelles</t>
        </is>
      </c>
      <c r="N42" s="42" t="n">
        <v>2020</v>
      </c>
      <c r="O42" s="45" t="n">
        <v>2</v>
      </c>
      <c r="P42" s="38" t="n">
        <v>101.2366471944658</v>
      </c>
      <c r="Q42" s="38" t="n">
        <v>100.9357519235253</v>
      </c>
      <c r="R42" s="38" t="n">
        <v>101.8746414651523</v>
      </c>
      <c r="S42" s="38" t="n">
        <v>100.7506449668475</v>
      </c>
      <c r="T42" s="38" t="n">
        <v>101.6364791049688</v>
      </c>
      <c r="U42" s="38" t="n">
        <v>100.5989299820467</v>
      </c>
      <c r="V42" s="38" t="n">
        <v>104.5134143763214</v>
      </c>
      <c r="W42" s="38" t="n">
        <v>104.1164371257485</v>
      </c>
    </row>
    <row r="43">
      <c r="A43" s="42" t="n">
        <v>2024</v>
      </c>
      <c r="B43" s="32">
        <f>D27*K5+D28*K6+D29*K6+D30*K7+D31*K8</f>
        <v/>
      </c>
      <c r="C43" s="28" t="inlineStr">
        <is>
          <t>ANStat, glissement octobre 2024 sur octobre 2023</t>
        </is>
      </c>
      <c r="N43" s="42" t="n">
        <v>2020</v>
      </c>
      <c r="O43" s="43" t="n">
        <v>3</v>
      </c>
      <c r="P43" s="37" t="n">
        <v>101.2366471944658</v>
      </c>
      <c r="Q43" s="37" t="n">
        <v>101.2885567731406</v>
      </c>
      <c r="R43" s="37" t="n">
        <v>101.9979636226478</v>
      </c>
      <c r="S43" s="37" t="n">
        <v>100.7395840867993</v>
      </c>
      <c r="T43" s="37" t="n">
        <v>101.6972885817703</v>
      </c>
      <c r="U43" s="37" t="n">
        <v>100.628</v>
      </c>
      <c r="V43" s="37" t="n">
        <v>104.4398308668076</v>
      </c>
      <c r="W43" s="37" t="n">
        <v>91.95385536619069</v>
      </c>
    </row>
    <row r="44">
      <c r="A44" s="42" t="n">
        <v>2025</v>
      </c>
      <c r="B44" s="33">
        <f>AVERAGE(-0.013,-0.024,-0.019)</f>
        <v/>
      </c>
      <c r="C44" s="30" t="inlineStr">
        <is>
          <t>BCEAO, RPM mars 2026, tableau 12 : santé UEMOA, moyenne T2 à T4 2025 (repli)</t>
        </is>
      </c>
      <c r="N44" s="42" t="n">
        <v>2020</v>
      </c>
      <c r="O44" s="45" t="n">
        <v>4</v>
      </c>
      <c r="P44" s="38" t="n">
        <v>101.4174419677172</v>
      </c>
      <c r="Q44" s="38" t="n">
        <v>101.2885567731406</v>
      </c>
      <c r="R44" s="38" t="n">
        <v>102.0382372909769</v>
      </c>
      <c r="S44" s="38" t="n">
        <v>100.7395840867993</v>
      </c>
      <c r="T44" s="38" t="n">
        <v>101.9081375452452</v>
      </c>
      <c r="U44" s="38" t="n">
        <v>100.628</v>
      </c>
      <c r="V44" s="38" t="n">
        <v>105.3768498942918</v>
      </c>
      <c r="W44" s="38" t="n">
        <v>80.59765545831414</v>
      </c>
    </row>
    <row r="45">
      <c r="N45" s="42" t="n">
        <v>2020</v>
      </c>
      <c r="O45" s="43" t="n">
        <v>5</v>
      </c>
      <c r="P45" s="37" t="n">
        <v>101.4174419677172</v>
      </c>
      <c r="Q45" s="37" t="n">
        <v>100.3125716950338</v>
      </c>
      <c r="R45" s="37" t="n">
        <v>102.287275051339</v>
      </c>
      <c r="S45" s="37" t="n">
        <v>100.1217540687161</v>
      </c>
      <c r="T45" s="37" t="n">
        <v>101.9081375452452</v>
      </c>
      <c r="U45" s="37" t="n">
        <v>100.7694721723519</v>
      </c>
      <c r="V45" s="37" t="n">
        <v>105.396955602537</v>
      </c>
      <c r="W45" s="37" t="n">
        <v>90.52525564256102</v>
      </c>
    </row>
    <row r="46">
      <c r="A46" s="78" t="inlineStr">
        <is>
          <t>Moyenne 2021 à 2024 (ANStat)</t>
        </is>
      </c>
      <c r="B46" s="92">
        <f>AVERAGE(B40:B43)</f>
        <v/>
      </c>
      <c r="N46" s="42" t="n">
        <v>2020</v>
      </c>
      <c r="O46" s="45" t="n">
        <v>6</v>
      </c>
      <c r="P46" s="38" t="n">
        <v>101.4174419677172</v>
      </c>
      <c r="Q46" s="38" t="n">
        <v>100.3125716950338</v>
      </c>
      <c r="R46" s="38" t="n">
        <v>105.3899044465865</v>
      </c>
      <c r="S46" s="38" t="n">
        <v>99.98211573236891</v>
      </c>
      <c r="T46" s="38" t="n">
        <v>101.8473280684436</v>
      </c>
      <c r="U46" s="38" t="n">
        <v>101.0529048473968</v>
      </c>
      <c r="V46" s="38" t="n">
        <v>105.2305602536998</v>
      </c>
      <c r="W46" s="38" t="n">
        <v>88.50184477199447</v>
      </c>
    </row>
    <row r="47">
      <c r="A47" s="78" t="inlineStr">
        <is>
          <t>Maximum 2018 à 2024 (ANStat)</t>
        </is>
      </c>
      <c r="B47" s="92">
        <f>MAX(B37:B43)</f>
        <v/>
      </c>
      <c r="N47" s="42" t="n">
        <v>2020</v>
      </c>
      <c r="O47" s="43" t="n">
        <v>7</v>
      </c>
      <c r="P47" s="37" t="n">
        <v>101.4174419677172</v>
      </c>
      <c r="Q47" s="37" t="n">
        <v>100.3125716950338</v>
      </c>
      <c r="R47" s="37" t="n">
        <v>103.8776778005951</v>
      </c>
      <c r="S47" s="37" t="n">
        <v>100.1086377335745</v>
      </c>
      <c r="T47" s="37" t="n">
        <v>101.9081375452452</v>
      </c>
      <c r="U47" s="37" t="n">
        <v>100.7104129263914</v>
      </c>
      <c r="V47" s="37" t="n">
        <v>105.9672410147991</v>
      </c>
      <c r="W47" s="37" t="n">
        <v>82.86280976508522</v>
      </c>
    </row>
    <row r="48">
      <c r="N48" s="42" t="n">
        <v>2020</v>
      </c>
      <c r="O48" s="45" t="n">
        <v>8</v>
      </c>
      <c r="P48" s="38" t="n">
        <v>101.4174419677172</v>
      </c>
      <c r="Q48" s="38" t="n">
        <v>100.6291769643274</v>
      </c>
      <c r="R48" s="38" t="n">
        <v>103.7364506936004</v>
      </c>
      <c r="S48" s="38" t="n">
        <v>99.49746232670284</v>
      </c>
      <c r="T48" s="38" t="n">
        <v>101.8473280684436</v>
      </c>
      <c r="U48" s="38" t="n">
        <v>101.8591238779174</v>
      </c>
      <c r="V48" s="38" t="n">
        <v>105.23411205074</v>
      </c>
      <c r="W48" s="38" t="n">
        <v>93.65805389221556</v>
      </c>
    </row>
    <row r="49">
      <c r="A49" s="87" t="inlineStr">
        <is>
          <t>Sinistralité si les prestations augmentaient du taux i, à cotisations inchangées</t>
        </is>
      </c>
      <c r="N49" s="42" t="n">
        <v>2020</v>
      </c>
      <c r="O49" s="43" t="n">
        <v>9</v>
      </c>
      <c r="P49" s="37" t="n">
        <v>101.4174419677172</v>
      </c>
      <c r="Q49" s="37" t="n">
        <v>100.6291769643274</v>
      </c>
      <c r="R49" s="37" t="n">
        <v>103.6677494656552</v>
      </c>
      <c r="S49" s="37" t="n">
        <v>99.63710066305003</v>
      </c>
      <c r="T49" s="37" t="n">
        <v>101.9081375452452</v>
      </c>
      <c r="U49" s="37" t="n">
        <v>104.0568833034111</v>
      </c>
      <c r="V49" s="37" t="n">
        <v>104.4407399577167</v>
      </c>
      <c r="W49" s="37" t="n">
        <v>98.95725472132658</v>
      </c>
    </row>
    <row r="50">
      <c r="A50" s="8" t="inlineStr">
        <is>
          <t>Hausse des prestations i</t>
        </is>
      </c>
      <c r="B50" s="8" t="inlineStr">
        <is>
          <t>SIN 2025</t>
        </is>
      </c>
      <c r="C50" s="8" t="inlineStr">
        <is>
          <t>Statut 2025</t>
        </is>
      </c>
      <c r="D50" s="8" t="inlineStr">
        <is>
          <t>SIN 2026 (8 mois)</t>
        </is>
      </c>
      <c r="E50" s="8" t="inlineStr">
        <is>
          <t>Statut 2026</t>
        </is>
      </c>
      <c r="N50" s="42" t="n">
        <v>2020</v>
      </c>
      <c r="O50" s="45" t="n">
        <v>10</v>
      </c>
      <c r="P50" s="38" t="n">
        <v>101.0472431462977</v>
      </c>
      <c r="Q50" s="38" t="n">
        <v>100.9802424807648</v>
      </c>
      <c r="R50" s="38" t="n">
        <v>102.5777062989816</v>
      </c>
      <c r="S50" s="38" t="n">
        <v>98.92822182037374</v>
      </c>
      <c r="T50" s="38" t="n">
        <v>101.6364791049688</v>
      </c>
      <c r="U50" s="38" t="n">
        <v>105.0993105924596</v>
      </c>
      <c r="V50" s="38" t="n">
        <v>104.5730761099366</v>
      </c>
      <c r="W50" s="38" t="n">
        <v>96.39453247351449</v>
      </c>
    </row>
    <row r="51">
      <c r="A51" s="40" t="n">
        <v>-0.02</v>
      </c>
      <c r="B51" s="32">
        <f>'13c_donnees'!H6*(1+A51)/'13c_donnees'!H5</f>
        <v/>
      </c>
      <c r="C51" s="28">
        <f>IF(AND(B51&gt;='13b_parametres'!$C$5,B51&lt;='13b_parametres'!$D$5),"Conforme","Non conforme")</f>
        <v/>
      </c>
      <c r="D51" s="32">
        <f>'13c_donnees'!I6*(1+A51)/'13c_donnees'!I5</f>
        <v/>
      </c>
      <c r="E51" s="28">
        <f>IF(AND(D51&gt;='13b_parametres'!$C$5,D51&lt;='13b_parametres'!$D$5),"Conforme","Non conforme")</f>
        <v/>
      </c>
      <c r="N51" s="42" t="n">
        <v>2020</v>
      </c>
      <c r="O51" s="43" t="n">
        <v>11</v>
      </c>
      <c r="P51" s="37" t="n">
        <v>102.1800312580067</v>
      </c>
      <c r="Q51" s="37" t="n">
        <v>101.0600373047331</v>
      </c>
      <c r="R51" s="37" t="n">
        <v>102.6729219228029</v>
      </c>
      <c r="S51" s="37" t="n">
        <v>104.037552742616</v>
      </c>
      <c r="T51" s="37" t="n">
        <v>101.6972885817703</v>
      </c>
      <c r="U51" s="37" t="n">
        <v>105.098276481149</v>
      </c>
      <c r="V51" s="37" t="n">
        <v>104.665866807611</v>
      </c>
      <c r="W51" s="37" t="n">
        <v>90.42230999539383</v>
      </c>
    </row>
    <row r="52">
      <c r="A52" s="40" t="n">
        <v>0</v>
      </c>
      <c r="B52" s="33">
        <f>'13c_donnees'!H6*(1+A52)/'13c_donnees'!H5</f>
        <v/>
      </c>
      <c r="C52" s="30">
        <f>IF(AND(B52&gt;='13b_parametres'!$C$5,B52&lt;='13b_parametres'!$D$5),"Conforme","Non conforme")</f>
        <v/>
      </c>
      <c r="D52" s="33">
        <f>'13c_donnees'!I6*(1+A52)/'13c_donnees'!I5</f>
        <v/>
      </c>
      <c r="E52" s="30">
        <f>IF(AND(D52&gt;='13b_parametres'!$C$5,D52&lt;='13b_parametres'!$D$5),"Conforme","Non conforme")</f>
        <v/>
      </c>
      <c r="N52" s="42" t="n">
        <v>2020</v>
      </c>
      <c r="O52" s="45" t="n">
        <v>12</v>
      </c>
      <c r="P52" s="38" t="n">
        <v>102.2053891878043</v>
      </c>
      <c r="Q52" s="38" t="n">
        <v>101.0411424574493</v>
      </c>
      <c r="R52" s="38" t="n">
        <v>105.7009333221575</v>
      </c>
      <c r="S52" s="38" t="n">
        <v>105.3838095238095</v>
      </c>
      <c r="T52" s="38" t="n">
        <v>101.6972885817703</v>
      </c>
      <c r="U52" s="38" t="n">
        <v>99.33628007181329</v>
      </c>
      <c r="V52" s="38" t="n">
        <v>103.5264482029598</v>
      </c>
      <c r="W52" s="38" t="n">
        <v>88.67574389682173</v>
      </c>
    </row>
    <row r="53">
      <c r="A53" s="40" t="n">
        <v>0.02</v>
      </c>
      <c r="B53" s="32">
        <f>'13c_donnees'!H6*(1+A53)/'13c_donnees'!H5</f>
        <v/>
      </c>
      <c r="C53" s="28">
        <f>IF(AND(B53&gt;='13b_parametres'!$C$5,B53&lt;='13b_parametres'!$D$5),"Conforme","Non conforme")</f>
        <v/>
      </c>
      <c r="D53" s="32">
        <f>'13c_donnees'!I6*(1+A53)/'13c_donnees'!I5</f>
        <v/>
      </c>
      <c r="E53" s="28">
        <f>IF(AND(D53&gt;='13b_parametres'!$C$5,D53&lt;='13b_parametres'!$D$5),"Conforme","Non conforme")</f>
        <v/>
      </c>
      <c r="N53" s="42" t="n">
        <v>2021</v>
      </c>
      <c r="O53" s="43" t="n">
        <v>1</v>
      </c>
      <c r="P53" s="37" t="n">
        <v>102.1476623110428</v>
      </c>
      <c r="Q53" s="37" t="n">
        <v>99.79956400093262</v>
      </c>
      <c r="R53" s="37" t="n">
        <v>102.0562210301328</v>
      </c>
      <c r="S53" s="37" t="n">
        <v>103.9014948764316</v>
      </c>
      <c r="T53" s="37" t="n">
        <v>102.3030338927279</v>
      </c>
      <c r="U53" s="37" t="n">
        <v>99.70996768402154</v>
      </c>
      <c r="V53" s="37" t="n">
        <v>105.4706553911205</v>
      </c>
      <c r="W53" s="37" t="n">
        <v>126.5308544449562</v>
      </c>
    </row>
    <row r="54">
      <c r="A54" s="40" t="n">
        <v>0.04</v>
      </c>
      <c r="B54" s="33">
        <f>'13c_donnees'!H6*(1+A54)/'13c_donnees'!H5</f>
        <v/>
      </c>
      <c r="C54" s="30">
        <f>IF(AND(B54&gt;='13b_parametres'!$C$5,B54&lt;='13b_parametres'!$D$5),"Conforme","Non conforme")</f>
        <v/>
      </c>
      <c r="D54" s="33">
        <f>'13c_donnees'!I6*(1+A54)/'13c_donnees'!I5</f>
        <v/>
      </c>
      <c r="E54" s="30">
        <f>IF(AND(D54&gt;='13b_parametres'!$C$5,D54&lt;='13b_parametres'!$D$5),"Conforme","Non conforme")</f>
        <v/>
      </c>
      <c r="N54" s="42" t="n">
        <v>2021</v>
      </c>
      <c r="O54" s="45" t="n">
        <v>2</v>
      </c>
      <c r="P54" s="38" t="n">
        <v>102.1360599538816</v>
      </c>
      <c r="Q54" s="38" t="n">
        <v>100.2452716250875</v>
      </c>
      <c r="R54" s="38" t="n">
        <v>105.8253245882402</v>
      </c>
      <c r="S54" s="38" t="n">
        <v>107.4246775165763</v>
      </c>
      <c r="T54" s="38" t="n">
        <v>102.324935834156</v>
      </c>
      <c r="U54" s="38" t="n">
        <v>100.8000861759425</v>
      </c>
      <c r="V54" s="38" t="n">
        <v>105.7740803382664</v>
      </c>
      <c r="W54" s="38" t="n">
        <v>108.7244841087057</v>
      </c>
    </row>
    <row r="55">
      <c r="A55" s="40" t="n">
        <v>0.06</v>
      </c>
      <c r="B55" s="32">
        <f>'13c_donnees'!H6*(1+A55)/'13c_donnees'!H5</f>
        <v/>
      </c>
      <c r="C55" s="28">
        <f>IF(AND(B55&gt;='13b_parametres'!$C$5,B55&lt;='13b_parametres'!$D$5),"Conforme","Non conforme")</f>
        <v/>
      </c>
      <c r="D55" s="32">
        <f>'13c_donnees'!I6*(1+A55)/'13c_donnees'!I5</f>
        <v/>
      </c>
      <c r="E55" s="28">
        <f>IF(AND(D55&gt;='13b_parametres'!$C$5,D55&lt;='13b_parametres'!$D$5),"Conforme","Non conforme")</f>
        <v/>
      </c>
      <c r="N55" s="42" t="n">
        <v>2021</v>
      </c>
      <c r="O55" s="43" t="n">
        <v>3</v>
      </c>
      <c r="P55" s="37" t="n">
        <v>102.1360599538816</v>
      </c>
      <c r="Q55" s="37" t="n">
        <v>100.5378526463045</v>
      </c>
      <c r="R55" s="37" t="n">
        <v>105.5011085034156</v>
      </c>
      <c r="S55" s="37" t="n">
        <v>107.3065220012056</v>
      </c>
      <c r="T55" s="37" t="n">
        <v>102.2823955248437</v>
      </c>
      <c r="U55" s="37" t="n">
        <v>100.7691992818671</v>
      </c>
      <c r="V55" s="37" t="n">
        <v>106.5483826638478</v>
      </c>
      <c r="W55" s="37" t="n">
        <v>122.5557945647167</v>
      </c>
    </row>
    <row r="56">
      <c r="A56" s="40" t="n">
        <v>0.08</v>
      </c>
      <c r="B56" s="33">
        <f>'13c_donnees'!H6*(1+A56)/'13c_donnees'!H5</f>
        <v/>
      </c>
      <c r="C56" s="30">
        <f>IF(AND(B56&gt;='13b_parametres'!$C$5,B56&lt;='13b_parametres'!$D$5),"Conforme","Non conforme")</f>
        <v/>
      </c>
      <c r="D56" s="33">
        <f>'13c_donnees'!I6*(1+A56)/'13c_donnees'!I5</f>
        <v/>
      </c>
      <c r="E56" s="30">
        <f>IF(AND(D56&gt;='13b_parametres'!$C$5,D56&lt;='13b_parametres'!$D$5),"Conforme","Non conforme")</f>
        <v/>
      </c>
      <c r="N56" s="42" t="n">
        <v>2021</v>
      </c>
      <c r="O56" s="45" t="n">
        <v>4</v>
      </c>
      <c r="P56" s="38" t="n">
        <v>102.1360599538816</v>
      </c>
      <c r="Q56" s="38" t="n">
        <v>100.5378526463045</v>
      </c>
      <c r="R56" s="38" t="n">
        <v>105.3539189472361</v>
      </c>
      <c r="S56" s="38" t="n">
        <v>107.1633031946956</v>
      </c>
      <c r="T56" s="38" t="n">
        <v>102.2448963474827</v>
      </c>
      <c r="U56" s="38" t="n">
        <v>101.2732423698384</v>
      </c>
      <c r="V56" s="38" t="n">
        <v>105.7261733615222</v>
      </c>
      <c r="W56" s="38" t="n">
        <v>118.1319829571626</v>
      </c>
    </row>
    <row r="57">
      <c r="A57" s="40" t="n">
        <v>0.1</v>
      </c>
      <c r="B57" s="32">
        <f>'13c_donnees'!H6*(1+A57)/'13c_donnees'!H5</f>
        <v/>
      </c>
      <c r="C57" s="28">
        <f>IF(AND(B57&gt;='13b_parametres'!$C$5,B57&lt;='13b_parametres'!$D$5),"Conforme","Non conforme")</f>
        <v/>
      </c>
      <c r="D57" s="32">
        <f>'13c_donnees'!I6*(1+A57)/'13c_donnees'!I5</f>
        <v/>
      </c>
      <c r="E57" s="28">
        <f>IF(AND(D57&gt;='13b_parametres'!$C$5,D57&lt;='13b_parametres'!$D$5),"Conforme","Non conforme")</f>
        <v/>
      </c>
      <c r="N57" s="42" t="n">
        <v>2021</v>
      </c>
      <c r="O57" s="43" t="n">
        <v>5</v>
      </c>
      <c r="P57" s="37" t="n">
        <v>102.1360599538816</v>
      </c>
      <c r="Q57" s="37" t="n">
        <v>100.5378526463045</v>
      </c>
      <c r="R57" s="37" t="n">
        <v>105.415563471774</v>
      </c>
      <c r="S57" s="37" t="n">
        <v>107.3065220012056</v>
      </c>
      <c r="T57" s="37" t="n">
        <v>102.3057058242843</v>
      </c>
      <c r="U57" s="37" t="n">
        <v>101.5917558348294</v>
      </c>
      <c r="V57" s="37" t="n">
        <v>106.0289640591966</v>
      </c>
      <c r="W57" s="37" t="n">
        <v>73.51169507139566</v>
      </c>
    </row>
    <row r="58">
      <c r="A58" s="40">
        <f>B46</f>
        <v/>
      </c>
      <c r="B58" s="33">
        <f>'13c_donnees'!H6*(1+A58)/'13c_donnees'!H5</f>
        <v/>
      </c>
      <c r="C58" s="30">
        <f>IF(AND(B58&gt;='13b_parametres'!$C$5,B58&lt;='13b_parametres'!$D$5),"Conforme","Non conforme")</f>
        <v/>
      </c>
      <c r="D58" s="33">
        <f>'13c_donnees'!I6*(1+A58)/'13c_donnees'!I5</f>
        <v/>
      </c>
      <c r="E58" s="30">
        <f>IF(AND(D58&gt;='13b_parametres'!$C$5,D58&lt;='13b_parametres'!$D$5),"Conforme","Non conforme")</f>
        <v/>
      </c>
      <c r="N58" s="42" t="n">
        <v>2021</v>
      </c>
      <c r="O58" s="45" t="n">
        <v>6</v>
      </c>
      <c r="P58" s="38" t="n">
        <v>102.1471529592621</v>
      </c>
      <c r="Q58" s="38" t="n">
        <v>100.5378526463045</v>
      </c>
      <c r="R58" s="38" t="n">
        <v>105.4164280625288</v>
      </c>
      <c r="S58" s="38" t="n">
        <v>107.0337432188065</v>
      </c>
      <c r="T58" s="38" t="n">
        <v>102.4585982230997</v>
      </c>
      <c r="U58" s="38" t="n">
        <v>101.8143267504488</v>
      </c>
      <c r="V58" s="38" t="n">
        <v>109.3038689217759</v>
      </c>
      <c r="W58" s="38" t="n">
        <v>96.36585214187009</v>
      </c>
    </row>
    <row r="59">
      <c r="A59" s="40">
        <f>B47</f>
        <v/>
      </c>
      <c r="B59" s="32">
        <f>'13c_donnees'!H6*(1+A59)/'13c_donnees'!H5</f>
        <v/>
      </c>
      <c r="C59" s="28">
        <f>IF(AND(B59&gt;='13b_parametres'!$C$5,B59&lt;='13b_parametres'!$D$5),"Conforme","Non conforme")</f>
        <v/>
      </c>
      <c r="D59" s="32">
        <f>'13c_donnees'!I6*(1+A59)/'13c_donnees'!I5</f>
        <v/>
      </c>
      <c r="E59" s="28">
        <f>IF(AND(D59&gt;='13b_parametres'!$C$5,D59&lt;='13b_parametres'!$D$5),"Conforme","Non conforme")</f>
        <v/>
      </c>
      <c r="N59" s="42" t="n">
        <v>2021</v>
      </c>
      <c r="O59" s="43" t="n">
        <v>7</v>
      </c>
      <c r="P59" s="37" t="n">
        <v>102.1455295926211</v>
      </c>
      <c r="Q59" s="37" t="n">
        <v>100.5378526463045</v>
      </c>
      <c r="R59" s="37" t="n">
        <v>105.4778961485269</v>
      </c>
      <c r="S59" s="37" t="n">
        <v>106.9914406268837</v>
      </c>
      <c r="T59" s="37" t="n">
        <v>102.4585982230997</v>
      </c>
      <c r="U59" s="37" t="n">
        <v>101.7303123877917</v>
      </c>
      <c r="V59" s="37" t="n">
        <v>109.2523572938689</v>
      </c>
      <c r="W59" s="37" t="n">
        <v>70.64917549516352</v>
      </c>
    </row>
    <row r="60">
      <c r="A60" s="27" t="inlineStr">
        <is>
          <t>Hausse qui porterait SIN à 80 %</t>
        </is>
      </c>
      <c r="B60" s="93">
        <f>'13b_parametres'!$D$5*'13c_donnees'!H5/'13c_donnees'!H6-1</f>
        <v/>
      </c>
      <c r="C60" s="30" t="n"/>
      <c r="D60" s="93">
        <f>'13b_parametres'!$D$5*'13c_donnees'!I5/'13c_donnees'!I6-1</f>
        <v/>
      </c>
      <c r="E60" s="30" t="n"/>
      <c r="N60" s="42" t="n">
        <v>2021</v>
      </c>
      <c r="O60" s="45" t="n">
        <v>8</v>
      </c>
      <c r="P60" s="38" t="n">
        <v>102.1455295926211</v>
      </c>
      <c r="Q60" s="38" t="n">
        <v>101.6407321053859</v>
      </c>
      <c r="R60" s="38" t="n">
        <v>105.3813557688278</v>
      </c>
      <c r="S60" s="38" t="n">
        <v>106.8374804098855</v>
      </c>
      <c r="T60" s="38" t="n">
        <v>102.3963409016124</v>
      </c>
      <c r="U60" s="38" t="n">
        <v>101.7593824057451</v>
      </c>
      <c r="V60" s="38" t="n">
        <v>108.6751479915433</v>
      </c>
      <c r="W60" s="38" t="n">
        <v>83.62923537540303</v>
      </c>
    </row>
    <row r="61">
      <c r="A61" s="27" t="inlineStr">
        <is>
          <t>Hausse qui porterait SIN à 70 %</t>
        </is>
      </c>
      <c r="B61" s="94">
        <f>'13b_parametres'!$C$5*'13c_donnees'!H5/'13c_donnees'!H6-1</f>
        <v/>
      </c>
      <c r="C61" s="28" t="n"/>
      <c r="D61" s="94">
        <f>'13b_parametres'!$C$5*'13c_donnees'!I5/'13c_donnees'!I6-1</f>
        <v/>
      </c>
      <c r="E61" s="28" t="n"/>
      <c r="N61" s="42" t="n">
        <v>2021</v>
      </c>
      <c r="O61" s="43" t="n">
        <v>9</v>
      </c>
      <c r="P61" s="37" t="n">
        <v>102.1455295926211</v>
      </c>
      <c r="Q61" s="37" t="n">
        <v>101.6407321053859</v>
      </c>
      <c r="R61" s="37" t="n">
        <v>105.3813557688278</v>
      </c>
      <c r="S61" s="37" t="n">
        <v>106.8374804098855</v>
      </c>
      <c r="T61" s="37" t="n">
        <v>102.3963409016124</v>
      </c>
      <c r="U61" s="37" t="n">
        <v>101.7593824057451</v>
      </c>
      <c r="V61" s="37" t="n">
        <v>108.639799154334</v>
      </c>
      <c r="W61" s="37" t="n">
        <v>84.30226393367111</v>
      </c>
    </row>
    <row r="62">
      <c r="N62" s="42" t="n">
        <v>2021</v>
      </c>
      <c r="O62" s="45" t="n">
        <v>10</v>
      </c>
      <c r="P62" s="38" t="n">
        <v>102.1455295926211</v>
      </c>
      <c r="Q62" s="38" t="n">
        <v>101.6470342737235</v>
      </c>
      <c r="R62" s="38" t="n">
        <v>105.3804505259629</v>
      </c>
      <c r="S62" s="38" t="n">
        <v>106.8374804098855</v>
      </c>
      <c r="T62" s="38" t="n">
        <v>102.3963409016124</v>
      </c>
      <c r="U62" s="38" t="n">
        <v>100.3412280071813</v>
      </c>
      <c r="V62" s="38" t="n">
        <v>108.2268921775898</v>
      </c>
      <c r="W62" s="38" t="n">
        <v>89.48106172270842</v>
      </c>
    </row>
    <row r="63">
      <c r="N63" s="42" t="n">
        <v>2021</v>
      </c>
      <c r="O63" s="43" t="n">
        <v>11</v>
      </c>
      <c r="P63" s="37" t="n">
        <v>102.1455295926211</v>
      </c>
      <c r="Q63" s="37" t="n">
        <v>101.6470342737235</v>
      </c>
      <c r="R63" s="37" t="n">
        <v>105.0179908637526</v>
      </c>
      <c r="S63" s="37" t="n">
        <v>107.1561422543701</v>
      </c>
      <c r="T63" s="37" t="n">
        <v>102.3036788417243</v>
      </c>
      <c r="U63" s="37" t="n">
        <v>100.5810556552962</v>
      </c>
      <c r="V63" s="37" t="n">
        <v>109.5272410147991</v>
      </c>
      <c r="W63" s="37" t="n">
        <v>97.51098572086595</v>
      </c>
    </row>
    <row r="64">
      <c r="N64" s="42" t="n">
        <v>2021</v>
      </c>
      <c r="O64" s="45" t="n">
        <v>12</v>
      </c>
      <c r="P64" s="38" t="n">
        <v>102.1455295926211</v>
      </c>
      <c r="Q64" s="38" t="n">
        <v>101.6470342737235</v>
      </c>
      <c r="R64" s="38" t="n">
        <v>105.0069292988559</v>
      </c>
      <c r="S64" s="38" t="n">
        <v>107.1780229053647</v>
      </c>
      <c r="T64" s="38" t="n">
        <v>102.3036788417243</v>
      </c>
      <c r="U64" s="38" t="n">
        <v>100.5810556552962</v>
      </c>
      <c r="V64" s="38" t="n">
        <v>110.3730549682875</v>
      </c>
      <c r="W64" s="38" t="n">
        <v>102.8538576692768</v>
      </c>
    </row>
    <row r="65">
      <c r="N65" s="42" t="n">
        <v>2022</v>
      </c>
      <c r="O65" s="43" t="n">
        <v>1</v>
      </c>
      <c r="P65" s="37" t="n">
        <v>103.2389075070459</v>
      </c>
      <c r="Q65" s="37" t="n">
        <v>101.6327232455118</v>
      </c>
      <c r="R65" s="37" t="n">
        <v>105.3485654415154</v>
      </c>
      <c r="S65" s="37" t="n">
        <v>107.3284026522001</v>
      </c>
      <c r="T65" s="37" t="n">
        <v>102.7389799276078</v>
      </c>
      <c r="U65" s="37" t="n">
        <v>100.6439174147217</v>
      </c>
      <c r="V65" s="37" t="n">
        <v>110.1241014799154</v>
      </c>
      <c r="W65" s="37" t="n">
        <v>101.1705988023952</v>
      </c>
    </row>
    <row r="66">
      <c r="N66" s="42" t="n">
        <v>2022</v>
      </c>
      <c r="O66" s="45" t="n">
        <v>2</v>
      </c>
      <c r="P66" s="38" t="n">
        <v>103.2328875224187</v>
      </c>
      <c r="Q66" s="38" t="n">
        <v>102.7923222196316</v>
      </c>
      <c r="R66" s="38" t="n">
        <v>105.3568450609782</v>
      </c>
      <c r="S66" s="38" t="n">
        <v>107.3284026522001</v>
      </c>
      <c r="T66" s="38" t="n">
        <v>102.7389799276078</v>
      </c>
      <c r="U66" s="38" t="n">
        <v>100.6384667863555</v>
      </c>
      <c r="V66" s="38" t="n">
        <v>107.3420084566596</v>
      </c>
      <c r="W66" s="38" t="n">
        <v>92.86264163979733</v>
      </c>
    </row>
    <row r="67">
      <c r="N67" s="42" t="n">
        <v>2022</v>
      </c>
      <c r="O67" s="43" t="n">
        <v>3</v>
      </c>
      <c r="P67" s="37" t="n">
        <v>103.2328875224187</v>
      </c>
      <c r="Q67" s="37" t="n">
        <v>102.7923222196316</v>
      </c>
      <c r="R67" s="37" t="n">
        <v>106.1431930765685</v>
      </c>
      <c r="S67" s="37" t="n">
        <v>107.3284026522001</v>
      </c>
      <c r="T67" s="37" t="n">
        <v>102.7389799276078</v>
      </c>
      <c r="U67" s="37" t="n">
        <v>100.6384667863555</v>
      </c>
      <c r="V67" s="37" t="n">
        <v>107.3531078224102</v>
      </c>
      <c r="W67" s="37" t="n">
        <v>86.87766006448641</v>
      </c>
    </row>
    <row r="68">
      <c r="N68" s="42" t="n">
        <v>2022</v>
      </c>
      <c r="O68" s="45" t="n">
        <v>4</v>
      </c>
      <c r="P68" s="38" t="n">
        <v>103.2328875224187</v>
      </c>
      <c r="Q68" s="38" t="n">
        <v>102.7923222196316</v>
      </c>
      <c r="R68" s="38" t="n">
        <v>106.1768635011106</v>
      </c>
      <c r="S68" s="38" t="n">
        <v>107.3284026522001</v>
      </c>
      <c r="T68" s="38" t="n">
        <v>102.7389799276078</v>
      </c>
      <c r="U68" s="38" t="n">
        <v>102.7280179533214</v>
      </c>
      <c r="V68" s="38" t="n">
        <v>107.5996194503171</v>
      </c>
      <c r="W68" s="38" t="n">
        <v>94.12073238139104</v>
      </c>
    </row>
    <row r="69">
      <c r="N69" s="42" t="n">
        <v>2022</v>
      </c>
      <c r="O69" s="43" t="n">
        <v>5</v>
      </c>
      <c r="P69" s="37" t="n">
        <v>103.2313543428132</v>
      </c>
      <c r="Q69" s="37" t="n">
        <v>106.3719538353929</v>
      </c>
      <c r="R69" s="37" t="n">
        <v>106.1768635011106</v>
      </c>
      <c r="S69" s="37" t="n">
        <v>107.3488245931284</v>
      </c>
      <c r="T69" s="37" t="n">
        <v>102.7389799276078</v>
      </c>
      <c r="U69" s="37" t="n">
        <v>103.4473716337522</v>
      </c>
      <c r="V69" s="37" t="n">
        <v>107.7413636363636</v>
      </c>
      <c r="W69" s="37" t="n">
        <v>100.7168678028558</v>
      </c>
    </row>
    <row r="70">
      <c r="N70" s="42" t="n">
        <v>2022</v>
      </c>
      <c r="O70" s="45" t="n">
        <v>6</v>
      </c>
      <c r="P70" s="38" t="n">
        <v>103.2373743274404</v>
      </c>
      <c r="Q70" s="38" t="n">
        <v>115.1571764980182</v>
      </c>
      <c r="R70" s="38" t="n">
        <v>106.1994061439168</v>
      </c>
      <c r="S70" s="38" t="n">
        <v>107.5587160940326</v>
      </c>
      <c r="T70" s="38" t="n">
        <v>102.7389799276078</v>
      </c>
      <c r="U70" s="38" t="n">
        <v>104.4804703770197</v>
      </c>
      <c r="V70" s="38" t="n">
        <v>107.9940380549683</v>
      </c>
      <c r="W70" s="38" t="n">
        <v>81.14941040994931</v>
      </c>
    </row>
    <row r="71">
      <c r="N71" s="42" t="n">
        <v>2022</v>
      </c>
      <c r="O71" s="43" t="n">
        <v>7</v>
      </c>
      <c r="P71" s="37" t="n">
        <v>104.1757852933641</v>
      </c>
      <c r="Q71" s="37" t="n">
        <v>124.2512054091863</v>
      </c>
      <c r="R71" s="37" t="n">
        <v>106.1846573907213</v>
      </c>
      <c r="S71" s="37" t="n">
        <v>108.3925316455696</v>
      </c>
      <c r="T71" s="37" t="n">
        <v>106.6294833826917</v>
      </c>
      <c r="U71" s="37" t="n">
        <v>104.8230197486535</v>
      </c>
      <c r="V71" s="37" t="n">
        <v>108.3268287526427</v>
      </c>
      <c r="W71" s="37" t="n">
        <v>90.510085214187</v>
      </c>
    </row>
    <row r="72">
      <c r="N72" s="42" t="n">
        <v>2022</v>
      </c>
      <c r="O72" s="45" t="n">
        <v>8</v>
      </c>
      <c r="P72" s="38" t="n">
        <v>104.1757852933641</v>
      </c>
      <c r="Q72" s="38" t="n">
        <v>124.2512054091863</v>
      </c>
      <c r="R72" s="38" t="n">
        <v>107.0431197351326</v>
      </c>
      <c r="S72" s="38" t="n">
        <v>108.2833273056058</v>
      </c>
      <c r="T72" s="38" t="n">
        <v>107.2785422836459</v>
      </c>
      <c r="U72" s="38" t="n">
        <v>105.2820359066427</v>
      </c>
      <c r="V72" s="38" t="n">
        <v>108.0669450317125</v>
      </c>
      <c r="W72" s="38" t="n">
        <v>79.26947029018885</v>
      </c>
    </row>
    <row r="73">
      <c r="N73" s="42" t="n">
        <v>2022</v>
      </c>
      <c r="O73" s="43" t="n">
        <v>9</v>
      </c>
      <c r="P73" s="37" t="n">
        <v>103.9605534204458</v>
      </c>
      <c r="Q73" s="37" t="n">
        <v>124.2512054091863</v>
      </c>
      <c r="R73" s="37" t="n">
        <v>107.8378085578978</v>
      </c>
      <c r="S73" s="37" t="n">
        <v>109.1535985533454</v>
      </c>
      <c r="T73" s="37" t="n">
        <v>103.388038828562</v>
      </c>
      <c r="U73" s="37" t="n">
        <v>105.3231418312388</v>
      </c>
      <c r="V73" s="37" t="n">
        <v>108.0474101479915</v>
      </c>
      <c r="W73" s="37" t="n">
        <v>74.93774527867342</v>
      </c>
    </row>
    <row r="74">
      <c r="N74" s="42" t="n">
        <v>2022</v>
      </c>
      <c r="O74" s="45" t="n">
        <v>10</v>
      </c>
      <c r="P74" s="38" t="n">
        <v>103.9637099666923</v>
      </c>
      <c r="Q74" s="38" t="n">
        <v>114.4639379808813</v>
      </c>
      <c r="R74" s="38" t="n">
        <v>108.4114844306609</v>
      </c>
      <c r="S74" s="38" t="n">
        <v>108.4503616636528</v>
      </c>
      <c r="T74" s="38" t="n">
        <v>103.388038828562</v>
      </c>
      <c r="U74" s="38" t="n">
        <v>105.0422513464991</v>
      </c>
      <c r="V74" s="38" t="n">
        <v>108.2521670190275</v>
      </c>
      <c r="W74" s="38" t="n">
        <v>85.25642791340395</v>
      </c>
    </row>
    <row r="75">
      <c r="N75" s="42" t="n">
        <v>2022</v>
      </c>
      <c r="O75" s="43" t="n">
        <v>11</v>
      </c>
      <c r="P75" s="37" t="n">
        <v>103.9666861388676</v>
      </c>
      <c r="Q75" s="37" t="n">
        <v>114.478249009093</v>
      </c>
      <c r="R75" s="37" t="n">
        <v>108.6833540086333</v>
      </c>
      <c r="S75" s="37" t="n">
        <v>109.5975768535262</v>
      </c>
      <c r="T75" s="37" t="n">
        <v>103.388038828562</v>
      </c>
      <c r="U75" s="37" t="n">
        <v>105.3299928186715</v>
      </c>
      <c r="V75" s="37" t="n">
        <v>108.2405391120507</v>
      </c>
      <c r="W75" s="37" t="n">
        <v>81.59779134039613</v>
      </c>
    </row>
    <row r="76">
      <c r="N76" s="42" t="n">
        <v>2022</v>
      </c>
      <c r="O76" s="45" t="n">
        <v>12</v>
      </c>
      <c r="P76" s="38" t="n">
        <v>104.1733087368691</v>
      </c>
      <c r="Q76" s="38" t="n">
        <v>114.478249009093</v>
      </c>
      <c r="R76" s="38" t="n">
        <v>108.5579896064708</v>
      </c>
      <c r="S76" s="38" t="n">
        <v>109.9167269439421</v>
      </c>
      <c r="T76" s="38" t="n">
        <v>103.388038828562</v>
      </c>
      <c r="U76" s="38" t="n">
        <v>105.3299928186715</v>
      </c>
      <c r="V76" s="38" t="n">
        <v>108.6164693446089</v>
      </c>
      <c r="W76" s="38" t="n">
        <v>82.40728005527404</v>
      </c>
    </row>
    <row r="77">
      <c r="N77" s="42" t="n">
        <v>2023</v>
      </c>
      <c r="O77" s="43" t="n">
        <v>1</v>
      </c>
      <c r="P77" s="37" t="n">
        <v>104.225267742762</v>
      </c>
      <c r="Q77" s="37" t="n">
        <v>114.6075798554442</v>
      </c>
      <c r="R77" s="37" t="n">
        <v>108.8618762834751</v>
      </c>
      <c r="S77" s="37" t="n">
        <v>111.1829475587704</v>
      </c>
      <c r="T77" s="37" t="n">
        <v>103.388038828562</v>
      </c>
      <c r="U77" s="37" t="n">
        <v>105.4601615798923</v>
      </c>
      <c r="V77" s="37" t="n">
        <v>108.4990274841438</v>
      </c>
      <c r="W77" s="37" t="n">
        <v>78.17523030861354</v>
      </c>
    </row>
    <row r="78">
      <c r="N78" s="42" t="n">
        <v>2023</v>
      </c>
      <c r="O78" s="45" t="n">
        <v>2</v>
      </c>
      <c r="P78" s="38" t="n">
        <v>104.1841311811427</v>
      </c>
      <c r="Q78" s="38" t="n">
        <v>114.6075798554442</v>
      </c>
      <c r="R78" s="38" t="n">
        <v>108.6652713633125</v>
      </c>
      <c r="S78" s="38" t="n">
        <v>109.9167269439421</v>
      </c>
      <c r="T78" s="38" t="n">
        <v>103.388038828562</v>
      </c>
      <c r="U78" s="38" t="n">
        <v>104.5257414721724</v>
      </c>
      <c r="V78" s="38" t="n">
        <v>108.6713636363636</v>
      </c>
      <c r="W78" s="38" t="n">
        <v>80.95490327038232</v>
      </c>
    </row>
    <row r="79">
      <c r="N79" s="42" t="n">
        <v>2023</v>
      </c>
      <c r="O79" s="43" t="n">
        <v>3</v>
      </c>
      <c r="P79" s="37" t="n">
        <v>104.1344381245196</v>
      </c>
      <c r="Q79" s="37" t="n">
        <v>114.6075798554442</v>
      </c>
      <c r="R79" s="37" t="n">
        <v>108.9697736892838</v>
      </c>
      <c r="S79" s="37" t="n">
        <v>104.8929294755877</v>
      </c>
      <c r="T79" s="37" t="n">
        <v>103.5077755840737</v>
      </c>
      <c r="U79" s="37" t="n">
        <v>104.2859138240574</v>
      </c>
      <c r="V79" s="37" t="n">
        <v>108.744133192389</v>
      </c>
      <c r="W79" s="37" t="n">
        <v>65.35617227084292</v>
      </c>
    </row>
    <row r="80">
      <c r="N80" s="42" t="n">
        <v>2023</v>
      </c>
      <c r="O80" s="45" t="n">
        <v>4</v>
      </c>
      <c r="P80" s="38" t="n">
        <v>104.1801629515757</v>
      </c>
      <c r="Q80" s="38" t="n">
        <v>114.6075798554442</v>
      </c>
      <c r="R80" s="38" t="n">
        <v>109.1592996940614</v>
      </c>
      <c r="S80" s="38" t="n">
        <v>105.7783664858348</v>
      </c>
      <c r="T80" s="38" t="n">
        <v>102.9696117143798</v>
      </c>
      <c r="U80" s="38" t="n">
        <v>104.1498456014363</v>
      </c>
      <c r="V80" s="38" t="n">
        <v>108.7608773784355</v>
      </c>
      <c r="W80" s="38" t="n">
        <v>74.77117918010133</v>
      </c>
    </row>
    <row r="81">
      <c r="N81" s="42" t="n">
        <v>2023</v>
      </c>
      <c r="O81" s="43" t="n">
        <v>5</v>
      </c>
      <c r="P81" s="37" t="n">
        <v>104.2304873174481</v>
      </c>
      <c r="Q81" s="37" t="n">
        <v>114.6075798554442</v>
      </c>
      <c r="R81" s="37" t="n">
        <v>109.2824399647961</v>
      </c>
      <c r="S81" s="37" t="n">
        <v>105.6995961422544</v>
      </c>
      <c r="T81" s="37" t="n">
        <v>103.0492431720961</v>
      </c>
      <c r="U81" s="37" t="n">
        <v>104.1498456014363</v>
      </c>
      <c r="V81" s="37" t="n">
        <v>108.9827378435518</v>
      </c>
      <c r="W81" s="37" t="n">
        <v>87.45669967756794</v>
      </c>
    </row>
    <row r="82">
      <c r="N82" s="42" t="n">
        <v>2023</v>
      </c>
      <c r="O82" s="45" t="n">
        <v>6</v>
      </c>
      <c r="P82" s="38" t="n">
        <v>104.2748347425058</v>
      </c>
      <c r="Q82" s="38" t="n">
        <v>114.6075798554442</v>
      </c>
      <c r="R82" s="38" t="n">
        <v>109.3242906835422</v>
      </c>
      <c r="S82" s="38" t="n">
        <v>105.6222845087402</v>
      </c>
      <c r="T82" s="38" t="n">
        <v>103.0492431720961</v>
      </c>
      <c r="U82" s="38" t="n">
        <v>104.5814578096948</v>
      </c>
      <c r="V82" s="38" t="n">
        <v>108.6684355179704</v>
      </c>
      <c r="W82" s="38" t="n">
        <v>83.70933901427912</v>
      </c>
    </row>
    <row r="83">
      <c r="N83" s="42" t="n">
        <v>2023</v>
      </c>
      <c r="O83" s="43" t="n">
        <v>7</v>
      </c>
      <c r="P83" s="37" t="n">
        <v>105.0496694850116</v>
      </c>
      <c r="Q83" s="37" t="n">
        <v>118.7102914432269</v>
      </c>
      <c r="R83" s="37" t="n">
        <v>109.3703805372784</v>
      </c>
      <c r="S83" s="37" t="n">
        <v>105.6222845087402</v>
      </c>
      <c r="T83" s="37" t="n">
        <v>103.0492431720961</v>
      </c>
      <c r="U83" s="37" t="n">
        <v>104.5814578096948</v>
      </c>
      <c r="V83" s="37" t="n">
        <v>110.6158773784355</v>
      </c>
      <c r="W83" s="37" t="n">
        <v>83.91214877936434</v>
      </c>
    </row>
    <row r="84">
      <c r="N84" s="42" t="n">
        <v>2023</v>
      </c>
      <c r="O84" s="45" t="n">
        <v>8</v>
      </c>
      <c r="P84" s="38" t="n">
        <v>105.0496694850116</v>
      </c>
      <c r="Q84" s="38" t="n">
        <v>118.7102914432269</v>
      </c>
      <c r="R84" s="38" t="n">
        <v>109.2787858849168</v>
      </c>
      <c r="S84" s="38" t="n">
        <v>105.8872393007836</v>
      </c>
      <c r="T84" s="38" t="n">
        <v>103.0930470549523</v>
      </c>
      <c r="U84" s="38" t="n">
        <v>102.7111382405745</v>
      </c>
      <c r="V84" s="38" t="n">
        <v>110.6638054968287</v>
      </c>
      <c r="W84" s="38" t="n">
        <v>89.37337402118838</v>
      </c>
    </row>
    <row r="85">
      <c r="N85" s="42" t="n">
        <v>2023</v>
      </c>
      <c r="O85" s="43" t="n">
        <v>9</v>
      </c>
      <c r="P85" s="37" t="n">
        <v>105.0604517545997</v>
      </c>
      <c r="Q85" s="37" t="n">
        <v>118.710391694889</v>
      </c>
      <c r="R85" s="37" t="n">
        <v>109.3217136264267</v>
      </c>
      <c r="S85" s="37" t="n">
        <v>105.8868882094178</v>
      </c>
      <c r="T85" s="37" t="n">
        <v>103.8536361386485</v>
      </c>
      <c r="U85" s="37" t="n">
        <v>102.8209268789957</v>
      </c>
      <c r="V85" s="37" t="n">
        <v>110.8300014290698</v>
      </c>
      <c r="W85" s="37" t="n">
        <v>93.77299444513969</v>
      </c>
    </row>
    <row r="86">
      <c r="N86" s="42" t="n">
        <v>2023</v>
      </c>
      <c r="O86" s="45" t="n">
        <v>10</v>
      </c>
      <c r="P86" s="38" t="n">
        <v>105.0604517545997</v>
      </c>
      <c r="Q86" s="38" t="n">
        <v>118.710391694889</v>
      </c>
      <c r="R86" s="38" t="n">
        <v>109.3217136264267</v>
      </c>
      <c r="S86" s="38" t="n">
        <v>105.8868882094178</v>
      </c>
      <c r="T86" s="38" t="n">
        <v>104.4746852815443</v>
      </c>
      <c r="U86" s="38" t="n">
        <v>102.8313316541256</v>
      </c>
      <c r="V86" s="38" t="n">
        <v>110.9237151783561</v>
      </c>
      <c r="W86" s="38" t="n">
        <v>88.8304564218154</v>
      </c>
    </row>
    <row r="87">
      <c r="N87" s="42" t="n">
        <v>2023</v>
      </c>
      <c r="O87" s="43" t="n">
        <v>11</v>
      </c>
      <c r="P87" s="37" t="n">
        <v>105.0604517545997</v>
      </c>
      <c r="Q87" s="37" t="n">
        <v>119.3939778959865</v>
      </c>
      <c r="R87" s="37" t="n">
        <v>109.3217136264267</v>
      </c>
      <c r="S87" s="37" t="n">
        <v>105.8868882094178</v>
      </c>
      <c r="T87" s="37" t="n">
        <v>104.5963123347578</v>
      </c>
      <c r="U87" s="37" t="n">
        <v>102.1737686500513</v>
      </c>
      <c r="V87" s="37" t="n">
        <v>110.9237151783561</v>
      </c>
      <c r="W87" s="37" t="n">
        <v>84.60440133530538</v>
      </c>
    </row>
    <row r="88">
      <c r="N88" s="42" t="n">
        <v>2023</v>
      </c>
      <c r="O88" s="45" t="n">
        <v>12</v>
      </c>
      <c r="P88" s="38" t="n">
        <v>105.0604517545997</v>
      </c>
      <c r="Q88" s="38" t="n">
        <v>119.3939778959865</v>
      </c>
      <c r="R88" s="38" t="n">
        <v>109.4435867402529</v>
      </c>
      <c r="S88" s="38" t="n">
        <v>105.8868882094178</v>
      </c>
      <c r="T88" s="38" t="n">
        <v>104.7907161610656</v>
      </c>
      <c r="U88" s="38" t="n">
        <v>101.3364455965303</v>
      </c>
      <c r="V88" s="38" t="n">
        <v>110.7804854941919</v>
      </c>
      <c r="W88" s="38" t="n">
        <v>88.54537672131117</v>
      </c>
    </row>
    <row r="89">
      <c r="N89" s="42" t="n">
        <v>2024</v>
      </c>
      <c r="O89" s="43" t="n">
        <v>1</v>
      </c>
      <c r="P89" s="37" t="n">
        <v>105.0604517545997</v>
      </c>
      <c r="Q89" s="37" t="n">
        <v>119.3939778959865</v>
      </c>
      <c r="R89" s="37" t="n">
        <v>109.5328921139829</v>
      </c>
      <c r="S89" s="37" t="n">
        <v>105.8868882094178</v>
      </c>
      <c r="T89" s="37" t="n">
        <v>104.7907161610656</v>
      </c>
      <c r="U89" s="37" t="n">
        <v>101.3364455965303</v>
      </c>
      <c r="V89" s="37" t="n">
        <v>110.8720537534976</v>
      </c>
      <c r="W89" s="37" t="n">
        <v>86.49254375232184</v>
      </c>
    </row>
    <row r="90">
      <c r="N90" s="42" t="n">
        <v>2024</v>
      </c>
      <c r="O90" s="45" t="n">
        <v>2</v>
      </c>
      <c r="P90" s="38" t="n">
        <v>105.5038839464088</v>
      </c>
      <c r="Q90" s="38" t="n">
        <v>119.3939778959865</v>
      </c>
      <c r="R90" s="38" t="n">
        <v>109.6269647906534</v>
      </c>
      <c r="S90" s="38" t="n">
        <v>106.0895054005508</v>
      </c>
      <c r="T90" s="38" t="n">
        <v>104.7907161610656</v>
      </c>
      <c r="U90" s="38" t="n">
        <v>101.3364455965303</v>
      </c>
      <c r="V90" s="38" t="n">
        <v>110.8540980054757</v>
      </c>
      <c r="W90" s="38" t="n">
        <v>87.19496382018571</v>
      </c>
    </row>
    <row r="91">
      <c r="N91" s="42" t="n">
        <v>2024</v>
      </c>
      <c r="O91" s="43" t="n">
        <v>3</v>
      </c>
      <c r="P91" s="37" t="n">
        <v>105.5038839464088</v>
      </c>
      <c r="Q91" s="37" t="n">
        <v>119.9359625223545</v>
      </c>
      <c r="R91" s="37" t="n">
        <v>109.5519472875144</v>
      </c>
      <c r="S91" s="37" t="n">
        <v>108.298246805893</v>
      </c>
      <c r="T91" s="37" t="n">
        <v>104.7907161610656</v>
      </c>
      <c r="U91" s="37" t="n">
        <v>102.6029783776245</v>
      </c>
      <c r="V91" s="37" t="n">
        <v>112.040378616425</v>
      </c>
      <c r="W91" s="37" t="n">
        <v>90.0348841814552</v>
      </c>
    </row>
    <row r="92">
      <c r="N92" s="42" t="n">
        <v>2024</v>
      </c>
      <c r="O92" s="45" t="n">
        <v>4</v>
      </c>
      <c r="P92" s="38" t="n">
        <v>105.5221568447728</v>
      </c>
      <c r="Q92" s="38" t="n">
        <v>119.3939778959865</v>
      </c>
      <c r="R92" s="38" t="n">
        <v>109.6815133463485</v>
      </c>
      <c r="S92" s="38" t="n">
        <v>106.3076003263193</v>
      </c>
      <c r="T92" s="38" t="n">
        <v>104.7907161610656</v>
      </c>
      <c r="U92" s="38" t="n">
        <v>102.1095124373957</v>
      </c>
      <c r="V92" s="38" t="n">
        <v>110.8919184001249</v>
      </c>
      <c r="W92" s="38" t="n">
        <v>99.64357355617224</v>
      </c>
    </row>
    <row r="93">
      <c r="N93" s="42" t="n">
        <v>2024</v>
      </c>
      <c r="O93" s="43" t="n">
        <v>5</v>
      </c>
      <c r="P93" s="37" t="n">
        <v>105.5221568447728</v>
      </c>
      <c r="Q93" s="37" t="n">
        <v>119.3939778959865</v>
      </c>
      <c r="R93" s="37" t="n">
        <v>109.8793870967287</v>
      </c>
      <c r="S93" s="37" t="n">
        <v>106.5089850414218</v>
      </c>
      <c r="T93" s="37" t="n">
        <v>105.7121921228945</v>
      </c>
      <c r="U93" s="37" t="n">
        <v>102.3035443428387</v>
      </c>
      <c r="V93" s="37" t="n">
        <v>111.0440616627824</v>
      </c>
      <c r="W93" s="37" t="n">
        <v>104.8308639057435</v>
      </c>
    </row>
    <row r="94">
      <c r="N94" s="42" t="n">
        <v>2024</v>
      </c>
      <c r="O94" s="45" t="n">
        <v>6</v>
      </c>
      <c r="P94" s="38" t="n">
        <v>105.5221568447728</v>
      </c>
      <c r="Q94" s="38" t="n">
        <v>119.462758431931</v>
      </c>
      <c r="R94" s="38" t="n">
        <v>110.0225875420715</v>
      </c>
      <c r="S94" s="38" t="n">
        <v>106.5332177247244</v>
      </c>
      <c r="T94" s="38" t="n">
        <v>105.9908641369257</v>
      </c>
      <c r="U94" s="38" t="n">
        <v>102.3325177219225</v>
      </c>
      <c r="V94" s="38" t="n">
        <v>111.1231990709865</v>
      </c>
      <c r="W94" s="38" t="n">
        <v>114.4927930277315</v>
      </c>
    </row>
    <row r="95">
      <c r="N95" s="42" t="n">
        <v>2024</v>
      </c>
      <c r="O95" s="43" t="n">
        <v>7</v>
      </c>
      <c r="P95" s="37" t="n">
        <v>105.5221568447728</v>
      </c>
      <c r="Q95" s="37" t="n">
        <v>119.462758431931</v>
      </c>
      <c r="R95" s="37" t="n">
        <v>109.9935498427853</v>
      </c>
      <c r="S95" s="37" t="n">
        <v>106.5238399847647</v>
      </c>
      <c r="T95" s="37" t="n">
        <v>106.1109226014354</v>
      </c>
      <c r="U95" s="37" t="n">
        <v>102.3324932208821</v>
      </c>
      <c r="V95" s="37" t="n">
        <v>111.1814269177755</v>
      </c>
      <c r="W95" s="37" t="n">
        <v>125.1386301973784</v>
      </c>
    </row>
    <row r="96">
      <c r="N96" s="42" t="n">
        <v>2024</v>
      </c>
      <c r="O96" s="45" t="n">
        <v>8</v>
      </c>
      <c r="P96" s="38" t="n">
        <v>105.5221568447728</v>
      </c>
      <c r="Q96" s="38" t="n">
        <v>119.462758431931</v>
      </c>
      <c r="R96" s="38" t="n">
        <v>110.1233433100382</v>
      </c>
      <c r="S96" s="38" t="n">
        <v>106.5238399847647</v>
      </c>
      <c r="T96" s="38" t="n">
        <v>106.1109226014354</v>
      </c>
      <c r="U96" s="38" t="n">
        <v>102.4071152227355</v>
      </c>
      <c r="V96" s="38" t="n">
        <v>111.0948730157744</v>
      </c>
      <c r="W96" s="38" t="n">
        <v>118.5522550045205</v>
      </c>
    </row>
    <row r="97">
      <c r="N97" s="42" t="n">
        <v>2024</v>
      </c>
      <c r="O97" s="43" t="n">
        <v>9</v>
      </c>
      <c r="P97" s="37" t="n">
        <v>108.1141017651878</v>
      </c>
      <c r="Q97" s="37" t="n">
        <v>119.462758431931</v>
      </c>
      <c r="R97" s="37" t="n">
        <v>110.118272499278</v>
      </c>
      <c r="S97" s="37" t="n">
        <v>106.5238399847647</v>
      </c>
      <c r="T97" s="37" t="n">
        <v>106.1109226014354</v>
      </c>
      <c r="U97" s="37" t="n">
        <v>102.5332350555397</v>
      </c>
      <c r="V97" s="37" t="n">
        <v>111.4223661621828</v>
      </c>
      <c r="W97" s="37" t="n">
        <v>109.4426735144283</v>
      </c>
    </row>
    <row r="98">
      <c r="N98" s="42" t="n">
        <v>2024</v>
      </c>
      <c r="O98" s="45" t="n">
        <v>10</v>
      </c>
      <c r="P98" s="38" t="n">
        <v>108.5964140567049</v>
      </c>
      <c r="Q98" s="38" t="n">
        <v>119.462758431931</v>
      </c>
      <c r="R98" s="38" t="n">
        <v>110.3078160215601</v>
      </c>
      <c r="S98" s="38" t="n">
        <v>106.5238399847647</v>
      </c>
      <c r="T98" s="38" t="n">
        <v>106.1109226014354</v>
      </c>
      <c r="U98" s="38" t="n">
        <v>102.5099290958211</v>
      </c>
      <c r="V98" s="38" t="n">
        <v>111.4223661621828</v>
      </c>
      <c r="W98" s="38" t="n">
        <v>122.9104562708438</v>
      </c>
    </row>
  </sheetData>
  <mergeCells count="1">
    <mergeCell ref="A2:L2"/>
  </mergeCells>
  <conditionalFormatting sqref="A1:W9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81.xml><?xml version="1.0" encoding="utf-8"?>
<worksheet xmlns="http://schemas.openxmlformats.org/spreadsheetml/2006/main">
  <sheetPr>
    <tabColor rgb="00EFAC62"/>
    <outlinePr summaryBelow="1" summaryRight="1"/>
    <pageSetUpPr fitToPage="1"/>
  </sheetPr>
  <dimension ref="A1:V1353"/>
  <sheetViews>
    <sheetView showGridLines="0" workbookViewId="0">
      <selection activeCell="A1" sqref="A1"/>
    </sheetView>
  </sheetViews>
  <sheetFormatPr baseColWidth="8" defaultRowHeight="15"/>
  <cols>
    <col width="52" customWidth="1" min="1" max="1"/>
    <col width="7"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0" customWidth="1" min="13" max="13"/>
    <col width="12" customWidth="1" min="16" max="16"/>
    <col width="12" customWidth="1" min="17" max="17"/>
    <col width="12" customWidth="1" min="18" max="18"/>
    <col width="12" customWidth="1" min="20" max="20"/>
    <col width="12" customWidth="1" min="21" max="21"/>
    <col width="12" customWidth="1" min="22" max="22"/>
  </cols>
  <sheetData>
    <row r="1">
      <c r="A1" s="5" t="inlineStr">
        <is>
          <t>Rendement des placements : comparaison aux taux du marché (ratios RL6 et RL7)</t>
        </is>
      </c>
    </row>
    <row r="2" ht="42" customHeight="1">
      <c r="A2" s="62" t="inlineStr">
        <is>
          <t>RL6 : le taux brut de rentabilité des placements doit atteindre au moins le taux moyen du marché (Décision 05/2022, section II). Taux de marché : BCEAO, Rapport sur la Politique Monétaire dans l'UMOA, mars 2026, tableau 22 (dépôts à terme, Côte d'Ivoire) et tableau 17 (titres publics de l'UMOA, sources UMOA-Titres et AMF-UMOA).</t>
        </is>
      </c>
    </row>
    <row r="3"/>
    <row r="4">
      <c r="A4" s="8" t="inlineStr">
        <is>
          <t>Série</t>
        </is>
      </c>
      <c r="B4" s="8" t="inlineStr">
        <is>
          <t>Unité</t>
        </is>
      </c>
      <c r="C4" s="8" t="inlineStr">
        <is>
          <t>T1 2024</t>
        </is>
      </c>
      <c r="D4" s="8" t="inlineStr">
        <is>
          <t>T2 2024</t>
        </is>
      </c>
      <c r="E4" s="8" t="inlineStr">
        <is>
          <t>T3 2024</t>
        </is>
      </c>
      <c r="F4" s="8" t="inlineStr">
        <is>
          <t>T4 2024</t>
        </is>
      </c>
      <c r="G4" s="8" t="inlineStr">
        <is>
          <t>T1 2025</t>
        </is>
      </c>
      <c r="H4" s="8" t="inlineStr">
        <is>
          <t>T2 2025</t>
        </is>
      </c>
      <c r="I4" s="8" t="inlineStr">
        <is>
          <t>T3 2025</t>
        </is>
      </c>
      <c r="J4" s="8" t="inlineStr">
        <is>
          <t>T4 2025</t>
        </is>
      </c>
      <c r="K4" s="8" t="inlineStr">
        <is>
          <t>Moyenne 2024</t>
        </is>
      </c>
      <c r="L4" s="8" t="inlineStr">
        <is>
          <t>Moyenne 2025</t>
        </is>
      </c>
      <c r="M4" s="8" t="inlineStr">
        <is>
          <t>Source</t>
        </is>
      </c>
      <c r="P4" s="8" t="inlineStr">
        <is>
          <t>Année</t>
        </is>
      </c>
      <c r="Q4" s="8" t="inlineStr">
        <is>
          <t>Date</t>
        </is>
      </c>
      <c r="R4" s="8" t="inlineStr">
        <is>
          <t>Rendement 5 ans</t>
        </is>
      </c>
      <c r="T4" s="8" t="inlineStr">
        <is>
          <t>Année</t>
        </is>
      </c>
      <c r="U4" s="8" t="inlineStr">
        <is>
          <t>Date</t>
        </is>
      </c>
      <c r="V4" s="8" t="inlineStr">
        <is>
          <t>Rendement 10 ans</t>
        </is>
      </c>
    </row>
    <row r="5">
      <c r="A5" s="9" t="inlineStr">
        <is>
          <t>Dépôts à terme, Côte d'Ivoire</t>
        </is>
      </c>
      <c r="B5" s="28" t="inlineStr">
        <is>
          <t>%</t>
        </is>
      </c>
      <c r="C5" s="32" t="n">
        <v>0.0411</v>
      </c>
      <c r="D5" s="32" t="n">
        <v>0.0424</v>
      </c>
      <c r="E5" s="32" t="n">
        <v>0.04269999999999999</v>
      </c>
      <c r="F5" s="32" t="n">
        <v>0.0436</v>
      </c>
      <c r="G5" s="32" t="n">
        <v>0.0449</v>
      </c>
      <c r="H5" s="32" t="n">
        <v>0.0461</v>
      </c>
      <c r="I5" s="32" t="n">
        <v>0.0479</v>
      </c>
      <c r="J5" s="32" t="n">
        <v>0.0501</v>
      </c>
      <c r="K5" s="94">
        <f>AVERAGE(C5:F5)</f>
        <v/>
      </c>
      <c r="L5" s="94">
        <f>AVERAGE(G5:J5)</f>
        <v/>
      </c>
      <c r="M5" s="10" t="inlineStr">
        <is>
          <t>BCEAO, RPM mars 2026, tableau 22</t>
        </is>
      </c>
      <c r="P5" s="27">
        <f>YEAR(Q5)</f>
        <v/>
      </c>
      <c r="Q5" s="95" t="n">
        <v>44280</v>
      </c>
      <c r="R5" s="96" t="n">
        <v>0.06175</v>
      </c>
      <c r="T5" s="27">
        <f>YEAR(U5)</f>
        <v/>
      </c>
      <c r="U5" s="95" t="n">
        <v>44280</v>
      </c>
      <c r="V5" s="96" t="n">
        <v>0.06442000000000001</v>
      </c>
    </row>
    <row r="6">
      <c r="A6" s="9" t="inlineStr">
        <is>
          <t>Obligations à 5 ans (UMOA)</t>
        </is>
      </c>
      <c r="B6" s="30" t="inlineStr">
        <is>
          <t>%</t>
        </is>
      </c>
      <c r="C6" s="33" t="n">
        <v>0.06469999999999999</v>
      </c>
      <c r="D6" s="33" t="n">
        <v>0.0699</v>
      </c>
      <c r="E6" s="33" t="n">
        <v>0.0698</v>
      </c>
      <c r="F6" s="33" t="n">
        <v>0.0732</v>
      </c>
      <c r="G6" s="33" t="n">
        <v>0.067</v>
      </c>
      <c r="H6" s="33" t="n">
        <v>0.0713</v>
      </c>
      <c r="I6" s="33" t="n">
        <v>0.0672</v>
      </c>
      <c r="J6" s="33" t="n">
        <v>0.0678</v>
      </c>
      <c r="K6" s="93">
        <f>AVERAGE(C6:F6)</f>
        <v/>
      </c>
      <c r="L6" s="93">
        <f>AVERAGE(G6:J6)</f>
        <v/>
      </c>
      <c r="M6" s="12" t="inlineStr">
        <is>
          <t>BCEAO, RPM mars 2026, tableau 17</t>
        </is>
      </c>
      <c r="P6" s="27">
        <f>YEAR(Q6)</f>
        <v/>
      </c>
      <c r="Q6" s="97" t="n">
        <v>44281</v>
      </c>
      <c r="R6" s="98" t="n">
        <v>0.06213</v>
      </c>
      <c r="T6" s="27">
        <f>YEAR(U6)</f>
        <v/>
      </c>
      <c r="U6" s="97" t="n">
        <v>44281</v>
      </c>
      <c r="V6" s="98" t="n">
        <v>0.06407</v>
      </c>
    </row>
    <row r="7">
      <c r="A7" s="9" t="inlineStr">
        <is>
          <t>Obligations à 10 ans (UMOA)</t>
        </is>
      </c>
      <c r="B7" s="28" t="inlineStr">
        <is>
          <t>%</t>
        </is>
      </c>
      <c r="C7" s="32" t="n">
        <v>0.06809999999999999</v>
      </c>
      <c r="D7" s="32" t="n">
        <v>0.06469999999999999</v>
      </c>
      <c r="E7" s="32" t="n">
        <v>0.0741</v>
      </c>
      <c r="F7" s="32" t="n">
        <v>0.0699</v>
      </c>
      <c r="G7" s="32" t="n">
        <v>0.0747</v>
      </c>
      <c r="H7" s="32" t="n">
        <v>0.06950000000000001</v>
      </c>
      <c r="I7" s="32" t="n">
        <v>0.0697</v>
      </c>
      <c r="J7" s="32" t="n">
        <v>0.0687</v>
      </c>
      <c r="K7" s="94">
        <f>AVERAGE(C7:F7)</f>
        <v/>
      </c>
      <c r="L7" s="94">
        <f>AVERAGE(G7:J7)</f>
        <v/>
      </c>
      <c r="M7" s="10" t="inlineStr">
        <is>
          <t>BCEAO, RPM mars 2026, tableau 17</t>
        </is>
      </c>
      <c r="P7" s="27">
        <f>YEAR(Q7)</f>
        <v/>
      </c>
      <c r="Q7" s="95" t="n">
        <v>44284</v>
      </c>
      <c r="R7" s="96" t="n">
        <v>0.06197</v>
      </c>
      <c r="T7" s="27">
        <f>YEAR(U7)</f>
        <v/>
      </c>
      <c r="U7" s="95" t="n">
        <v>44284</v>
      </c>
      <c r="V7" s="96" t="n">
        <v>0.06477000000000001</v>
      </c>
    </row>
    <row r="8">
      <c r="A8" s="9" t="inlineStr">
        <is>
          <t>Rendement moyen pondéré des obligations (UMOA)</t>
        </is>
      </c>
      <c r="B8" s="30" t="inlineStr">
        <is>
          <t>%</t>
        </is>
      </c>
      <c r="C8" s="33" t="n">
        <v>0.0731</v>
      </c>
      <c r="D8" s="33" t="n">
        <v>0.0737</v>
      </c>
      <c r="E8" s="33" t="n">
        <v>0.0702</v>
      </c>
      <c r="F8" s="33" t="n">
        <v>0.0746</v>
      </c>
      <c r="G8" s="33" t="n">
        <v>0.0707</v>
      </c>
      <c r="H8" s="33" t="n">
        <v>0.0745</v>
      </c>
      <c r="I8" s="33" t="n">
        <v>0.0711</v>
      </c>
      <c r="J8" s="33" t="n">
        <v>0.07389999999999999</v>
      </c>
      <c r="K8" s="93">
        <f>AVERAGE(C8:F8)</f>
        <v/>
      </c>
      <c r="L8" s="93">
        <f>AVERAGE(G8:J8)</f>
        <v/>
      </c>
      <c r="M8" s="12" t="inlineStr">
        <is>
          <t>BCEAO, RPM mars 2026, tableau 17</t>
        </is>
      </c>
      <c r="P8" s="27">
        <f>YEAR(Q8)</f>
        <v/>
      </c>
      <c r="Q8" s="97" t="n">
        <v>44285</v>
      </c>
      <c r="R8" s="98" t="n">
        <v>0.06162</v>
      </c>
      <c r="T8" s="27">
        <f>YEAR(U8)</f>
        <v/>
      </c>
      <c r="U8" s="97" t="n">
        <v>44285</v>
      </c>
      <c r="V8" s="98" t="n">
        <v>0.06564</v>
      </c>
    </row>
    <row r="9">
      <c r="P9" s="27">
        <f>YEAR(Q9)</f>
        <v/>
      </c>
      <c r="Q9" s="95" t="n">
        <v>44286</v>
      </c>
      <c r="R9" s="96" t="n">
        <v>0.06053</v>
      </c>
      <c r="T9" s="27">
        <f>YEAR(U9)</f>
        <v/>
      </c>
      <c r="U9" s="95" t="n">
        <v>44286</v>
      </c>
      <c r="V9" s="96" t="n">
        <v>0.06437</v>
      </c>
    </row>
    <row r="10">
      <c r="A10" s="8" t="inlineStr">
        <is>
          <t>Indicateur du FPPN</t>
        </is>
      </c>
      <c r="B10" s="8" t="inlineStr">
        <is>
          <t>Unité</t>
        </is>
      </c>
      <c r="C10" s="8" t="inlineStr">
        <is>
          <t>2021</t>
        </is>
      </c>
      <c r="D10" s="8" t="inlineStr">
        <is>
          <t>2022</t>
        </is>
      </c>
      <c r="E10" s="8" t="inlineStr">
        <is>
          <t>2023</t>
        </is>
      </c>
      <c r="F10" s="8" t="inlineStr">
        <is>
          <t>2024</t>
        </is>
      </c>
      <c r="G10" s="8" t="inlineStr">
        <is>
          <t>2025</t>
        </is>
      </c>
      <c r="H10" s="8" t="n"/>
      <c r="I10" s="8" t="n"/>
      <c r="J10" s="8" t="n"/>
      <c r="K10" s="8" t="n"/>
      <c r="L10" s="8" t="n"/>
      <c r="M10" s="8" t="inlineStr">
        <is>
          <t>Source</t>
        </is>
      </c>
      <c r="P10" s="27">
        <f>YEAR(Q10)</f>
        <v/>
      </c>
      <c r="Q10" s="97" t="n">
        <v>44287</v>
      </c>
      <c r="R10" s="98" t="n">
        <v>0.05918999999999999</v>
      </c>
      <c r="T10" s="27">
        <f>YEAR(U10)</f>
        <v/>
      </c>
      <c r="U10" s="97" t="n">
        <v>44287</v>
      </c>
      <c r="V10" s="98" t="n">
        <v>0.06437999999999999</v>
      </c>
    </row>
    <row r="11">
      <c r="A11" s="27" t="inlineStr">
        <is>
          <t>RL6 : taux brut de rentabilité des placements</t>
        </is>
      </c>
      <c r="B11" s="28" t="inlineStr">
        <is>
          <t>%</t>
        </is>
      </c>
      <c r="C11" s="32" t="n">
        <v>0.06198118137710001</v>
      </c>
      <c r="D11" s="32" t="n">
        <v>0.01302438139479114</v>
      </c>
      <c r="E11" s="32" t="n">
        <v>0.01276185573574572</v>
      </c>
      <c r="F11" s="32" t="n">
        <v>0.01731201345070705</v>
      </c>
      <c r="G11" s="32" t="n">
        <v>0.228827023659462</v>
      </c>
      <c r="H11" s="28" t="n"/>
      <c r="I11" s="28" t="n"/>
      <c r="J11" s="28" t="n"/>
      <c r="K11" s="28" t="n"/>
      <c r="L11" s="28" t="n"/>
      <c r="M11" s="10" t="inlineStr">
        <is>
          <t>Onglet 10_ratios (produits financiers / placements moyens)</t>
        </is>
      </c>
      <c r="P11" s="27">
        <f>YEAR(Q11)</f>
        <v/>
      </c>
      <c r="Q11" s="95" t="n">
        <v>44288</v>
      </c>
      <c r="R11" s="96" t="n">
        <v>0.05918999999999999</v>
      </c>
      <c r="T11" s="27">
        <f>YEAR(U11)</f>
        <v/>
      </c>
      <c r="U11" s="95" t="n">
        <v>44288</v>
      </c>
      <c r="V11" s="96" t="n">
        <v>0.06437999999999999</v>
      </c>
    </row>
    <row r="12">
      <c r="A12" s="27" t="inlineStr">
        <is>
          <t>Statut de RL6 face aux dépôts à terme de Côte d'Ivoire</t>
        </is>
      </c>
      <c r="B12" s="30" t="n"/>
      <c r="C12" s="30" t="n"/>
      <c r="D12" s="30" t="n"/>
      <c r="E12" s="30" t="n"/>
      <c r="F12" s="86">
        <f>IF(F11&gt;=K5,"Conforme","Non conforme")</f>
        <v/>
      </c>
      <c r="G12" s="86">
        <f>IF(G11&gt;=L5,"Conforme","Non conforme")</f>
        <v/>
      </c>
      <c r="H12" s="30" t="n"/>
      <c r="I12" s="30" t="n"/>
      <c r="J12" s="30" t="n"/>
      <c r="K12" s="30" t="n"/>
      <c r="L12" s="30" t="n"/>
      <c r="M12" s="12" t="inlineStr">
        <is>
          <t>Taux de marché disponibles pour 2024 et 2025 seulement</t>
        </is>
      </c>
      <c r="P12" s="27">
        <f>YEAR(Q12)</f>
        <v/>
      </c>
      <c r="Q12" s="97" t="n">
        <v>44292</v>
      </c>
      <c r="R12" s="98" t="n">
        <v>0.06059999999999999</v>
      </c>
      <c r="T12" s="27">
        <f>YEAR(U12)</f>
        <v/>
      </c>
      <c r="U12" s="97" t="n">
        <v>44292</v>
      </c>
      <c r="V12" s="98" t="n">
        <v>0.06399000000000001</v>
      </c>
    </row>
    <row r="13">
      <c r="A13" s="27" t="inlineStr">
        <is>
          <t>RL7 : solde moyen des comptes courants non rémunérés</t>
        </is>
      </c>
      <c r="B13" s="28" t="inlineStr">
        <is>
          <t>FCFA</t>
        </is>
      </c>
      <c r="C13" s="29" t="n">
        <v>2274615536</v>
      </c>
      <c r="D13" s="29" t="n">
        <v>638155842</v>
      </c>
      <c r="E13" s="29" t="n">
        <v>695388139</v>
      </c>
      <c r="F13" s="29" t="n">
        <v>438360275</v>
      </c>
      <c r="G13" s="29" t="n">
        <v>1449586812</v>
      </c>
      <c r="H13" s="28" t="n"/>
      <c r="I13" s="28" t="n"/>
      <c r="J13" s="28" t="n"/>
      <c r="K13" s="28" t="n"/>
      <c r="L13" s="28" t="n"/>
      <c r="M13" s="28" t="n"/>
      <c r="P13" s="27">
        <f>YEAR(Q13)</f>
        <v/>
      </c>
      <c r="Q13" s="95" t="n">
        <v>44293</v>
      </c>
      <c r="R13" s="96" t="n">
        <v>0.05977</v>
      </c>
      <c r="T13" s="27">
        <f>YEAR(U13)</f>
        <v/>
      </c>
      <c r="U13" s="95" t="n">
        <v>44293</v>
      </c>
      <c r="V13" s="96" t="n">
        <v>0.06254999999999999</v>
      </c>
    </row>
    <row r="14">
      <c r="A14" s="9" t="inlineStr">
        <is>
          <t>Produit annuel si ce solde était placé au taux moyen des dépôts à terme de Côte d'Ivoire</t>
        </is>
      </c>
      <c r="B14" s="30" t="inlineStr">
        <is>
          <t>FCFA</t>
        </is>
      </c>
      <c r="C14" s="30" t="n"/>
      <c r="D14" s="30" t="n"/>
      <c r="E14" s="30" t="n"/>
      <c r="F14" s="99">
        <f>F13*K5</f>
        <v/>
      </c>
      <c r="G14" s="99">
        <f>G13*L5</f>
        <v/>
      </c>
      <c r="H14" s="30" t="n"/>
      <c r="I14" s="30" t="n"/>
      <c r="J14" s="30" t="n"/>
      <c r="K14" s="30" t="n"/>
      <c r="L14" s="30" t="n"/>
      <c r="M14" s="30" t="n"/>
      <c r="P14" s="27">
        <f>YEAR(Q14)</f>
        <v/>
      </c>
      <c r="Q14" s="97" t="n">
        <v>44294</v>
      </c>
      <c r="R14" s="98" t="n">
        <v>0.05977</v>
      </c>
      <c r="T14" s="27">
        <f>YEAR(U14)</f>
        <v/>
      </c>
      <c r="U14" s="97" t="n">
        <v>44294</v>
      </c>
      <c r="V14" s="98" t="n">
        <v>0.06254999999999999</v>
      </c>
    </row>
    <row r="15">
      <c r="A15" s="27" t="inlineStr">
        <is>
          <t>Taux servi sur l'épargne PEP et EFC (déclaration du chef comptable, 19/10/2026)</t>
        </is>
      </c>
      <c r="B15" s="28" t="inlineStr">
        <is>
          <t>%</t>
        </is>
      </c>
      <c r="C15" s="32" t="n">
        <v>0.035</v>
      </c>
      <c r="D15" s="28" t="n"/>
      <c r="E15" s="28" t="n"/>
      <c r="F15" s="28" t="n"/>
      <c r="G15" s="28" t="n"/>
      <c r="H15" s="28" t="n"/>
      <c r="I15" s="28" t="n"/>
      <c r="J15" s="28" t="n"/>
      <c r="K15" s="28" t="n"/>
      <c r="L15" s="28" t="n"/>
      <c r="M15" s="28" t="n"/>
      <c r="P15" s="27">
        <f>YEAR(Q15)</f>
        <v/>
      </c>
      <c r="Q15" s="95" t="n">
        <v>44295</v>
      </c>
      <c r="R15" s="96" t="n">
        <v>0.06059999999999999</v>
      </c>
      <c r="T15" s="27">
        <f>YEAR(U15)</f>
        <v/>
      </c>
      <c r="U15" s="95" t="n">
        <v>44295</v>
      </c>
      <c r="V15" s="96" t="n">
        <v>0.06253</v>
      </c>
    </row>
    <row r="16">
      <c r="A16" s="9" t="inlineStr">
        <is>
          <t>Écart entre les obligations à 5 ans (moyenne 2025) et le taux servi</t>
        </is>
      </c>
      <c r="B16" s="30" t="inlineStr">
        <is>
          <t>%</t>
        </is>
      </c>
      <c r="C16" s="93">
        <f>L6-C15</f>
        <v/>
      </c>
      <c r="D16" s="30" t="n"/>
      <c r="E16" s="30" t="n"/>
      <c r="F16" s="30" t="n"/>
      <c r="G16" s="30" t="n"/>
      <c r="H16" s="30" t="n"/>
      <c r="I16" s="30" t="n"/>
      <c r="J16" s="30" t="n"/>
      <c r="K16" s="30" t="n"/>
      <c r="L16" s="30" t="n"/>
      <c r="M16" s="30" t="n"/>
      <c r="P16" s="27">
        <f>YEAR(Q16)</f>
        <v/>
      </c>
      <c r="Q16" s="97" t="n">
        <v>44298</v>
      </c>
      <c r="R16" s="98" t="n">
        <v>0.05980000000000001</v>
      </c>
      <c r="T16" s="27">
        <f>YEAR(U16)</f>
        <v/>
      </c>
      <c r="U16" s="97" t="n">
        <v>44298</v>
      </c>
      <c r="V16" s="98" t="n">
        <v>0.06254</v>
      </c>
    </row>
    <row r="17">
      <c r="P17" s="27">
        <f>YEAR(Q17)</f>
        <v/>
      </c>
      <c r="Q17" s="95" t="n">
        <v>44299</v>
      </c>
      <c r="R17" s="96" t="n">
        <v>0.06006</v>
      </c>
      <c r="T17" s="27">
        <f>YEAR(U17)</f>
        <v/>
      </c>
      <c r="U17" s="95" t="n">
        <v>44299</v>
      </c>
      <c r="V17" s="96" t="n">
        <v>0.0635</v>
      </c>
    </row>
    <row r="18">
      <c r="A18" s="87" t="inlineStr">
        <is>
          <t>Rendement des obligations de l'État de Côte d'Ivoire sur le marché secondaire (Investing.com)</t>
        </is>
      </c>
      <c r="P18" s="27">
        <f>YEAR(Q18)</f>
        <v/>
      </c>
      <c r="Q18" s="97" t="n">
        <v>44300</v>
      </c>
      <c r="R18" s="98" t="n">
        <v>0.05981</v>
      </c>
      <c r="T18" s="27">
        <f>YEAR(U18)</f>
        <v/>
      </c>
      <c r="U18" s="97" t="n">
        <v>44300</v>
      </c>
      <c r="V18" s="98" t="n">
        <v>0.06254</v>
      </c>
    </row>
    <row r="19">
      <c r="A19" s="8" t="inlineStr">
        <is>
          <t>Série</t>
        </is>
      </c>
      <c r="B19" s="8" t="inlineStr">
        <is>
          <t>Unité</t>
        </is>
      </c>
      <c r="C19" s="8" t="inlineStr">
        <is>
          <t>2021</t>
        </is>
      </c>
      <c r="D19" s="8" t="inlineStr">
        <is>
          <t>2022</t>
        </is>
      </c>
      <c r="E19" s="8" t="inlineStr">
        <is>
          <t>2023</t>
        </is>
      </c>
      <c r="F19" s="8" t="inlineStr">
        <is>
          <t>2024</t>
        </is>
      </c>
      <c r="G19" s="8" t="inlineStr">
        <is>
          <t>2025</t>
        </is>
      </c>
      <c r="H19" s="8" t="inlineStr">
        <is>
          <t>2026</t>
        </is>
      </c>
      <c r="I19" s="8" t="inlineStr">
        <is>
          <t>Dernière valeur</t>
        </is>
      </c>
      <c r="J19" s="8" t="inlineStr">
        <is>
          <t>Date</t>
        </is>
      </c>
      <c r="K19" s="8" t="inlineStr">
        <is>
          <t>Cotations</t>
        </is>
      </c>
      <c r="M19" s="8" t="inlineStr">
        <is>
          <t>Source</t>
        </is>
      </c>
      <c r="P19" s="27">
        <f>YEAR(Q19)</f>
        <v/>
      </c>
      <c r="Q19" s="95" t="n">
        <v>44301</v>
      </c>
      <c r="R19" s="96" t="n">
        <v>0.05966999999999999</v>
      </c>
      <c r="T19" s="27">
        <f>YEAR(U19)</f>
        <v/>
      </c>
      <c r="U19" s="95" t="n">
        <v>44301</v>
      </c>
      <c r="V19" s="96" t="n">
        <v>0.06280000000000001</v>
      </c>
    </row>
    <row r="20">
      <c r="A20" s="9" t="inlineStr">
        <is>
          <t>Obligations de l'État de Côte d'Ivoire à 5 ans (moyenne annuelle des cotations)</t>
        </is>
      </c>
      <c r="B20" s="28" t="inlineStr">
        <is>
          <t>%</t>
        </is>
      </c>
      <c r="C20" s="32">
        <f>IFERROR(AVERAGEIFS($R$5:$R$1303,$P$5:$P$1303,2021),"")</f>
        <v/>
      </c>
      <c r="D20" s="32">
        <f>IFERROR(AVERAGEIFS($R$5:$R$1303,$P$5:$P$1303,2022),"")</f>
        <v/>
      </c>
      <c r="E20" s="32">
        <f>IFERROR(AVERAGEIFS($R$5:$R$1303,$P$5:$P$1303,2023),"")</f>
        <v/>
      </c>
      <c r="F20" s="32">
        <f>IFERROR(AVERAGEIFS($R$5:$R$1303,$P$5:$P$1303,2024),"")</f>
        <v/>
      </c>
      <c r="G20" s="32">
        <f>IFERROR(AVERAGEIFS($R$5:$R$1303,$P$5:$P$1303,2025),"")</f>
        <v/>
      </c>
      <c r="H20" s="32">
        <f>IFERROR(AVERAGEIFS($R$5:$R$1303,$P$5:$P$1303,2026),"")</f>
        <v/>
      </c>
      <c r="I20" s="94">
        <f>R1303</f>
        <v/>
      </c>
      <c r="J20" s="28" t="inlineStr">
        <is>
          <t>15/10/2026</t>
        </is>
      </c>
      <c r="K20" s="35" t="n">
        <v>1299</v>
      </c>
      <c r="M20" s="9" t="inlineStr">
        <is>
          <t>Investing.com, « Rendement de l'Obligation Cote d'Ivoire 5-Year - Données Historiques », export du 19/10/2026 (colonnes P à R)</t>
        </is>
      </c>
      <c r="P20" s="27">
        <f>YEAR(Q20)</f>
        <v/>
      </c>
      <c r="Q20" s="97" t="n">
        <v>44302</v>
      </c>
      <c r="R20" s="98" t="n">
        <v>0.05972</v>
      </c>
      <c r="T20" s="27">
        <f>YEAR(U20)</f>
        <v/>
      </c>
      <c r="U20" s="97" t="n">
        <v>44302</v>
      </c>
      <c r="V20" s="98" t="n">
        <v>0.06408999999999999</v>
      </c>
    </row>
    <row r="21">
      <c r="A21" s="9" t="inlineStr">
        <is>
          <t>Obligations de l'État de Côte d'Ivoire à 10 ans (moyenne annuelle des cotations)</t>
        </is>
      </c>
      <c r="B21" s="30" t="inlineStr">
        <is>
          <t>%</t>
        </is>
      </c>
      <c r="C21" s="33">
        <f>IFERROR(AVERAGEIFS($V$5:$V$1353,$T$5:$T$1353,2021),"")</f>
        <v/>
      </c>
      <c r="D21" s="33">
        <f>IFERROR(AVERAGEIFS($V$5:$V$1353,$T$5:$T$1353,2022),"")</f>
        <v/>
      </c>
      <c r="E21" s="33">
        <f>IFERROR(AVERAGEIFS($V$5:$V$1353,$T$5:$T$1353,2023),"")</f>
        <v/>
      </c>
      <c r="F21" s="33">
        <f>IFERROR(AVERAGEIFS($V$5:$V$1353,$T$5:$T$1353,2024),"")</f>
        <v/>
      </c>
      <c r="G21" s="33">
        <f>IFERROR(AVERAGEIFS($V$5:$V$1353,$T$5:$T$1353,2025),"")</f>
        <v/>
      </c>
      <c r="H21" s="33">
        <f>IFERROR(AVERAGEIFS($V$5:$V$1353,$T$5:$T$1353,2026),"")</f>
        <v/>
      </c>
      <c r="I21" s="93">
        <f>V1353</f>
        <v/>
      </c>
      <c r="J21" s="30" t="inlineStr">
        <is>
          <t>19/10/2026</t>
        </is>
      </c>
      <c r="K21" s="36" t="n">
        <v>1349</v>
      </c>
      <c r="M21" s="9" t="inlineStr">
        <is>
          <t>Investing.com, « Rendement de l'Obligation Cote d'Ivoire 10-Year - Données Historiques », export du 19/10/2026 (colonnes T à V)</t>
        </is>
      </c>
      <c r="P21" s="27">
        <f>YEAR(Q21)</f>
        <v/>
      </c>
      <c r="Q21" s="95" t="n">
        <v>44305</v>
      </c>
      <c r="R21" s="96" t="n">
        <v>0.05941</v>
      </c>
      <c r="T21" s="27">
        <f>YEAR(U21)</f>
        <v/>
      </c>
      <c r="U21" s="95" t="n">
        <v>44305</v>
      </c>
      <c r="V21" s="96" t="n">
        <v>0.06376</v>
      </c>
    </row>
    <row r="22">
      <c r="A22" s="27" t="inlineStr">
        <is>
          <t>RL6 : taux brut de rentabilité des placements (rappel)</t>
        </is>
      </c>
      <c r="B22" s="28" t="inlineStr">
        <is>
          <t>%</t>
        </is>
      </c>
      <c r="C22" s="32">
        <f>C11</f>
        <v/>
      </c>
      <c r="D22" s="32">
        <f>D11</f>
        <v/>
      </c>
      <c r="E22" s="32">
        <f>E11</f>
        <v/>
      </c>
      <c r="F22" s="32">
        <f>F11</f>
        <v/>
      </c>
      <c r="G22" s="32">
        <f>G11</f>
        <v/>
      </c>
      <c r="H22" s="28" t="n"/>
      <c r="I22" s="28" t="n"/>
      <c r="J22" s="28" t="n"/>
      <c r="K22" s="28" t="n"/>
      <c r="P22" s="27">
        <f>YEAR(Q22)</f>
        <v/>
      </c>
      <c r="Q22" s="97" t="n">
        <v>44306</v>
      </c>
      <c r="R22" s="98" t="n">
        <v>0.05941</v>
      </c>
      <c r="T22" s="27">
        <f>YEAR(U22)</f>
        <v/>
      </c>
      <c r="U22" s="97" t="n">
        <v>44306</v>
      </c>
      <c r="V22" s="98" t="n">
        <v>0.06376</v>
      </c>
    </row>
    <row r="23">
      <c r="A23" s="27" t="inlineStr">
        <is>
          <t>Statut de RL6 face aux obligations de l'État à 5 ans</t>
        </is>
      </c>
      <c r="B23" s="30" t="n"/>
      <c r="C23" s="86">
        <f>IF(C20="","",IF(C22&gt;=C20,"Conforme","Non conforme"))</f>
        <v/>
      </c>
      <c r="D23" s="86">
        <f>IF(D20="","",IF(D22&gt;=D20,"Conforme","Non conforme"))</f>
        <v/>
      </c>
      <c r="E23" s="86">
        <f>IF(E20="","",IF(E22&gt;=E20,"Conforme","Non conforme"))</f>
        <v/>
      </c>
      <c r="F23" s="86">
        <f>IF(F20="","",IF(F22&gt;=F20,"Conforme","Non conforme"))</f>
        <v/>
      </c>
      <c r="G23" s="86">
        <f>IF(G20="","",IF(G22&gt;=G20,"Conforme","Non conforme"))</f>
        <v/>
      </c>
      <c r="H23" s="30" t="n"/>
      <c r="I23" s="30" t="n"/>
      <c r="J23" s="30" t="n"/>
      <c r="K23" s="30" t="n"/>
      <c r="P23" s="27">
        <f>YEAR(Q23)</f>
        <v/>
      </c>
      <c r="Q23" s="95" t="n">
        <v>44307</v>
      </c>
      <c r="R23" s="96" t="n">
        <v>0.05974</v>
      </c>
      <c r="T23" s="27">
        <f>YEAR(U23)</f>
        <v/>
      </c>
      <c r="U23" s="95" t="n">
        <v>44307</v>
      </c>
      <c r="V23" s="96" t="n">
        <v>0.06367</v>
      </c>
    </row>
    <row r="24">
      <c r="A24" s="9" t="inlineStr">
        <is>
          <t>Écart entre les obligations de l'État à 5 ans (dernière valeur) et le taux servi de 3,5 %</t>
        </is>
      </c>
      <c r="B24" s="28" t="inlineStr">
        <is>
          <t>%</t>
        </is>
      </c>
      <c r="C24" s="94">
        <f>I20-C15</f>
        <v/>
      </c>
      <c r="D24" s="28" t="n"/>
      <c r="E24" s="28" t="n"/>
      <c r="F24" s="28" t="n"/>
      <c r="G24" s="28" t="n"/>
      <c r="H24" s="28" t="n"/>
      <c r="I24" s="28" t="n"/>
      <c r="J24" s="28" t="n"/>
      <c r="K24" s="28" t="n"/>
      <c r="P24" s="27">
        <f>YEAR(Q24)</f>
        <v/>
      </c>
      <c r="Q24" s="97" t="n">
        <v>44308</v>
      </c>
      <c r="R24" s="98" t="n">
        <v>0.05939</v>
      </c>
      <c r="T24" s="27">
        <f>YEAR(U24)</f>
        <v/>
      </c>
      <c r="U24" s="97" t="n">
        <v>44308</v>
      </c>
      <c r="V24" s="98" t="n">
        <v>0.06390999999999999</v>
      </c>
    </row>
    <row r="25">
      <c r="P25" s="27">
        <f>YEAR(Q25)</f>
        <v/>
      </c>
      <c r="Q25" s="95" t="n">
        <v>44309</v>
      </c>
      <c r="R25" s="96" t="n">
        <v>0.0594</v>
      </c>
      <c r="T25" s="27">
        <f>YEAR(U25)</f>
        <v/>
      </c>
      <c r="U25" s="95" t="n">
        <v>44309</v>
      </c>
      <c r="V25" s="96" t="n">
        <v>0.06390999999999999</v>
      </c>
    </row>
    <row r="26">
      <c r="P26" s="27">
        <f>YEAR(Q26)</f>
        <v/>
      </c>
      <c r="Q26" s="97" t="n">
        <v>44312</v>
      </c>
      <c r="R26" s="98" t="n">
        <v>0.05934999999999999</v>
      </c>
      <c r="T26" s="27">
        <f>YEAR(U26)</f>
        <v/>
      </c>
      <c r="U26" s="97" t="n">
        <v>44312</v>
      </c>
      <c r="V26" s="98" t="n">
        <v>0.06280000000000001</v>
      </c>
    </row>
    <row r="27">
      <c r="P27" s="27">
        <f>YEAR(Q27)</f>
        <v/>
      </c>
      <c r="Q27" s="95" t="n">
        <v>44313</v>
      </c>
      <c r="R27" s="96" t="n">
        <v>0.0594</v>
      </c>
      <c r="T27" s="27">
        <f>YEAR(U27)</f>
        <v/>
      </c>
      <c r="U27" s="95" t="n">
        <v>44313</v>
      </c>
      <c r="V27" s="96" t="n">
        <v>0.06358</v>
      </c>
    </row>
    <row r="28">
      <c r="P28" s="27">
        <f>YEAR(Q28)</f>
        <v/>
      </c>
      <c r="Q28" s="97" t="n">
        <v>44314</v>
      </c>
      <c r="R28" s="98" t="n">
        <v>0.05881</v>
      </c>
      <c r="T28" s="27">
        <f>YEAR(U28)</f>
        <v/>
      </c>
      <c r="U28" s="97" t="n">
        <v>44314</v>
      </c>
      <c r="V28" s="98" t="n">
        <v>0.06352000000000001</v>
      </c>
    </row>
    <row r="29">
      <c r="P29" s="27">
        <f>YEAR(Q29)</f>
        <v/>
      </c>
      <c r="Q29" s="95" t="n">
        <v>44315</v>
      </c>
      <c r="R29" s="96" t="n">
        <v>0.05881</v>
      </c>
      <c r="T29" s="27">
        <f>YEAR(U29)</f>
        <v/>
      </c>
      <c r="U29" s="95" t="n">
        <v>44315</v>
      </c>
      <c r="V29" s="96" t="n">
        <v>0.06256</v>
      </c>
    </row>
    <row r="30">
      <c r="P30" s="27">
        <f>YEAR(Q30)</f>
        <v/>
      </c>
      <c r="Q30" s="97" t="n">
        <v>44316</v>
      </c>
      <c r="R30" s="98" t="n">
        <v>0.05838</v>
      </c>
      <c r="T30" s="27">
        <f>YEAR(U30)</f>
        <v/>
      </c>
      <c r="U30" s="97" t="n">
        <v>44316</v>
      </c>
      <c r="V30" s="98" t="n">
        <v>0.06256</v>
      </c>
    </row>
    <row r="31">
      <c r="P31" s="27">
        <f>YEAR(Q31)</f>
        <v/>
      </c>
      <c r="Q31" s="95" t="n">
        <v>44319</v>
      </c>
      <c r="R31" s="96" t="n">
        <v>0.06034</v>
      </c>
      <c r="T31" s="27">
        <f>YEAR(U31)</f>
        <v/>
      </c>
      <c r="U31" s="95" t="n">
        <v>44319</v>
      </c>
      <c r="V31" s="96" t="n">
        <v>0.06399000000000001</v>
      </c>
    </row>
    <row r="32">
      <c r="P32" s="27">
        <f>YEAR(Q32)</f>
        <v/>
      </c>
      <c r="Q32" s="97" t="n">
        <v>44320</v>
      </c>
      <c r="R32" s="98" t="n">
        <v>0.05837</v>
      </c>
      <c r="T32" s="27">
        <f>YEAR(U32)</f>
        <v/>
      </c>
      <c r="U32" s="97" t="n">
        <v>44320</v>
      </c>
      <c r="V32" s="98" t="n">
        <v>0.06256</v>
      </c>
    </row>
    <row r="33">
      <c r="P33" s="27">
        <f>YEAR(Q33)</f>
        <v/>
      </c>
      <c r="Q33" s="95" t="n">
        <v>44321</v>
      </c>
      <c r="R33" s="96" t="n">
        <v>0.05950999999999999</v>
      </c>
      <c r="T33" s="27">
        <f>YEAR(U33)</f>
        <v/>
      </c>
      <c r="U33" s="95" t="n">
        <v>44321</v>
      </c>
      <c r="V33" s="96" t="n">
        <v>0.06256</v>
      </c>
    </row>
    <row r="34">
      <c r="P34" s="27">
        <f>YEAR(Q34)</f>
        <v/>
      </c>
      <c r="Q34" s="97" t="n">
        <v>44322</v>
      </c>
      <c r="R34" s="98" t="n">
        <v>0.05950999999999999</v>
      </c>
      <c r="T34" s="27">
        <f>YEAR(U34)</f>
        <v/>
      </c>
      <c r="U34" s="97" t="n">
        <v>44322</v>
      </c>
      <c r="V34" s="98" t="n">
        <v>0.06256</v>
      </c>
    </row>
    <row r="35">
      <c r="P35" s="27">
        <f>YEAR(Q35)</f>
        <v/>
      </c>
      <c r="Q35" s="95" t="n">
        <v>44323</v>
      </c>
      <c r="R35" s="96" t="n">
        <v>0.05947</v>
      </c>
      <c r="T35" s="27">
        <f>YEAR(U35)</f>
        <v/>
      </c>
      <c r="U35" s="95" t="n">
        <v>44323</v>
      </c>
      <c r="V35" s="96" t="n">
        <v>0.06256</v>
      </c>
    </row>
    <row r="36">
      <c r="P36" s="27">
        <f>YEAR(Q36)</f>
        <v/>
      </c>
      <c r="Q36" s="97" t="n">
        <v>44327</v>
      </c>
      <c r="R36" s="98" t="n">
        <v>0.05947</v>
      </c>
      <c r="T36" s="27">
        <f>YEAR(U36)</f>
        <v/>
      </c>
      <c r="U36" s="97" t="n">
        <v>44327</v>
      </c>
      <c r="V36" s="98" t="n">
        <v>0.06256</v>
      </c>
    </row>
    <row r="37">
      <c r="P37" s="27">
        <f>YEAR(Q37)</f>
        <v/>
      </c>
      <c r="Q37" s="95" t="n">
        <v>44328</v>
      </c>
      <c r="R37" s="96" t="n">
        <v>0.05947</v>
      </c>
      <c r="T37" s="27">
        <f>YEAR(U37)</f>
        <v/>
      </c>
      <c r="U37" s="95" t="n">
        <v>44328</v>
      </c>
      <c r="V37" s="96" t="n">
        <v>0.06227000000000001</v>
      </c>
    </row>
    <row r="38">
      <c r="P38" s="27">
        <f>YEAR(Q38)</f>
        <v/>
      </c>
      <c r="Q38" s="97" t="n">
        <v>44330</v>
      </c>
      <c r="R38" s="98" t="n">
        <v>0.05947</v>
      </c>
      <c r="T38" s="27">
        <f>YEAR(U38)</f>
        <v/>
      </c>
      <c r="U38" s="97" t="n">
        <v>44330</v>
      </c>
      <c r="V38" s="98" t="n">
        <v>0.06256</v>
      </c>
    </row>
    <row r="39">
      <c r="P39" s="27">
        <f>YEAR(Q39)</f>
        <v/>
      </c>
      <c r="Q39" s="95" t="n">
        <v>44333</v>
      </c>
      <c r="R39" s="96" t="n">
        <v>0.06042</v>
      </c>
      <c r="T39" s="27">
        <f>YEAR(U39)</f>
        <v/>
      </c>
      <c r="U39" s="95" t="n">
        <v>44333</v>
      </c>
      <c r="V39" s="96" t="n">
        <v>0.06399000000000001</v>
      </c>
    </row>
    <row r="40">
      <c r="P40" s="27">
        <f>YEAR(Q40)</f>
        <v/>
      </c>
      <c r="Q40" s="97" t="n">
        <v>44334</v>
      </c>
      <c r="R40" s="98" t="n">
        <v>0.05947</v>
      </c>
      <c r="T40" s="27">
        <f>YEAR(U40)</f>
        <v/>
      </c>
      <c r="U40" s="97" t="n">
        <v>44334</v>
      </c>
      <c r="V40" s="98" t="n">
        <v>0.06256</v>
      </c>
    </row>
    <row r="41">
      <c r="P41" s="27">
        <f>YEAR(Q41)</f>
        <v/>
      </c>
      <c r="Q41" s="95" t="n">
        <v>44335</v>
      </c>
      <c r="R41" s="96" t="n">
        <v>0.06041000000000001</v>
      </c>
      <c r="T41" s="27">
        <f>YEAR(U41)</f>
        <v/>
      </c>
      <c r="U41" s="95" t="n">
        <v>44335</v>
      </c>
      <c r="V41" s="96" t="n">
        <v>0.06256</v>
      </c>
    </row>
    <row r="42">
      <c r="P42" s="27">
        <f>YEAR(Q42)</f>
        <v/>
      </c>
      <c r="Q42" s="97" t="n">
        <v>44336</v>
      </c>
      <c r="R42" s="98" t="n">
        <v>0.06041000000000001</v>
      </c>
      <c r="T42" s="27">
        <f>YEAR(U42)</f>
        <v/>
      </c>
      <c r="U42" s="97" t="n">
        <v>44336</v>
      </c>
      <c r="V42" s="98" t="n">
        <v>0.06256</v>
      </c>
    </row>
    <row r="43">
      <c r="P43" s="27">
        <f>YEAR(Q43)</f>
        <v/>
      </c>
      <c r="Q43" s="95" t="n">
        <v>44337</v>
      </c>
      <c r="R43" s="96" t="n">
        <v>0.05947</v>
      </c>
      <c r="T43" s="27">
        <f>YEAR(U43)</f>
        <v/>
      </c>
      <c r="U43" s="95" t="n">
        <v>44337</v>
      </c>
      <c r="V43" s="96" t="n">
        <v>0.06256</v>
      </c>
    </row>
    <row r="44">
      <c r="P44" s="27">
        <f>YEAR(Q44)</f>
        <v/>
      </c>
      <c r="Q44" s="97" t="n">
        <v>44341</v>
      </c>
      <c r="R44" s="98" t="n">
        <v>0.05947</v>
      </c>
      <c r="T44" s="27">
        <f>YEAR(U44)</f>
        <v/>
      </c>
      <c r="U44" s="97" t="n">
        <v>44341</v>
      </c>
      <c r="V44" s="98" t="n">
        <v>0.06256</v>
      </c>
    </row>
    <row r="45">
      <c r="P45" s="27">
        <f>YEAR(Q45)</f>
        <v/>
      </c>
      <c r="Q45" s="95" t="n">
        <v>44342</v>
      </c>
      <c r="R45" s="96" t="n">
        <v>0.05947</v>
      </c>
      <c r="T45" s="27">
        <f>YEAR(U45)</f>
        <v/>
      </c>
      <c r="U45" s="95" t="n">
        <v>44342</v>
      </c>
      <c r="V45" s="96" t="n">
        <v>0.06256</v>
      </c>
    </row>
    <row r="46">
      <c r="P46" s="27">
        <f>YEAR(Q46)</f>
        <v/>
      </c>
      <c r="Q46" s="97" t="n">
        <v>44343</v>
      </c>
      <c r="R46" s="98" t="n">
        <v>0.05947</v>
      </c>
      <c r="T46" s="27">
        <f>YEAR(U46)</f>
        <v/>
      </c>
      <c r="U46" s="97" t="n">
        <v>44343</v>
      </c>
      <c r="V46" s="98" t="n">
        <v>0.06227000000000001</v>
      </c>
    </row>
    <row r="47">
      <c r="P47" s="27">
        <f>YEAR(Q47)</f>
        <v/>
      </c>
      <c r="Q47" s="95" t="n">
        <v>44344</v>
      </c>
      <c r="R47" s="96" t="n">
        <v>0.05947</v>
      </c>
      <c r="T47" s="27">
        <f>YEAR(U47)</f>
        <v/>
      </c>
      <c r="U47" s="95" t="n">
        <v>44344</v>
      </c>
      <c r="V47" s="96" t="n">
        <v>0.06227000000000001</v>
      </c>
    </row>
    <row r="48">
      <c r="P48" s="27">
        <f>YEAR(Q48)</f>
        <v/>
      </c>
      <c r="Q48" s="97" t="n">
        <v>44347</v>
      </c>
      <c r="R48" s="98" t="n">
        <v>0.06052</v>
      </c>
      <c r="T48" s="27">
        <f>YEAR(U48)</f>
        <v/>
      </c>
      <c r="U48" s="97" t="n">
        <v>44347</v>
      </c>
      <c r="V48" s="98" t="n">
        <v>0.06227000000000001</v>
      </c>
    </row>
    <row r="49">
      <c r="P49" s="27">
        <f>YEAR(Q49)</f>
        <v/>
      </c>
      <c r="Q49" s="95" t="n">
        <v>44348</v>
      </c>
      <c r="R49" s="96" t="n">
        <v>0.05947</v>
      </c>
      <c r="T49" s="27">
        <f>YEAR(U49)</f>
        <v/>
      </c>
      <c r="U49" s="95" t="n">
        <v>44348</v>
      </c>
      <c r="V49" s="96" t="n">
        <v>0.06227000000000001</v>
      </c>
    </row>
    <row r="50">
      <c r="P50" s="27">
        <f>YEAR(Q50)</f>
        <v/>
      </c>
      <c r="Q50" s="97" t="n">
        <v>44349</v>
      </c>
      <c r="R50" s="98" t="n">
        <v>0.05947</v>
      </c>
      <c r="T50" s="27">
        <f>YEAR(U50)</f>
        <v/>
      </c>
      <c r="U50" s="97" t="n">
        <v>44349</v>
      </c>
      <c r="V50" s="98" t="n">
        <v>0.06227000000000001</v>
      </c>
    </row>
    <row r="51">
      <c r="P51" s="27">
        <f>YEAR(Q51)</f>
        <v/>
      </c>
      <c r="Q51" s="95" t="n">
        <v>44350</v>
      </c>
      <c r="R51" s="96" t="n">
        <v>0.05947</v>
      </c>
      <c r="T51" s="27">
        <f>YEAR(U51)</f>
        <v/>
      </c>
      <c r="U51" s="95" t="n">
        <v>44350</v>
      </c>
      <c r="V51" s="96" t="n">
        <v>0.06227000000000001</v>
      </c>
    </row>
    <row r="52">
      <c r="P52" s="27">
        <f>YEAR(Q52)</f>
        <v/>
      </c>
      <c r="Q52" s="97" t="n">
        <v>44351</v>
      </c>
      <c r="R52" s="98" t="n">
        <v>0.05947</v>
      </c>
      <c r="T52" s="27">
        <f>YEAR(U52)</f>
        <v/>
      </c>
      <c r="U52" s="97" t="n">
        <v>44351</v>
      </c>
      <c r="V52" s="98" t="n">
        <v>0.06227000000000001</v>
      </c>
    </row>
    <row r="53">
      <c r="P53" s="27">
        <f>YEAR(Q53)</f>
        <v/>
      </c>
      <c r="Q53" s="95" t="n">
        <v>44354</v>
      </c>
      <c r="R53" s="96" t="n">
        <v>0.05947</v>
      </c>
      <c r="T53" s="27">
        <f>YEAR(U53)</f>
        <v/>
      </c>
      <c r="U53" s="95" t="n">
        <v>44354</v>
      </c>
      <c r="V53" s="96" t="n">
        <v>0.06227000000000001</v>
      </c>
    </row>
    <row r="54">
      <c r="P54" s="27">
        <f>YEAR(Q54)</f>
        <v/>
      </c>
      <c r="Q54" s="97" t="n">
        <v>44355</v>
      </c>
      <c r="R54" s="98" t="n">
        <v>0.05947</v>
      </c>
      <c r="T54" s="27">
        <f>YEAR(U54)</f>
        <v/>
      </c>
      <c r="U54" s="97" t="n">
        <v>44355</v>
      </c>
      <c r="V54" s="98" t="n">
        <v>0.06227000000000001</v>
      </c>
    </row>
    <row r="55">
      <c r="P55" s="27">
        <f>YEAR(Q55)</f>
        <v/>
      </c>
      <c r="Q55" s="95" t="n">
        <v>44356</v>
      </c>
      <c r="R55" s="96" t="n">
        <v>0.05947</v>
      </c>
      <c r="T55" s="27">
        <f>YEAR(U55)</f>
        <v/>
      </c>
      <c r="U55" s="95" t="n">
        <v>44356</v>
      </c>
      <c r="V55" s="96" t="n">
        <v>0.06227000000000001</v>
      </c>
    </row>
    <row r="56">
      <c r="P56" s="27">
        <f>YEAR(Q56)</f>
        <v/>
      </c>
      <c r="Q56" s="97" t="n">
        <v>44357</v>
      </c>
      <c r="R56" s="98" t="n">
        <v>0.06073000000000001</v>
      </c>
      <c r="T56" s="27">
        <f>YEAR(U56)</f>
        <v/>
      </c>
      <c r="U56" s="97" t="n">
        <v>44357</v>
      </c>
      <c r="V56" s="98" t="n">
        <v>0.06227000000000001</v>
      </c>
    </row>
    <row r="57">
      <c r="P57" s="27">
        <f>YEAR(Q57)</f>
        <v/>
      </c>
      <c r="Q57" s="95" t="n">
        <v>44358</v>
      </c>
      <c r="R57" s="96" t="n">
        <v>0.05947</v>
      </c>
      <c r="T57" s="27">
        <f>YEAR(U57)</f>
        <v/>
      </c>
      <c r="U57" s="95" t="n">
        <v>44358</v>
      </c>
      <c r="V57" s="96" t="n">
        <v>0.06227000000000001</v>
      </c>
    </row>
    <row r="58">
      <c r="P58" s="27">
        <f>YEAR(Q58)</f>
        <v/>
      </c>
      <c r="Q58" s="97" t="n">
        <v>44361</v>
      </c>
      <c r="R58" s="98" t="n">
        <v>0.05947</v>
      </c>
      <c r="T58" s="27">
        <f>YEAR(U58)</f>
        <v/>
      </c>
      <c r="U58" s="97" t="n">
        <v>44361</v>
      </c>
      <c r="V58" s="98" t="n">
        <v>0.06227000000000001</v>
      </c>
    </row>
    <row r="59">
      <c r="P59" s="27">
        <f>YEAR(Q59)</f>
        <v/>
      </c>
      <c r="Q59" s="95" t="n">
        <v>44362</v>
      </c>
      <c r="R59" s="96" t="n">
        <v>0.05947</v>
      </c>
      <c r="T59" s="27">
        <f>YEAR(U59)</f>
        <v/>
      </c>
      <c r="U59" s="95" t="n">
        <v>44362</v>
      </c>
      <c r="V59" s="96" t="n">
        <v>0.06227000000000001</v>
      </c>
    </row>
    <row r="60">
      <c r="P60" s="27">
        <f>YEAR(Q60)</f>
        <v/>
      </c>
      <c r="Q60" s="97" t="n">
        <v>44363</v>
      </c>
      <c r="R60" s="98" t="n">
        <v>0.05824</v>
      </c>
      <c r="T60" s="27">
        <f>YEAR(U60)</f>
        <v/>
      </c>
      <c r="U60" s="97" t="n">
        <v>44363</v>
      </c>
      <c r="V60" s="98" t="n">
        <v>0.06286</v>
      </c>
    </row>
    <row r="61">
      <c r="P61" s="27">
        <f>YEAR(Q61)</f>
        <v/>
      </c>
      <c r="Q61" s="95" t="n">
        <v>44364</v>
      </c>
      <c r="R61" s="96" t="n">
        <v>0.05894</v>
      </c>
      <c r="T61" s="27">
        <f>YEAR(U61)</f>
        <v/>
      </c>
      <c r="U61" s="95" t="n">
        <v>44364</v>
      </c>
      <c r="V61" s="96" t="n">
        <v>0.06263000000000001</v>
      </c>
    </row>
    <row r="62">
      <c r="P62" s="27">
        <f>YEAR(Q62)</f>
        <v/>
      </c>
      <c r="Q62" s="97" t="n">
        <v>44365</v>
      </c>
      <c r="R62" s="98" t="n">
        <v>0.05894</v>
      </c>
      <c r="T62" s="27">
        <f>YEAR(U62)</f>
        <v/>
      </c>
      <c r="U62" s="97" t="n">
        <v>44365</v>
      </c>
      <c r="V62" s="98" t="n">
        <v>0.06311</v>
      </c>
    </row>
    <row r="63">
      <c r="P63" s="27">
        <f>YEAR(Q63)</f>
        <v/>
      </c>
      <c r="Q63" s="95" t="n">
        <v>44368</v>
      </c>
      <c r="R63" s="96" t="n">
        <v>0.0555</v>
      </c>
      <c r="T63" s="27">
        <f>YEAR(U63)</f>
        <v/>
      </c>
      <c r="U63" s="95" t="n">
        <v>44368</v>
      </c>
      <c r="V63" s="96" t="n">
        <v>0.06143</v>
      </c>
    </row>
    <row r="64">
      <c r="P64" s="27">
        <f>YEAR(Q64)</f>
        <v/>
      </c>
      <c r="Q64" s="97" t="n">
        <v>44370</v>
      </c>
      <c r="R64" s="98" t="n">
        <v>0.057</v>
      </c>
      <c r="T64" s="27">
        <f>YEAR(U64)</f>
        <v/>
      </c>
      <c r="U64" s="97" t="n">
        <v>44370</v>
      </c>
      <c r="V64" s="98" t="n">
        <v>0.06293</v>
      </c>
    </row>
    <row r="65">
      <c r="P65" s="27">
        <f>YEAR(Q65)</f>
        <v/>
      </c>
      <c r="Q65" s="95" t="n">
        <v>44371</v>
      </c>
      <c r="R65" s="96" t="n">
        <v>0.057</v>
      </c>
      <c r="T65" s="27">
        <f>YEAR(U65)</f>
        <v/>
      </c>
      <c r="U65" s="95" t="n">
        <v>44371</v>
      </c>
      <c r="V65" s="96" t="n">
        <v>0.06293</v>
      </c>
    </row>
    <row r="66">
      <c r="P66" s="27">
        <f>YEAR(Q66)</f>
        <v/>
      </c>
      <c r="Q66" s="97" t="n">
        <v>44372</v>
      </c>
      <c r="R66" s="98" t="n">
        <v>0.057</v>
      </c>
      <c r="T66" s="27">
        <f>YEAR(U66)</f>
        <v/>
      </c>
      <c r="U66" s="97" t="n">
        <v>44372</v>
      </c>
      <c r="V66" s="98" t="n">
        <v>0.06293</v>
      </c>
    </row>
    <row r="67">
      <c r="P67" s="27">
        <f>YEAR(Q67)</f>
        <v/>
      </c>
      <c r="Q67" s="95" t="n">
        <v>44375</v>
      </c>
      <c r="R67" s="96" t="n">
        <v>0.05883</v>
      </c>
      <c r="T67" s="27">
        <f>YEAR(U67)</f>
        <v/>
      </c>
      <c r="U67" s="95" t="n">
        <v>44375</v>
      </c>
      <c r="V67" s="96" t="n">
        <v>0.06275</v>
      </c>
    </row>
    <row r="68">
      <c r="P68" s="27">
        <f>YEAR(Q68)</f>
        <v/>
      </c>
      <c r="Q68" s="97" t="n">
        <v>44376</v>
      </c>
      <c r="R68" s="98" t="n">
        <v>0.05849</v>
      </c>
      <c r="T68" s="27">
        <f>YEAR(U68)</f>
        <v/>
      </c>
      <c r="U68" s="97" t="n">
        <v>44376</v>
      </c>
      <c r="V68" s="98" t="n">
        <v>0.0623</v>
      </c>
    </row>
    <row r="69">
      <c r="P69" s="27">
        <f>YEAR(Q69)</f>
        <v/>
      </c>
      <c r="Q69" s="95" t="n">
        <v>44377</v>
      </c>
      <c r="R69" s="96" t="n">
        <v>0.06037</v>
      </c>
      <c r="T69" s="27">
        <f>YEAR(U69)</f>
        <v/>
      </c>
      <c r="U69" s="95" t="n">
        <v>44377</v>
      </c>
      <c r="V69" s="96" t="n">
        <v>0.0626</v>
      </c>
    </row>
    <row r="70">
      <c r="P70" s="27">
        <f>YEAR(Q70)</f>
        <v/>
      </c>
      <c r="Q70" s="97" t="n">
        <v>44378</v>
      </c>
      <c r="R70" s="98" t="n">
        <v>0.05965</v>
      </c>
      <c r="T70" s="27">
        <f>YEAR(U70)</f>
        <v/>
      </c>
      <c r="U70" s="97" t="n">
        <v>44378</v>
      </c>
      <c r="V70" s="98" t="n">
        <v>0.06223</v>
      </c>
    </row>
    <row r="71">
      <c r="P71" s="27">
        <f>YEAR(Q71)</f>
        <v/>
      </c>
      <c r="Q71" s="95" t="n">
        <v>44379</v>
      </c>
      <c r="R71" s="96" t="n">
        <v>0.05965</v>
      </c>
      <c r="T71" s="27">
        <f>YEAR(U71)</f>
        <v/>
      </c>
      <c r="U71" s="95" t="n">
        <v>44379</v>
      </c>
      <c r="V71" s="96" t="n">
        <v>0.06223</v>
      </c>
    </row>
    <row r="72">
      <c r="P72" s="27">
        <f>YEAR(Q72)</f>
        <v/>
      </c>
      <c r="Q72" s="97" t="n">
        <v>44382</v>
      </c>
      <c r="R72" s="98" t="n">
        <v>0.05818</v>
      </c>
      <c r="T72" s="27">
        <f>YEAR(U72)</f>
        <v/>
      </c>
      <c r="U72" s="97" t="n">
        <v>44382</v>
      </c>
      <c r="V72" s="98" t="n">
        <v>0.06136</v>
      </c>
    </row>
    <row r="73">
      <c r="P73" s="27">
        <f>YEAR(Q73)</f>
        <v/>
      </c>
      <c r="Q73" s="95" t="n">
        <v>44383</v>
      </c>
      <c r="R73" s="96" t="n">
        <v>0.05861</v>
      </c>
      <c r="T73" s="27">
        <f>YEAR(U73)</f>
        <v/>
      </c>
      <c r="U73" s="95" t="n">
        <v>44383</v>
      </c>
      <c r="V73" s="96" t="n">
        <v>0.06171</v>
      </c>
    </row>
    <row r="74">
      <c r="P74" s="27">
        <f>YEAR(Q74)</f>
        <v/>
      </c>
      <c r="Q74" s="97" t="n">
        <v>44384</v>
      </c>
      <c r="R74" s="98" t="n">
        <v>0.05860000000000001</v>
      </c>
      <c r="T74" s="27">
        <f>YEAR(U74)</f>
        <v/>
      </c>
      <c r="U74" s="97" t="n">
        <v>44384</v>
      </c>
      <c r="V74" s="98" t="n">
        <v>0.06171</v>
      </c>
    </row>
    <row r="75">
      <c r="P75" s="27">
        <f>YEAR(Q75)</f>
        <v/>
      </c>
      <c r="Q75" s="95" t="n">
        <v>44385</v>
      </c>
      <c r="R75" s="96" t="n">
        <v>0.05975</v>
      </c>
      <c r="T75" s="27">
        <f>YEAR(U75)</f>
        <v/>
      </c>
      <c r="U75" s="95" t="n">
        <v>44385</v>
      </c>
      <c r="V75" s="96" t="n">
        <v>0.06223</v>
      </c>
    </row>
    <row r="76">
      <c r="P76" s="27">
        <f>YEAR(Q76)</f>
        <v/>
      </c>
      <c r="Q76" s="97" t="n">
        <v>44386</v>
      </c>
      <c r="R76" s="98" t="n">
        <v>0.05977</v>
      </c>
      <c r="T76" s="27">
        <f>YEAR(U76)</f>
        <v/>
      </c>
      <c r="U76" s="97" t="n">
        <v>44386</v>
      </c>
      <c r="V76" s="98" t="n">
        <v>0.06222</v>
      </c>
    </row>
    <row r="77">
      <c r="P77" s="27">
        <f>YEAR(Q77)</f>
        <v/>
      </c>
      <c r="Q77" s="95" t="n">
        <v>44389</v>
      </c>
      <c r="R77" s="96" t="n">
        <v>0.05857999999999999</v>
      </c>
      <c r="T77" s="27">
        <f>YEAR(U77)</f>
        <v/>
      </c>
      <c r="U77" s="95" t="n">
        <v>44389</v>
      </c>
      <c r="V77" s="96" t="n">
        <v>0.06209</v>
      </c>
    </row>
    <row r="78">
      <c r="P78" s="27">
        <f>YEAR(Q78)</f>
        <v/>
      </c>
      <c r="Q78" s="97" t="n">
        <v>44390</v>
      </c>
      <c r="R78" s="98" t="n">
        <v>0.05857999999999999</v>
      </c>
      <c r="T78" s="27">
        <f>YEAR(U78)</f>
        <v/>
      </c>
      <c r="U78" s="97" t="n">
        <v>44390</v>
      </c>
      <c r="V78" s="98" t="n">
        <v>0.06209</v>
      </c>
    </row>
    <row r="79">
      <c r="P79" s="27">
        <f>YEAR(Q79)</f>
        <v/>
      </c>
      <c r="Q79" s="95" t="n">
        <v>44391</v>
      </c>
      <c r="R79" s="96" t="n">
        <v>0.05857</v>
      </c>
      <c r="T79" s="27">
        <f>YEAR(U79)</f>
        <v/>
      </c>
      <c r="U79" s="95" t="n">
        <v>44391</v>
      </c>
      <c r="V79" s="96" t="n">
        <v>0.06208</v>
      </c>
    </row>
    <row r="80">
      <c r="P80" s="27">
        <f>YEAR(Q80)</f>
        <v/>
      </c>
      <c r="Q80" s="97" t="n">
        <v>44392</v>
      </c>
      <c r="R80" s="98" t="n">
        <v>0.05857</v>
      </c>
      <c r="T80" s="27">
        <f>YEAR(U80)</f>
        <v/>
      </c>
      <c r="U80" s="97" t="n">
        <v>44392</v>
      </c>
      <c r="V80" s="98" t="n">
        <v>0.06226</v>
      </c>
    </row>
    <row r="81">
      <c r="P81" s="27">
        <f>YEAR(Q81)</f>
        <v/>
      </c>
      <c r="Q81" s="95" t="n">
        <v>44393</v>
      </c>
      <c r="R81" s="96" t="n">
        <v>0.05857</v>
      </c>
      <c r="T81" s="27">
        <f>YEAR(U81)</f>
        <v/>
      </c>
      <c r="U81" s="95" t="n">
        <v>44393</v>
      </c>
      <c r="V81" s="96" t="n">
        <v>0.06226</v>
      </c>
    </row>
    <row r="82">
      <c r="P82" s="27">
        <f>YEAR(Q82)</f>
        <v/>
      </c>
      <c r="Q82" s="97" t="n">
        <v>44396</v>
      </c>
      <c r="R82" s="98" t="n">
        <v>0.05839</v>
      </c>
      <c r="T82" s="27">
        <f>YEAR(U82)</f>
        <v/>
      </c>
      <c r="U82" s="97" t="n">
        <v>44396</v>
      </c>
      <c r="V82" s="98" t="n">
        <v>0.06265999999999999</v>
      </c>
    </row>
    <row r="83">
      <c r="P83" s="27">
        <f>YEAR(Q83)</f>
        <v/>
      </c>
      <c r="Q83" s="95" t="n">
        <v>44398</v>
      </c>
      <c r="R83" s="96" t="n">
        <v>0.06048</v>
      </c>
      <c r="T83" s="27">
        <f>YEAR(U83)</f>
        <v/>
      </c>
      <c r="U83" s="95" t="n">
        <v>44398</v>
      </c>
      <c r="V83" s="96" t="n">
        <v>0.06280000000000001</v>
      </c>
    </row>
    <row r="84">
      <c r="P84" s="27">
        <f>YEAR(Q84)</f>
        <v/>
      </c>
      <c r="Q84" s="97" t="n">
        <v>44399</v>
      </c>
      <c r="R84" s="98" t="n">
        <v>0.05997</v>
      </c>
      <c r="T84" s="27">
        <f>YEAR(U84)</f>
        <v/>
      </c>
      <c r="U84" s="97" t="n">
        <v>44399</v>
      </c>
      <c r="V84" s="98" t="n">
        <v>0.06225</v>
      </c>
    </row>
    <row r="85">
      <c r="P85" s="27">
        <f>YEAR(Q85)</f>
        <v/>
      </c>
      <c r="Q85" s="95" t="n">
        <v>44400</v>
      </c>
      <c r="R85" s="96" t="n">
        <v>0.05853</v>
      </c>
      <c r="T85" s="27">
        <f>YEAR(U85)</f>
        <v/>
      </c>
      <c r="U85" s="95" t="n">
        <v>44400</v>
      </c>
      <c r="V85" s="96" t="n">
        <v>0.06225</v>
      </c>
    </row>
    <row r="86">
      <c r="P86" s="27">
        <f>YEAR(Q86)</f>
        <v/>
      </c>
      <c r="Q86" s="97" t="n">
        <v>44403</v>
      </c>
      <c r="R86" s="98" t="n">
        <v>0.06002</v>
      </c>
      <c r="T86" s="27">
        <f>YEAR(U86)</f>
        <v/>
      </c>
      <c r="U86" s="97" t="n">
        <v>44403</v>
      </c>
      <c r="V86" s="98" t="n">
        <v>0.06261</v>
      </c>
    </row>
    <row r="87">
      <c r="P87" s="27">
        <f>YEAR(Q87)</f>
        <v/>
      </c>
      <c r="Q87" s="95" t="n">
        <v>44404</v>
      </c>
      <c r="R87" s="96" t="n">
        <v>0.05905000000000001</v>
      </c>
      <c r="T87" s="27">
        <f>YEAR(U87)</f>
        <v/>
      </c>
      <c r="U87" s="95" t="n">
        <v>44404</v>
      </c>
      <c r="V87" s="96" t="n">
        <v>0.06306</v>
      </c>
    </row>
    <row r="88">
      <c r="P88" s="27">
        <f>YEAR(Q88)</f>
        <v/>
      </c>
      <c r="Q88" s="97" t="n">
        <v>44405</v>
      </c>
      <c r="R88" s="98" t="n">
        <v>0.05835</v>
      </c>
      <c r="T88" s="27">
        <f>YEAR(U88)</f>
        <v/>
      </c>
      <c r="U88" s="97" t="n">
        <v>44405</v>
      </c>
      <c r="V88" s="98" t="n">
        <v>0.06301999999999999</v>
      </c>
    </row>
    <row r="89">
      <c r="P89" s="27">
        <f>YEAR(Q89)</f>
        <v/>
      </c>
      <c r="Q89" s="95" t="n">
        <v>44406</v>
      </c>
      <c r="R89" s="96" t="n">
        <v>0.06007</v>
      </c>
      <c r="T89" s="27">
        <f>YEAR(U89)</f>
        <v/>
      </c>
      <c r="U89" s="95" t="n">
        <v>44406</v>
      </c>
      <c r="V89" s="96" t="n">
        <v>0.06287</v>
      </c>
    </row>
    <row r="90">
      <c r="P90" s="27">
        <f>YEAR(Q90)</f>
        <v/>
      </c>
      <c r="Q90" s="97" t="n">
        <v>44407</v>
      </c>
      <c r="R90" s="98" t="n">
        <v>0.06008</v>
      </c>
      <c r="T90" s="27">
        <f>YEAR(U90)</f>
        <v/>
      </c>
      <c r="U90" s="97" t="n">
        <v>44407</v>
      </c>
      <c r="V90" s="98" t="n">
        <v>0.06287</v>
      </c>
    </row>
    <row r="91">
      <c r="P91" s="27">
        <f>YEAR(Q91)</f>
        <v/>
      </c>
      <c r="Q91" s="95" t="n">
        <v>44410</v>
      </c>
      <c r="R91" s="96" t="n">
        <v>0.05824</v>
      </c>
      <c r="T91" s="27">
        <f>YEAR(U91)</f>
        <v/>
      </c>
      <c r="U91" s="95" t="n">
        <v>44410</v>
      </c>
      <c r="V91" s="96" t="n">
        <v>0.06317</v>
      </c>
    </row>
    <row r="92">
      <c r="P92" s="27">
        <f>YEAR(Q92)</f>
        <v/>
      </c>
      <c r="Q92" s="97" t="n">
        <v>44411</v>
      </c>
      <c r="R92" s="98" t="n">
        <v>0.05824</v>
      </c>
      <c r="T92" s="27">
        <f>YEAR(U92)</f>
        <v/>
      </c>
      <c r="U92" s="97" t="n">
        <v>44411</v>
      </c>
      <c r="V92" s="98" t="n">
        <v>0.06317</v>
      </c>
    </row>
    <row r="93">
      <c r="P93" s="27">
        <f>YEAR(Q93)</f>
        <v/>
      </c>
      <c r="Q93" s="95" t="n">
        <v>44413</v>
      </c>
      <c r="R93" s="96" t="n">
        <v>0.05860000000000001</v>
      </c>
      <c r="T93" s="27">
        <f>YEAR(U93)</f>
        <v/>
      </c>
      <c r="U93" s="95" t="n">
        <v>44412</v>
      </c>
      <c r="V93" s="96" t="n">
        <v>0.06287</v>
      </c>
    </row>
    <row r="94">
      <c r="P94" s="27">
        <f>YEAR(Q94)</f>
        <v/>
      </c>
      <c r="Q94" s="97" t="n">
        <v>44414</v>
      </c>
      <c r="R94" s="98" t="n">
        <v>0.05859</v>
      </c>
      <c r="T94" s="27">
        <f>YEAR(U94)</f>
        <v/>
      </c>
      <c r="U94" s="97" t="n">
        <v>44413</v>
      </c>
      <c r="V94" s="98" t="n">
        <v>0.06287</v>
      </c>
    </row>
    <row r="95">
      <c r="P95" s="27">
        <f>YEAR(Q95)</f>
        <v/>
      </c>
      <c r="Q95" s="95" t="n">
        <v>44417</v>
      </c>
      <c r="R95" s="96" t="n">
        <v>0.05857</v>
      </c>
      <c r="T95" s="27">
        <f>YEAR(U95)</f>
        <v/>
      </c>
      <c r="U95" s="95" t="n">
        <v>44414</v>
      </c>
      <c r="V95" s="96" t="n">
        <v>0.06287</v>
      </c>
    </row>
    <row r="96">
      <c r="P96" s="27">
        <f>YEAR(Q96)</f>
        <v/>
      </c>
      <c r="Q96" s="97" t="n">
        <v>44418</v>
      </c>
      <c r="R96" s="98" t="n">
        <v>0.05842</v>
      </c>
      <c r="T96" s="27">
        <f>YEAR(U96)</f>
        <v/>
      </c>
      <c r="U96" s="97" t="n">
        <v>44417</v>
      </c>
      <c r="V96" s="98" t="n">
        <v>0.06238</v>
      </c>
    </row>
    <row r="97">
      <c r="P97" s="27">
        <f>YEAR(Q97)</f>
        <v/>
      </c>
      <c r="Q97" s="95" t="n">
        <v>44419</v>
      </c>
      <c r="R97" s="96" t="n">
        <v>0.05833</v>
      </c>
      <c r="T97" s="27">
        <f>YEAR(U97)</f>
        <v/>
      </c>
      <c r="U97" s="95" t="n">
        <v>44418</v>
      </c>
      <c r="V97" s="96" t="n">
        <v>0.06317</v>
      </c>
    </row>
    <row r="98">
      <c r="P98" s="27">
        <f>YEAR(Q98)</f>
        <v/>
      </c>
      <c r="Q98" s="97" t="n">
        <v>44420</v>
      </c>
      <c r="R98" s="98" t="n">
        <v>0.05841</v>
      </c>
      <c r="T98" s="27">
        <f>YEAR(U98)</f>
        <v/>
      </c>
      <c r="U98" s="97" t="n">
        <v>44419</v>
      </c>
      <c r="V98" s="98" t="n">
        <v>0.06317</v>
      </c>
    </row>
    <row r="99">
      <c r="P99" s="27">
        <f>YEAR(Q99)</f>
        <v/>
      </c>
      <c r="Q99" s="95" t="n">
        <v>44421</v>
      </c>
      <c r="R99" s="96" t="n">
        <v>0.05841</v>
      </c>
      <c r="T99" s="27">
        <f>YEAR(U99)</f>
        <v/>
      </c>
      <c r="U99" s="95" t="n">
        <v>44420</v>
      </c>
      <c r="V99" s="96" t="n">
        <v>0.06317</v>
      </c>
    </row>
    <row r="100">
      <c r="P100" s="27">
        <f>YEAR(Q100)</f>
        <v/>
      </c>
      <c r="Q100" s="97" t="n">
        <v>44424</v>
      </c>
      <c r="R100" s="98" t="n">
        <v>0.05854</v>
      </c>
      <c r="T100" s="27">
        <f>YEAR(U100)</f>
        <v/>
      </c>
      <c r="U100" s="97" t="n">
        <v>44421</v>
      </c>
      <c r="V100" s="98" t="n">
        <v>0.0629</v>
      </c>
    </row>
    <row r="101">
      <c r="P101" s="27">
        <f>YEAR(Q101)</f>
        <v/>
      </c>
      <c r="Q101" s="95" t="n">
        <v>44425</v>
      </c>
      <c r="R101" s="96" t="n">
        <v>0.05854</v>
      </c>
      <c r="T101" s="27">
        <f>YEAR(U101)</f>
        <v/>
      </c>
      <c r="U101" s="95" t="n">
        <v>44424</v>
      </c>
      <c r="V101" s="96" t="n">
        <v>0.06262</v>
      </c>
    </row>
    <row r="102">
      <c r="P102" s="27">
        <f>YEAR(Q102)</f>
        <v/>
      </c>
      <c r="Q102" s="97" t="n">
        <v>44426</v>
      </c>
      <c r="R102" s="98" t="n">
        <v>0.0583</v>
      </c>
      <c r="T102" s="27">
        <f>YEAR(U102)</f>
        <v/>
      </c>
      <c r="U102" s="97" t="n">
        <v>44425</v>
      </c>
      <c r="V102" s="98" t="n">
        <v>0.06202</v>
      </c>
    </row>
    <row r="103">
      <c r="P103" s="27">
        <f>YEAR(Q103)</f>
        <v/>
      </c>
      <c r="Q103" s="95" t="n">
        <v>44427</v>
      </c>
      <c r="R103" s="96" t="n">
        <v>0.05834</v>
      </c>
      <c r="T103" s="27">
        <f>YEAR(U103)</f>
        <v/>
      </c>
      <c r="U103" s="95" t="n">
        <v>44426</v>
      </c>
      <c r="V103" s="96" t="n">
        <v>0.06274</v>
      </c>
    </row>
    <row r="104">
      <c r="P104" s="27">
        <f>YEAR(Q104)</f>
        <v/>
      </c>
      <c r="Q104" s="97" t="n">
        <v>44428</v>
      </c>
      <c r="R104" s="98" t="n">
        <v>0.05842</v>
      </c>
      <c r="T104" s="27">
        <f>YEAR(U104)</f>
        <v/>
      </c>
      <c r="U104" s="97" t="n">
        <v>44427</v>
      </c>
      <c r="V104" s="98" t="n">
        <v>0.06005</v>
      </c>
    </row>
    <row r="105">
      <c r="P105" s="27">
        <f>YEAR(Q105)</f>
        <v/>
      </c>
      <c r="Q105" s="95" t="n">
        <v>44431</v>
      </c>
      <c r="R105" s="96" t="n">
        <v>0.05851</v>
      </c>
      <c r="T105" s="27">
        <f>YEAR(U105)</f>
        <v/>
      </c>
      <c r="U105" s="95" t="n">
        <v>44428</v>
      </c>
      <c r="V105" s="96" t="n">
        <v>0.06219</v>
      </c>
    </row>
    <row r="106">
      <c r="P106" s="27">
        <f>YEAR(Q106)</f>
        <v/>
      </c>
      <c r="Q106" s="97" t="n">
        <v>44432</v>
      </c>
      <c r="R106" s="98" t="n">
        <v>0.05851</v>
      </c>
      <c r="T106" s="27">
        <f>YEAR(U106)</f>
        <v/>
      </c>
      <c r="U106" s="97" t="n">
        <v>44431</v>
      </c>
      <c r="V106" s="98" t="n">
        <v>0.06219</v>
      </c>
    </row>
    <row r="107">
      <c r="P107" s="27">
        <f>YEAR(Q107)</f>
        <v/>
      </c>
      <c r="Q107" s="95" t="n">
        <v>44433</v>
      </c>
      <c r="R107" s="96" t="n">
        <v>0.05851</v>
      </c>
      <c r="T107" s="27">
        <f>YEAR(U107)</f>
        <v/>
      </c>
      <c r="U107" s="95" t="n">
        <v>44432</v>
      </c>
      <c r="V107" s="96" t="n">
        <v>0.06218</v>
      </c>
    </row>
    <row r="108">
      <c r="P108" s="27">
        <f>YEAR(Q108)</f>
        <v/>
      </c>
      <c r="Q108" s="97" t="n">
        <v>44434</v>
      </c>
      <c r="R108" s="98" t="n">
        <v>0.05848</v>
      </c>
      <c r="T108" s="27">
        <f>YEAR(U108)</f>
        <v/>
      </c>
      <c r="U108" s="97" t="n">
        <v>44433</v>
      </c>
      <c r="V108" s="98" t="n">
        <v>0.062</v>
      </c>
    </row>
    <row r="109">
      <c r="P109" s="27">
        <f>YEAR(Q109)</f>
        <v/>
      </c>
      <c r="Q109" s="95" t="n">
        <v>44435</v>
      </c>
      <c r="R109" s="96" t="n">
        <v>0.0585</v>
      </c>
      <c r="T109" s="27">
        <f>YEAR(U109)</f>
        <v/>
      </c>
      <c r="U109" s="95" t="n">
        <v>44434</v>
      </c>
      <c r="V109" s="96" t="n">
        <v>0.062</v>
      </c>
    </row>
    <row r="110">
      <c r="P110" s="27">
        <f>YEAR(Q110)</f>
        <v/>
      </c>
      <c r="Q110" s="97" t="n">
        <v>44438</v>
      </c>
      <c r="R110" s="98" t="n">
        <v>0.05129</v>
      </c>
      <c r="T110" s="27">
        <f>YEAR(U110)</f>
        <v/>
      </c>
      <c r="U110" s="97" t="n">
        <v>44435</v>
      </c>
      <c r="V110" s="98" t="n">
        <v>0.06218</v>
      </c>
    </row>
    <row r="111">
      <c r="P111" s="27">
        <f>YEAR(Q111)</f>
        <v/>
      </c>
      <c r="Q111" s="95" t="n">
        <v>44439</v>
      </c>
      <c r="R111" s="96" t="n">
        <v>0.05588</v>
      </c>
      <c r="T111" s="27">
        <f>YEAR(U111)</f>
        <v/>
      </c>
      <c r="U111" s="95" t="n">
        <v>44438</v>
      </c>
      <c r="V111" s="96" t="n">
        <v>0.05575</v>
      </c>
    </row>
    <row r="112">
      <c r="P112" s="27">
        <f>YEAR(Q112)</f>
        <v/>
      </c>
      <c r="Q112" s="97" t="n">
        <v>44440</v>
      </c>
      <c r="R112" s="98" t="n">
        <v>0.05587</v>
      </c>
      <c r="T112" s="27">
        <f>YEAR(U112)</f>
        <v/>
      </c>
      <c r="U112" s="97" t="n">
        <v>44439</v>
      </c>
      <c r="V112" s="98" t="n">
        <v>0.06221</v>
      </c>
    </row>
    <row r="113">
      <c r="P113" s="27">
        <f>YEAR(Q113)</f>
        <v/>
      </c>
      <c r="Q113" s="95" t="n">
        <v>44441</v>
      </c>
      <c r="R113" s="96" t="n">
        <v>0.05586</v>
      </c>
      <c r="T113" s="27">
        <f>YEAR(U113)</f>
        <v/>
      </c>
      <c r="U113" s="95" t="n">
        <v>44440</v>
      </c>
      <c r="V113" s="96" t="n">
        <v>0.06221</v>
      </c>
    </row>
    <row r="114">
      <c r="P114" s="27">
        <f>YEAR(Q114)</f>
        <v/>
      </c>
      <c r="Q114" s="97" t="n">
        <v>44442</v>
      </c>
      <c r="R114" s="98" t="n">
        <v>0.05738000000000001</v>
      </c>
      <c r="T114" s="27">
        <f>YEAR(U114)</f>
        <v/>
      </c>
      <c r="U114" s="97" t="n">
        <v>44441</v>
      </c>
      <c r="V114" s="98" t="n">
        <v>0.06221</v>
      </c>
    </row>
    <row r="115">
      <c r="P115" s="27">
        <f>YEAR(Q115)</f>
        <v/>
      </c>
      <c r="Q115" s="95" t="n">
        <v>44445</v>
      </c>
      <c r="R115" s="96" t="n">
        <v>0.05763</v>
      </c>
      <c r="T115" s="27">
        <f>YEAR(U115)</f>
        <v/>
      </c>
      <c r="U115" s="95" t="n">
        <v>44442</v>
      </c>
      <c r="V115" s="96" t="n">
        <v>0.06232</v>
      </c>
    </row>
    <row r="116">
      <c r="P116" s="27">
        <f>YEAR(Q116)</f>
        <v/>
      </c>
      <c r="Q116" s="97" t="n">
        <v>44446</v>
      </c>
      <c r="R116" s="98" t="n">
        <v>0.05585</v>
      </c>
      <c r="T116" s="27">
        <f>YEAR(U116)</f>
        <v/>
      </c>
      <c r="U116" s="97" t="n">
        <v>44445</v>
      </c>
      <c r="V116" s="98" t="n">
        <v>0.0616</v>
      </c>
    </row>
    <row r="117">
      <c r="P117" s="27">
        <f>YEAR(Q117)</f>
        <v/>
      </c>
      <c r="Q117" s="95" t="n">
        <v>44447</v>
      </c>
      <c r="R117" s="96" t="n">
        <v>0.05741</v>
      </c>
      <c r="T117" s="27">
        <f>YEAR(U117)</f>
        <v/>
      </c>
      <c r="U117" s="95" t="n">
        <v>44446</v>
      </c>
      <c r="V117" s="96" t="n">
        <v>0.06232</v>
      </c>
    </row>
    <row r="118">
      <c r="P118" s="27">
        <f>YEAR(Q118)</f>
        <v/>
      </c>
      <c r="Q118" s="97" t="n">
        <v>44448</v>
      </c>
      <c r="R118" s="98" t="n">
        <v>0.05742</v>
      </c>
      <c r="T118" s="27">
        <f>YEAR(U118)</f>
        <v/>
      </c>
      <c r="U118" s="97" t="n">
        <v>44447</v>
      </c>
      <c r="V118" s="98" t="n">
        <v>0.06232</v>
      </c>
    </row>
    <row r="119">
      <c r="P119" s="27">
        <f>YEAR(Q119)</f>
        <v/>
      </c>
      <c r="Q119" s="95" t="n">
        <v>44449</v>
      </c>
      <c r="R119" s="96" t="n">
        <v>0.05854</v>
      </c>
      <c r="T119" s="27">
        <f>YEAR(U119)</f>
        <v/>
      </c>
      <c r="U119" s="95" t="n">
        <v>44448</v>
      </c>
      <c r="V119" s="96" t="n">
        <v>0.06232</v>
      </c>
    </row>
    <row r="120">
      <c r="P120" s="27">
        <f>YEAR(Q120)</f>
        <v/>
      </c>
      <c r="Q120" s="97" t="n">
        <v>44452</v>
      </c>
      <c r="R120" s="98" t="n">
        <v>0.05769999999999999</v>
      </c>
      <c r="T120" s="27">
        <f>YEAR(U120)</f>
        <v/>
      </c>
      <c r="U120" s="97" t="n">
        <v>44449</v>
      </c>
      <c r="V120" s="98" t="n">
        <v>0.06259000000000001</v>
      </c>
    </row>
    <row r="121">
      <c r="P121" s="27">
        <f>YEAR(Q121)</f>
        <v/>
      </c>
      <c r="Q121" s="95" t="n">
        <v>44453</v>
      </c>
      <c r="R121" s="96" t="n">
        <v>0.05769999999999999</v>
      </c>
      <c r="T121" s="27">
        <f>YEAR(U121)</f>
        <v/>
      </c>
      <c r="U121" s="95" t="n">
        <v>44452</v>
      </c>
      <c r="V121" s="96" t="n">
        <v>0.06167</v>
      </c>
    </row>
    <row r="122">
      <c r="P122" s="27">
        <f>YEAR(Q122)</f>
        <v/>
      </c>
      <c r="Q122" s="97" t="n">
        <v>44454</v>
      </c>
      <c r="R122" s="98" t="n">
        <v>0.05857</v>
      </c>
      <c r="T122" s="27">
        <f>YEAR(U122)</f>
        <v/>
      </c>
      <c r="U122" s="97" t="n">
        <v>44453</v>
      </c>
      <c r="V122" s="98" t="n">
        <v>0.06167</v>
      </c>
    </row>
    <row r="123">
      <c r="P123" s="27">
        <f>YEAR(Q123)</f>
        <v/>
      </c>
      <c r="Q123" s="95" t="n">
        <v>44455</v>
      </c>
      <c r="R123" s="96" t="n">
        <v>0.05857999999999999</v>
      </c>
      <c r="T123" s="27">
        <f>YEAR(U123)</f>
        <v/>
      </c>
      <c r="U123" s="95" t="n">
        <v>44454</v>
      </c>
      <c r="V123" s="96" t="n">
        <v>0.06259000000000001</v>
      </c>
    </row>
    <row r="124">
      <c r="P124" s="27">
        <f>YEAR(Q124)</f>
        <v/>
      </c>
      <c r="Q124" s="97" t="n">
        <v>44456</v>
      </c>
      <c r="R124" s="98" t="n">
        <v>0.05859</v>
      </c>
      <c r="T124" s="27">
        <f>YEAR(U124)</f>
        <v/>
      </c>
      <c r="U124" s="97" t="n">
        <v>44455</v>
      </c>
      <c r="V124" s="98" t="n">
        <v>0.06259000000000001</v>
      </c>
    </row>
    <row r="125">
      <c r="P125" s="27">
        <f>YEAR(Q125)</f>
        <v/>
      </c>
      <c r="Q125" s="95" t="n">
        <v>44459</v>
      </c>
      <c r="R125" s="96" t="n">
        <v>0.05367</v>
      </c>
      <c r="T125" s="27">
        <f>YEAR(U125)</f>
        <v/>
      </c>
      <c r="U125" s="95" t="n">
        <v>44456</v>
      </c>
      <c r="V125" s="96" t="n">
        <v>0.06259000000000001</v>
      </c>
    </row>
    <row r="126">
      <c r="P126" s="27">
        <f>YEAR(Q126)</f>
        <v/>
      </c>
      <c r="Q126" s="97" t="n">
        <v>44460</v>
      </c>
      <c r="R126" s="98" t="n">
        <v>0.05293</v>
      </c>
      <c r="T126" s="27">
        <f>YEAR(U126)</f>
        <v/>
      </c>
      <c r="U126" s="97" t="n">
        <v>44459</v>
      </c>
      <c r="V126" s="98" t="n">
        <v>0.06203</v>
      </c>
    </row>
    <row r="127">
      <c r="P127" s="27">
        <f>YEAR(Q127)</f>
        <v/>
      </c>
      <c r="Q127" s="95" t="n">
        <v>44461</v>
      </c>
      <c r="R127" s="96" t="n">
        <v>0.05386</v>
      </c>
      <c r="T127" s="27">
        <f>YEAR(U127)</f>
        <v/>
      </c>
      <c r="U127" s="95" t="n">
        <v>44460</v>
      </c>
      <c r="V127" s="96" t="n">
        <v>0.06229</v>
      </c>
    </row>
    <row r="128">
      <c r="P128" s="27">
        <f>YEAR(Q128)</f>
        <v/>
      </c>
      <c r="Q128" s="97" t="n">
        <v>44462</v>
      </c>
      <c r="R128" s="98" t="n">
        <v>0.05204</v>
      </c>
      <c r="T128" s="27">
        <f>YEAR(U128)</f>
        <v/>
      </c>
      <c r="U128" s="97" t="n">
        <v>44461</v>
      </c>
      <c r="V128" s="98" t="n">
        <v>0.06116</v>
      </c>
    </row>
    <row r="129">
      <c r="P129" s="27">
        <f>YEAR(Q129)</f>
        <v/>
      </c>
      <c r="Q129" s="95" t="n">
        <v>44463</v>
      </c>
      <c r="R129" s="96" t="n">
        <v>0.0544</v>
      </c>
      <c r="T129" s="27">
        <f>YEAR(U129)</f>
        <v/>
      </c>
      <c r="U129" s="95" t="n">
        <v>44462</v>
      </c>
      <c r="V129" s="96" t="n">
        <v>0.06022</v>
      </c>
    </row>
    <row r="130">
      <c r="P130" s="27">
        <f>YEAR(Q130)</f>
        <v/>
      </c>
      <c r="Q130" s="97" t="n">
        <v>44466</v>
      </c>
      <c r="R130" s="98" t="n">
        <v>0.05308</v>
      </c>
      <c r="T130" s="27">
        <f>YEAR(U130)</f>
        <v/>
      </c>
      <c r="U130" s="97" t="n">
        <v>44463</v>
      </c>
      <c r="V130" s="98" t="n">
        <v>0.06117</v>
      </c>
    </row>
    <row r="131">
      <c r="P131" s="27">
        <f>YEAR(Q131)</f>
        <v/>
      </c>
      <c r="Q131" s="95" t="n">
        <v>44467</v>
      </c>
      <c r="R131" s="96" t="n">
        <v>0.0544</v>
      </c>
      <c r="T131" s="27">
        <f>YEAR(U131)</f>
        <v/>
      </c>
      <c r="U131" s="95" t="n">
        <v>44466</v>
      </c>
      <c r="V131" s="96" t="n">
        <v>0.06258</v>
      </c>
    </row>
    <row r="132">
      <c r="P132" s="27">
        <f>YEAR(Q132)</f>
        <v/>
      </c>
      <c r="Q132" s="97" t="n">
        <v>44468</v>
      </c>
      <c r="R132" s="98" t="n">
        <v>0.05322</v>
      </c>
      <c r="T132" s="27">
        <f>YEAR(U132)</f>
        <v/>
      </c>
      <c r="U132" s="97" t="n">
        <v>44467</v>
      </c>
      <c r="V132" s="98" t="n">
        <v>0.06117</v>
      </c>
    </row>
    <row r="133">
      <c r="P133" s="27">
        <f>YEAR(Q133)</f>
        <v/>
      </c>
      <c r="Q133" s="95" t="n">
        <v>44469</v>
      </c>
      <c r="R133" s="96" t="n">
        <v>0.05322</v>
      </c>
      <c r="T133" s="27">
        <f>YEAR(U133)</f>
        <v/>
      </c>
      <c r="U133" s="95" t="n">
        <v>44468</v>
      </c>
      <c r="V133" s="96" t="n">
        <v>0.06099</v>
      </c>
    </row>
    <row r="134">
      <c r="P134" s="27">
        <f>YEAR(Q134)</f>
        <v/>
      </c>
      <c r="Q134" s="97" t="n">
        <v>44470</v>
      </c>
      <c r="R134" s="98" t="n">
        <v>0.05321</v>
      </c>
      <c r="T134" s="27">
        <f>YEAR(U134)</f>
        <v/>
      </c>
      <c r="U134" s="97" t="n">
        <v>44469</v>
      </c>
      <c r="V134" s="98" t="n">
        <v>0.06099</v>
      </c>
    </row>
    <row r="135">
      <c r="P135" s="27">
        <f>YEAR(Q135)</f>
        <v/>
      </c>
      <c r="Q135" s="95" t="n">
        <v>44473</v>
      </c>
      <c r="R135" s="96" t="n">
        <v>0.05407</v>
      </c>
      <c r="T135" s="27">
        <f>YEAR(U135)</f>
        <v/>
      </c>
      <c r="U135" s="95" t="n">
        <v>44470</v>
      </c>
      <c r="V135" s="96" t="n">
        <v>0.06098</v>
      </c>
    </row>
    <row r="136">
      <c r="P136" s="27">
        <f>YEAR(Q136)</f>
        <v/>
      </c>
      <c r="Q136" s="97" t="n">
        <v>44474</v>
      </c>
      <c r="R136" s="98" t="n">
        <v>0.05441</v>
      </c>
      <c r="T136" s="27">
        <f>YEAR(U136)</f>
        <v/>
      </c>
      <c r="U136" s="97" t="n">
        <v>44473</v>
      </c>
      <c r="V136" s="98" t="n">
        <v>0.06084</v>
      </c>
    </row>
    <row r="137">
      <c r="P137" s="27">
        <f>YEAR(Q137)</f>
        <v/>
      </c>
      <c r="Q137" s="95" t="n">
        <v>44475</v>
      </c>
      <c r="R137" s="96" t="n">
        <v>0.0544</v>
      </c>
      <c r="T137" s="27">
        <f>YEAR(U137)</f>
        <v/>
      </c>
      <c r="U137" s="95" t="n">
        <v>44474</v>
      </c>
      <c r="V137" s="96" t="n">
        <v>0.06116</v>
      </c>
    </row>
    <row r="138">
      <c r="P138" s="27">
        <f>YEAR(Q138)</f>
        <v/>
      </c>
      <c r="Q138" s="97" t="n">
        <v>44476</v>
      </c>
      <c r="R138" s="98" t="n">
        <v>0.0544</v>
      </c>
      <c r="T138" s="27">
        <f>YEAR(U138)</f>
        <v/>
      </c>
      <c r="U138" s="97" t="n">
        <v>44475</v>
      </c>
      <c r="V138" s="98" t="n">
        <v>0.06116</v>
      </c>
    </row>
    <row r="139">
      <c r="P139" s="27">
        <f>YEAR(Q139)</f>
        <v/>
      </c>
      <c r="Q139" s="95" t="n">
        <v>44477</v>
      </c>
      <c r="R139" s="96" t="n">
        <v>0.05195</v>
      </c>
      <c r="T139" s="27">
        <f>YEAR(U139)</f>
        <v/>
      </c>
      <c r="U139" s="95" t="n">
        <v>44476</v>
      </c>
      <c r="V139" s="96" t="n">
        <v>0.06116</v>
      </c>
    </row>
    <row r="140">
      <c r="P140" s="27">
        <f>YEAR(Q140)</f>
        <v/>
      </c>
      <c r="Q140" s="97" t="n">
        <v>44480</v>
      </c>
      <c r="R140" s="98" t="n">
        <v>0.05312</v>
      </c>
      <c r="T140" s="27">
        <f>YEAR(U140)</f>
        <v/>
      </c>
      <c r="U140" s="97" t="n">
        <v>44477</v>
      </c>
      <c r="V140" s="98" t="n">
        <v>0.06043999999999999</v>
      </c>
    </row>
    <row r="141">
      <c r="P141" s="27">
        <f>YEAR(Q141)</f>
        <v/>
      </c>
      <c r="Q141" s="95" t="n">
        <v>44481</v>
      </c>
      <c r="R141" s="96" t="n">
        <v>0.05431</v>
      </c>
      <c r="T141" s="27">
        <f>YEAR(U141)</f>
        <v/>
      </c>
      <c r="U141" s="95" t="n">
        <v>44480</v>
      </c>
      <c r="V141" s="96" t="n">
        <v>0.06068</v>
      </c>
    </row>
    <row r="142">
      <c r="P142" s="27">
        <f>YEAR(Q142)</f>
        <v/>
      </c>
      <c r="Q142" s="97" t="n">
        <v>44482</v>
      </c>
      <c r="R142" s="98" t="n">
        <v>0.05313</v>
      </c>
      <c r="T142" s="27">
        <f>YEAR(U142)</f>
        <v/>
      </c>
      <c r="U142" s="97" t="n">
        <v>44481</v>
      </c>
      <c r="V142" s="98" t="n">
        <v>0.06229</v>
      </c>
    </row>
    <row r="143">
      <c r="P143" s="27">
        <f>YEAR(Q143)</f>
        <v/>
      </c>
      <c r="Q143" s="95" t="n">
        <v>44483</v>
      </c>
      <c r="R143" s="96" t="n">
        <v>0.05313</v>
      </c>
      <c r="T143" s="27">
        <f>YEAR(U143)</f>
        <v/>
      </c>
      <c r="U143" s="95" t="n">
        <v>44482</v>
      </c>
      <c r="V143" s="96" t="n">
        <v>0.06095</v>
      </c>
    </row>
    <row r="144">
      <c r="P144" s="27">
        <f>YEAR(Q144)</f>
        <v/>
      </c>
      <c r="Q144" s="97" t="n">
        <v>44484</v>
      </c>
      <c r="R144" s="98" t="n">
        <v>0.05388</v>
      </c>
      <c r="T144" s="27">
        <f>YEAR(U144)</f>
        <v/>
      </c>
      <c r="U144" s="97" t="n">
        <v>44483</v>
      </c>
      <c r="V144" s="98" t="n">
        <v>0.06095</v>
      </c>
    </row>
    <row r="145">
      <c r="P145" s="27">
        <f>YEAR(Q145)</f>
        <v/>
      </c>
      <c r="Q145" s="95" t="n">
        <v>44487</v>
      </c>
      <c r="R145" s="96" t="n">
        <v>0.05318</v>
      </c>
      <c r="T145" s="27">
        <f>YEAR(U145)</f>
        <v/>
      </c>
      <c r="U145" s="95" t="n">
        <v>44484</v>
      </c>
      <c r="V145" s="96" t="n">
        <v>0.06103</v>
      </c>
    </row>
    <row r="146">
      <c r="P146" s="27">
        <f>YEAR(Q146)</f>
        <v/>
      </c>
      <c r="Q146" s="97" t="n">
        <v>44488</v>
      </c>
      <c r="R146" s="98" t="n">
        <v>0.05318</v>
      </c>
      <c r="T146" s="27">
        <f>YEAR(U146)</f>
        <v/>
      </c>
      <c r="U146" s="97" t="n">
        <v>44487</v>
      </c>
      <c r="V146" s="98" t="n">
        <v>0.0616</v>
      </c>
    </row>
    <row r="147">
      <c r="P147" s="27">
        <f>YEAR(Q147)</f>
        <v/>
      </c>
      <c r="Q147" s="95" t="n">
        <v>44489</v>
      </c>
      <c r="R147" s="96" t="n">
        <v>0.05200999999999999</v>
      </c>
      <c r="T147" s="27">
        <f>YEAR(U147)</f>
        <v/>
      </c>
      <c r="U147" s="95" t="n">
        <v>44488</v>
      </c>
      <c r="V147" s="96" t="n">
        <v>0.0616</v>
      </c>
    </row>
    <row r="148">
      <c r="P148" s="27">
        <f>YEAR(Q148)</f>
        <v/>
      </c>
      <c r="Q148" s="97" t="n">
        <v>44490</v>
      </c>
      <c r="R148" s="98" t="n">
        <v>0.05235</v>
      </c>
      <c r="T148" s="27">
        <f>YEAR(U148)</f>
        <v/>
      </c>
      <c r="U148" s="97" t="n">
        <v>44489</v>
      </c>
      <c r="V148" s="98" t="n">
        <v>0.06125</v>
      </c>
    </row>
    <row r="149">
      <c r="P149" s="27">
        <f>YEAR(Q149)</f>
        <v/>
      </c>
      <c r="Q149" s="95" t="n">
        <v>44491</v>
      </c>
      <c r="R149" s="96" t="n">
        <v>0.05316</v>
      </c>
      <c r="T149" s="27">
        <f>YEAR(U149)</f>
        <v/>
      </c>
      <c r="U149" s="95" t="n">
        <v>44490</v>
      </c>
      <c r="V149" s="96" t="n">
        <v>0.06074</v>
      </c>
    </row>
    <row r="150">
      <c r="P150" s="27">
        <f>YEAR(Q150)</f>
        <v/>
      </c>
      <c r="Q150" s="97" t="n">
        <v>44494</v>
      </c>
      <c r="R150" s="98" t="n">
        <v>0.05315</v>
      </c>
      <c r="T150" s="27">
        <f>YEAR(U150)</f>
        <v/>
      </c>
      <c r="U150" s="97" t="n">
        <v>44491</v>
      </c>
      <c r="V150" s="98" t="n">
        <v>0.06125</v>
      </c>
    </row>
    <row r="151">
      <c r="P151" s="27">
        <f>YEAR(Q151)</f>
        <v/>
      </c>
      <c r="Q151" s="95" t="n">
        <v>44495</v>
      </c>
      <c r="R151" s="96" t="n">
        <v>0.05314</v>
      </c>
      <c r="T151" s="27">
        <f>YEAR(U151)</f>
        <v/>
      </c>
      <c r="U151" s="95" t="n">
        <v>44494</v>
      </c>
      <c r="V151" s="96" t="n">
        <v>0.06158</v>
      </c>
    </row>
    <row r="152">
      <c r="P152" s="27">
        <f>YEAR(Q152)</f>
        <v/>
      </c>
      <c r="Q152" s="97" t="n">
        <v>44496</v>
      </c>
      <c r="R152" s="98" t="n">
        <v>0.05159</v>
      </c>
      <c r="T152" s="27">
        <f>YEAR(U152)</f>
        <v/>
      </c>
      <c r="U152" s="97" t="n">
        <v>44495</v>
      </c>
      <c r="V152" s="98" t="n">
        <v>0.06227000000000001</v>
      </c>
    </row>
    <row r="153">
      <c r="P153" s="27">
        <f>YEAR(Q153)</f>
        <v/>
      </c>
      <c r="Q153" s="95" t="n">
        <v>44497</v>
      </c>
      <c r="R153" s="96" t="n">
        <v>0.05232000000000001</v>
      </c>
      <c r="T153" s="27">
        <f>YEAR(U153)</f>
        <v/>
      </c>
      <c r="U153" s="95" t="n">
        <v>44496</v>
      </c>
      <c r="V153" s="96" t="n">
        <v>0.06042</v>
      </c>
    </row>
    <row r="154">
      <c r="P154" s="27">
        <f>YEAR(Q154)</f>
        <v/>
      </c>
      <c r="Q154" s="97" t="n">
        <v>44498</v>
      </c>
      <c r="R154" s="98" t="n">
        <v>0.05197</v>
      </c>
      <c r="T154" s="27">
        <f>YEAR(U154)</f>
        <v/>
      </c>
      <c r="U154" s="97" t="n">
        <v>44497</v>
      </c>
      <c r="V154" s="98" t="n">
        <v>0.06023</v>
      </c>
    </row>
    <row r="155">
      <c r="P155" s="27">
        <f>YEAR(Q155)</f>
        <v/>
      </c>
      <c r="Q155" s="95" t="n">
        <v>44502</v>
      </c>
      <c r="R155" s="96" t="n">
        <v>0.05303</v>
      </c>
      <c r="T155" s="27">
        <f>YEAR(U155)</f>
        <v/>
      </c>
      <c r="U155" s="95" t="n">
        <v>44498</v>
      </c>
      <c r="V155" s="96" t="n">
        <v>0.06123</v>
      </c>
    </row>
    <row r="156">
      <c r="P156" s="27">
        <f>YEAR(Q156)</f>
        <v/>
      </c>
      <c r="Q156" s="97" t="n">
        <v>44503</v>
      </c>
      <c r="R156" s="98" t="n">
        <v>0.05302</v>
      </c>
      <c r="T156" s="27">
        <f>YEAR(U156)</f>
        <v/>
      </c>
      <c r="U156" s="97" t="n">
        <v>44502</v>
      </c>
      <c r="V156" s="98" t="n">
        <v>0.06094</v>
      </c>
    </row>
    <row r="157">
      <c r="P157" s="27">
        <f>YEAR(Q157)</f>
        <v/>
      </c>
      <c r="Q157" s="95" t="n">
        <v>44504</v>
      </c>
      <c r="R157" s="96" t="n">
        <v>0.05302</v>
      </c>
      <c r="T157" s="27">
        <f>YEAR(U157)</f>
        <v/>
      </c>
      <c r="U157" s="95" t="n">
        <v>44503</v>
      </c>
      <c r="V157" s="96" t="n">
        <v>0.06227000000000001</v>
      </c>
    </row>
    <row r="158">
      <c r="P158" s="27">
        <f>YEAR(Q158)</f>
        <v/>
      </c>
      <c r="Q158" s="97" t="n">
        <v>44505</v>
      </c>
      <c r="R158" s="98" t="n">
        <v>0.05152</v>
      </c>
      <c r="T158" s="27">
        <f>YEAR(U158)</f>
        <v/>
      </c>
      <c r="U158" s="97" t="n">
        <v>44504</v>
      </c>
      <c r="V158" s="98" t="n">
        <v>0.06227000000000001</v>
      </c>
    </row>
    <row r="159">
      <c r="P159" s="27">
        <f>YEAR(Q159)</f>
        <v/>
      </c>
      <c r="Q159" s="95" t="n">
        <v>44508</v>
      </c>
      <c r="R159" s="96" t="n">
        <v>0.05151</v>
      </c>
      <c r="T159" s="27">
        <f>YEAR(U159)</f>
        <v/>
      </c>
      <c r="U159" s="95" t="n">
        <v>44505</v>
      </c>
      <c r="V159" s="96" t="n">
        <v>0.06227000000000001</v>
      </c>
    </row>
    <row r="160">
      <c r="P160" s="27">
        <f>YEAR(Q160)</f>
        <v/>
      </c>
      <c r="Q160" s="97" t="n">
        <v>44509</v>
      </c>
      <c r="R160" s="98" t="n">
        <v>0.05287</v>
      </c>
      <c r="T160" s="27">
        <f>YEAR(U160)</f>
        <v/>
      </c>
      <c r="U160" s="97" t="n">
        <v>44508</v>
      </c>
      <c r="V160" s="98" t="n">
        <v>0.05986</v>
      </c>
    </row>
    <row r="161">
      <c r="P161" s="27">
        <f>YEAR(Q161)</f>
        <v/>
      </c>
      <c r="Q161" s="95" t="n">
        <v>44510</v>
      </c>
      <c r="R161" s="96" t="n">
        <v>0.05375</v>
      </c>
      <c r="T161" s="27">
        <f>YEAR(U161)</f>
        <v/>
      </c>
      <c r="U161" s="95" t="n">
        <v>44509</v>
      </c>
      <c r="V161" s="96" t="n">
        <v>0.06053</v>
      </c>
    </row>
    <row r="162">
      <c r="P162" s="27">
        <f>YEAR(Q162)</f>
        <v/>
      </c>
      <c r="Q162" s="97" t="n">
        <v>44511</v>
      </c>
      <c r="R162" s="98" t="n">
        <v>0.05374</v>
      </c>
      <c r="T162" s="27">
        <f>YEAR(U162)</f>
        <v/>
      </c>
      <c r="U162" s="97" t="n">
        <v>44510</v>
      </c>
      <c r="V162" s="98" t="n">
        <v>0.06001</v>
      </c>
    </row>
    <row r="163">
      <c r="P163" s="27">
        <f>YEAR(Q163)</f>
        <v/>
      </c>
      <c r="Q163" s="95" t="n">
        <v>44512</v>
      </c>
      <c r="R163" s="96" t="n">
        <v>0.05074</v>
      </c>
      <c r="T163" s="27">
        <f>YEAR(U163)</f>
        <v/>
      </c>
      <c r="U163" s="95" t="n">
        <v>44511</v>
      </c>
      <c r="V163" s="96" t="n">
        <v>0.06001</v>
      </c>
    </row>
    <row r="164">
      <c r="P164" s="27">
        <f>YEAR(Q164)</f>
        <v/>
      </c>
      <c r="Q164" s="97" t="n">
        <v>44516</v>
      </c>
      <c r="R164" s="98" t="n">
        <v>0.05187</v>
      </c>
      <c r="T164" s="27">
        <f>YEAR(U164)</f>
        <v/>
      </c>
      <c r="U164" s="97" t="n">
        <v>44512</v>
      </c>
      <c r="V164" s="98" t="n">
        <v>0.06</v>
      </c>
    </row>
    <row r="165">
      <c r="P165" s="27">
        <f>YEAR(Q165)</f>
        <v/>
      </c>
      <c r="Q165" s="95" t="n">
        <v>44517</v>
      </c>
      <c r="R165" s="96" t="n">
        <v>0.05074</v>
      </c>
      <c r="T165" s="27">
        <f>YEAR(U165)</f>
        <v/>
      </c>
      <c r="U165" s="95" t="n">
        <v>44516</v>
      </c>
      <c r="V165" s="96" t="n">
        <v>0.06052</v>
      </c>
    </row>
    <row r="166">
      <c r="P166" s="27">
        <f>YEAR(Q166)</f>
        <v/>
      </c>
      <c r="Q166" s="97" t="n">
        <v>44518</v>
      </c>
      <c r="R166" s="98" t="n">
        <v>0.05074</v>
      </c>
      <c r="T166" s="27">
        <f>YEAR(U166)</f>
        <v/>
      </c>
      <c r="U166" s="97" t="n">
        <v>44517</v>
      </c>
      <c r="V166" s="98" t="n">
        <v>0.0605</v>
      </c>
    </row>
    <row r="167">
      <c r="P167" s="27">
        <f>YEAR(Q167)</f>
        <v/>
      </c>
      <c r="Q167" s="95" t="n">
        <v>44519</v>
      </c>
      <c r="R167" s="96" t="n">
        <v>0.05302</v>
      </c>
      <c r="T167" s="27">
        <f>YEAR(U167)</f>
        <v/>
      </c>
      <c r="U167" s="95" t="n">
        <v>44518</v>
      </c>
      <c r="V167" s="96" t="n">
        <v>0.0605</v>
      </c>
    </row>
    <row r="168">
      <c r="P168" s="27">
        <f>YEAR(Q168)</f>
        <v/>
      </c>
      <c r="Q168" s="97" t="n">
        <v>44522</v>
      </c>
      <c r="R168" s="98" t="n">
        <v>0.05248</v>
      </c>
      <c r="T168" s="27">
        <f>YEAR(U168)</f>
        <v/>
      </c>
      <c r="U168" s="97" t="n">
        <v>44519</v>
      </c>
      <c r="V168" s="98" t="n">
        <v>0.06146</v>
      </c>
    </row>
    <row r="169">
      <c r="P169" s="27">
        <f>YEAR(Q169)</f>
        <v/>
      </c>
      <c r="Q169" s="95" t="n">
        <v>44523</v>
      </c>
      <c r="R169" s="96" t="n">
        <v>0.05301</v>
      </c>
      <c r="T169" s="27">
        <f>YEAR(U169)</f>
        <v/>
      </c>
      <c r="U169" s="95" t="n">
        <v>44522</v>
      </c>
      <c r="V169" s="96" t="n">
        <v>0.06113</v>
      </c>
    </row>
    <row r="170">
      <c r="P170" s="27">
        <f>YEAR(Q170)</f>
        <v/>
      </c>
      <c r="Q170" s="97" t="n">
        <v>44524</v>
      </c>
      <c r="R170" s="98" t="n">
        <v>0.053</v>
      </c>
      <c r="T170" s="27">
        <f>YEAR(U170)</f>
        <v/>
      </c>
      <c r="U170" s="97" t="n">
        <v>44523</v>
      </c>
      <c r="V170" s="98" t="n">
        <v>0.06121000000000001</v>
      </c>
    </row>
    <row r="171">
      <c r="P171" s="27">
        <f>YEAR(Q171)</f>
        <v/>
      </c>
      <c r="Q171" s="95" t="n">
        <v>44525</v>
      </c>
      <c r="R171" s="96" t="n">
        <v>0.05074</v>
      </c>
      <c r="T171" s="27">
        <f>YEAR(U171)</f>
        <v/>
      </c>
      <c r="U171" s="95" t="n">
        <v>44524</v>
      </c>
      <c r="V171" s="96" t="n">
        <v>0.06121000000000001</v>
      </c>
    </row>
    <row r="172">
      <c r="P172" s="27">
        <f>YEAR(Q172)</f>
        <v/>
      </c>
      <c r="Q172" s="97" t="n">
        <v>44526</v>
      </c>
      <c r="R172" s="98" t="n">
        <v>0.05245</v>
      </c>
      <c r="T172" s="27">
        <f>YEAR(U172)</f>
        <v/>
      </c>
      <c r="U172" s="97" t="n">
        <v>44525</v>
      </c>
      <c r="V172" s="98" t="n">
        <v>0.06002</v>
      </c>
    </row>
    <row r="173">
      <c r="P173" s="27">
        <f>YEAR(Q173)</f>
        <v/>
      </c>
      <c r="Q173" s="95" t="n">
        <v>44529</v>
      </c>
      <c r="R173" s="96" t="n">
        <v>0.05243</v>
      </c>
      <c r="T173" s="27">
        <f>YEAR(U173)</f>
        <v/>
      </c>
      <c r="U173" s="95" t="n">
        <v>44526</v>
      </c>
      <c r="V173" s="96" t="n">
        <v>0.06118999999999999</v>
      </c>
    </row>
    <row r="174">
      <c r="P174" s="27">
        <f>YEAR(Q174)</f>
        <v/>
      </c>
      <c r="Q174" s="97" t="n">
        <v>44530</v>
      </c>
      <c r="R174" s="98" t="n">
        <v>0.05299</v>
      </c>
      <c r="T174" s="27">
        <f>YEAR(U174)</f>
        <v/>
      </c>
      <c r="U174" s="97" t="n">
        <v>44529</v>
      </c>
      <c r="V174" s="98" t="n">
        <v>0.06118000000000001</v>
      </c>
    </row>
    <row r="175">
      <c r="P175" s="27">
        <f>YEAR(Q175)</f>
        <v/>
      </c>
      <c r="Q175" s="95" t="n">
        <v>44531</v>
      </c>
      <c r="R175" s="96" t="n">
        <v>0.05102</v>
      </c>
      <c r="T175" s="27">
        <f>YEAR(U175)</f>
        <v/>
      </c>
      <c r="U175" s="95" t="n">
        <v>44530</v>
      </c>
      <c r="V175" s="96" t="n">
        <v>0.06118000000000001</v>
      </c>
    </row>
    <row r="176">
      <c r="P176" s="27">
        <f>YEAR(Q176)</f>
        <v/>
      </c>
      <c r="Q176" s="97" t="n">
        <v>44532</v>
      </c>
      <c r="R176" s="98" t="n">
        <v>0.05091</v>
      </c>
      <c r="T176" s="27">
        <f>YEAR(U176)</f>
        <v/>
      </c>
      <c r="U176" s="97" t="n">
        <v>44531</v>
      </c>
      <c r="V176" s="98" t="n">
        <v>0.05994</v>
      </c>
    </row>
    <row r="177">
      <c r="P177" s="27">
        <f>YEAR(Q177)</f>
        <v/>
      </c>
      <c r="Q177" s="95" t="n">
        <v>44533</v>
      </c>
      <c r="R177" s="96" t="n">
        <v>0.05073</v>
      </c>
      <c r="T177" s="27">
        <f>YEAR(U177)</f>
        <v/>
      </c>
      <c r="U177" s="95" t="n">
        <v>44532</v>
      </c>
      <c r="V177" s="96" t="n">
        <v>0.06039</v>
      </c>
    </row>
    <row r="178">
      <c r="P178" s="27">
        <f>YEAR(Q178)</f>
        <v/>
      </c>
      <c r="Q178" s="97" t="n">
        <v>44536</v>
      </c>
      <c r="R178" s="98" t="n">
        <v>0.05121000000000001</v>
      </c>
      <c r="T178" s="27">
        <f>YEAR(U178)</f>
        <v/>
      </c>
      <c r="U178" s="97" t="n">
        <v>44533</v>
      </c>
      <c r="V178" s="98" t="n">
        <v>0.06039</v>
      </c>
    </row>
    <row r="179">
      <c r="P179" s="27">
        <f>YEAR(Q179)</f>
        <v/>
      </c>
      <c r="Q179" s="95" t="n">
        <v>44537</v>
      </c>
      <c r="R179" s="96" t="n">
        <v>0.05197</v>
      </c>
      <c r="T179" s="27">
        <f>YEAR(U179)</f>
        <v/>
      </c>
      <c r="U179" s="95" t="n">
        <v>44536</v>
      </c>
      <c r="V179" s="96" t="n">
        <v>0.06035</v>
      </c>
    </row>
    <row r="180">
      <c r="P180" s="27">
        <f>YEAR(Q180)</f>
        <v/>
      </c>
      <c r="Q180" s="97" t="n">
        <v>44538</v>
      </c>
      <c r="R180" s="98" t="n">
        <v>0.05230000000000001</v>
      </c>
      <c r="T180" s="27">
        <f>YEAR(U180)</f>
        <v/>
      </c>
      <c r="U180" s="97" t="n">
        <v>44537</v>
      </c>
      <c r="V180" s="98" t="n">
        <v>0.06014</v>
      </c>
    </row>
    <row r="181">
      <c r="P181" s="27">
        <f>YEAR(Q181)</f>
        <v/>
      </c>
      <c r="Q181" s="95" t="n">
        <v>44539</v>
      </c>
      <c r="R181" s="96" t="n">
        <v>0.05269</v>
      </c>
      <c r="T181" s="27">
        <f>YEAR(U181)</f>
        <v/>
      </c>
      <c r="U181" s="95" t="n">
        <v>44538</v>
      </c>
      <c r="V181" s="96" t="n">
        <v>0.05945</v>
      </c>
    </row>
    <row r="182">
      <c r="P182" s="27">
        <f>YEAR(Q182)</f>
        <v/>
      </c>
      <c r="Q182" s="97" t="n">
        <v>44540</v>
      </c>
      <c r="R182" s="98" t="n">
        <v>0.05269</v>
      </c>
      <c r="T182" s="27">
        <f>YEAR(U182)</f>
        <v/>
      </c>
      <c r="U182" s="97" t="n">
        <v>44539</v>
      </c>
      <c r="V182" s="98" t="n">
        <v>0.05898</v>
      </c>
    </row>
    <row r="183">
      <c r="P183" s="27">
        <f>YEAR(Q183)</f>
        <v/>
      </c>
      <c r="Q183" s="95" t="n">
        <v>44543</v>
      </c>
      <c r="R183" s="96" t="n">
        <v>0.05265</v>
      </c>
      <c r="T183" s="27">
        <f>YEAR(U183)</f>
        <v/>
      </c>
      <c r="U183" s="95" t="n">
        <v>44540</v>
      </c>
      <c r="V183" s="96" t="n">
        <v>0.06031</v>
      </c>
    </row>
    <row r="184">
      <c r="P184" s="27">
        <f>YEAR(Q184)</f>
        <v/>
      </c>
      <c r="Q184" s="97" t="n">
        <v>44544</v>
      </c>
      <c r="R184" s="98" t="n">
        <v>0.05225</v>
      </c>
      <c r="T184" s="27">
        <f>YEAR(U184)</f>
        <v/>
      </c>
      <c r="U184" s="97" t="n">
        <v>44543</v>
      </c>
      <c r="V184" s="98" t="n">
        <v>0.06032</v>
      </c>
    </row>
    <row r="185">
      <c r="P185" s="27">
        <f>YEAR(Q185)</f>
        <v/>
      </c>
      <c r="Q185" s="95" t="n">
        <v>44545</v>
      </c>
      <c r="R185" s="96" t="n">
        <v>0.05263</v>
      </c>
      <c r="T185" s="27">
        <f>YEAR(U185)</f>
        <v/>
      </c>
      <c r="U185" s="95" t="n">
        <v>44544</v>
      </c>
      <c r="V185" s="96" t="n">
        <v>0.05896</v>
      </c>
    </row>
    <row r="186">
      <c r="P186" s="27">
        <f>YEAR(Q186)</f>
        <v/>
      </c>
      <c r="Q186" s="97" t="n">
        <v>44546</v>
      </c>
      <c r="R186" s="98" t="n">
        <v>0.05261</v>
      </c>
      <c r="T186" s="27">
        <f>YEAR(U186)</f>
        <v/>
      </c>
      <c r="U186" s="97" t="n">
        <v>44545</v>
      </c>
      <c r="V186" s="98" t="n">
        <v>0.06009</v>
      </c>
    </row>
    <row r="187">
      <c r="P187" s="27">
        <f>YEAR(Q187)</f>
        <v/>
      </c>
      <c r="Q187" s="95" t="n">
        <v>44547</v>
      </c>
      <c r="R187" s="96" t="n">
        <v>0.05296</v>
      </c>
      <c r="T187" s="27">
        <f>YEAR(U187)</f>
        <v/>
      </c>
      <c r="U187" s="95" t="n">
        <v>44546</v>
      </c>
      <c r="V187" s="96" t="n">
        <v>0.0603</v>
      </c>
    </row>
    <row r="188">
      <c r="P188" s="27">
        <f>YEAR(Q188)</f>
        <v/>
      </c>
      <c r="Q188" s="97" t="n">
        <v>44550</v>
      </c>
      <c r="R188" s="98" t="n">
        <v>0.05283</v>
      </c>
      <c r="T188" s="27">
        <f>YEAR(U188)</f>
        <v/>
      </c>
      <c r="U188" s="97" t="n">
        <v>44547</v>
      </c>
      <c r="V188" s="98" t="n">
        <v>0.05972</v>
      </c>
    </row>
    <row r="189">
      <c r="P189" s="27">
        <f>YEAR(Q189)</f>
        <v/>
      </c>
      <c r="Q189" s="95" t="n">
        <v>44551</v>
      </c>
      <c r="R189" s="96" t="n">
        <v>0.05291000000000001</v>
      </c>
      <c r="T189" s="27">
        <f>YEAR(U189)</f>
        <v/>
      </c>
      <c r="U189" s="95" t="n">
        <v>44550</v>
      </c>
      <c r="V189" s="96" t="n">
        <v>0.06026</v>
      </c>
    </row>
    <row r="190">
      <c r="P190" s="27">
        <f>YEAR(Q190)</f>
        <v/>
      </c>
      <c r="Q190" s="97" t="n">
        <v>44552</v>
      </c>
      <c r="R190" s="98" t="n">
        <v>0.0529</v>
      </c>
      <c r="T190" s="27">
        <f>YEAR(U190)</f>
        <v/>
      </c>
      <c r="U190" s="97" t="n">
        <v>44551</v>
      </c>
      <c r="V190" s="98" t="n">
        <v>0.06029</v>
      </c>
    </row>
    <row r="191">
      <c r="P191" s="27">
        <f>YEAR(Q191)</f>
        <v/>
      </c>
      <c r="Q191" s="95" t="n">
        <v>44553</v>
      </c>
      <c r="R191" s="96" t="n">
        <v>0.0528</v>
      </c>
      <c r="T191" s="27">
        <f>YEAR(U191)</f>
        <v/>
      </c>
      <c r="U191" s="95" t="n">
        <v>44552</v>
      </c>
      <c r="V191" s="96" t="n">
        <v>0.06029</v>
      </c>
    </row>
    <row r="192">
      <c r="P192" s="27">
        <f>YEAR(Q192)</f>
        <v/>
      </c>
      <c r="Q192" s="97" t="n">
        <v>44554</v>
      </c>
      <c r="R192" s="98" t="n">
        <v>0.05288</v>
      </c>
      <c r="T192" s="27">
        <f>YEAR(U192)</f>
        <v/>
      </c>
      <c r="U192" s="97" t="n">
        <v>44553</v>
      </c>
      <c r="V192" s="98" t="n">
        <v>0.06024</v>
      </c>
    </row>
    <row r="193">
      <c r="P193" s="27">
        <f>YEAR(Q193)</f>
        <v/>
      </c>
      <c r="Q193" s="95" t="n">
        <v>44557</v>
      </c>
      <c r="R193" s="96" t="n">
        <v>0.05276</v>
      </c>
      <c r="T193" s="27">
        <f>YEAR(U193)</f>
        <v/>
      </c>
      <c r="U193" s="95" t="n">
        <v>44554</v>
      </c>
      <c r="V193" s="96" t="n">
        <v>0.06027999999999999</v>
      </c>
    </row>
    <row r="194">
      <c r="P194" s="27">
        <f>YEAR(Q194)</f>
        <v/>
      </c>
      <c r="Q194" s="97" t="n">
        <v>44558</v>
      </c>
      <c r="R194" s="98" t="n">
        <v>0.05284</v>
      </c>
      <c r="T194" s="27">
        <f>YEAR(U194)</f>
        <v/>
      </c>
      <c r="U194" s="97" t="n">
        <v>44557</v>
      </c>
      <c r="V194" s="98" t="n">
        <v>0.06024</v>
      </c>
    </row>
    <row r="195">
      <c r="P195" s="27">
        <f>YEAR(Q195)</f>
        <v/>
      </c>
      <c r="Q195" s="95" t="n">
        <v>44559</v>
      </c>
      <c r="R195" s="96" t="n">
        <v>0.05274</v>
      </c>
      <c r="T195" s="27">
        <f>YEAR(U195)</f>
        <v/>
      </c>
      <c r="U195" s="95" t="n">
        <v>44558</v>
      </c>
      <c r="V195" s="96" t="n">
        <v>0.06029</v>
      </c>
    </row>
    <row r="196">
      <c r="P196" s="27">
        <f>YEAR(Q196)</f>
        <v/>
      </c>
      <c r="Q196" s="97" t="n">
        <v>44560</v>
      </c>
      <c r="R196" s="98" t="n">
        <v>0.05273</v>
      </c>
      <c r="T196" s="27">
        <f>YEAR(U196)</f>
        <v/>
      </c>
      <c r="U196" s="97" t="n">
        <v>44559</v>
      </c>
      <c r="V196" s="98" t="n">
        <v>0.05987</v>
      </c>
    </row>
    <row r="197">
      <c r="P197" s="27">
        <f>YEAR(Q197)</f>
        <v/>
      </c>
      <c r="Q197" s="95" t="n">
        <v>44561</v>
      </c>
      <c r="R197" s="96" t="n">
        <v>0.05293999999999999</v>
      </c>
      <c r="T197" s="27">
        <f>YEAR(U197)</f>
        <v/>
      </c>
      <c r="U197" s="95" t="n">
        <v>44560</v>
      </c>
      <c r="V197" s="96" t="n">
        <v>0.06021</v>
      </c>
    </row>
    <row r="198">
      <c r="P198" s="27">
        <f>YEAR(Q198)</f>
        <v/>
      </c>
      <c r="Q198" s="97" t="n">
        <v>44564</v>
      </c>
      <c r="R198" s="98" t="n">
        <v>0.05311</v>
      </c>
      <c r="T198" s="27">
        <f>YEAR(U198)</f>
        <v/>
      </c>
      <c r="U198" s="97" t="n">
        <v>44561</v>
      </c>
      <c r="V198" s="98" t="n">
        <v>0.05985</v>
      </c>
    </row>
    <row r="199">
      <c r="P199" s="27">
        <f>YEAR(Q199)</f>
        <v/>
      </c>
      <c r="Q199" s="95" t="n">
        <v>44565</v>
      </c>
      <c r="R199" s="96" t="n">
        <v>0.05309999999999999</v>
      </c>
      <c r="T199" s="27">
        <f>YEAR(U199)</f>
        <v/>
      </c>
      <c r="U199" s="95" t="n">
        <v>44564</v>
      </c>
      <c r="V199" s="96" t="n">
        <v>0.06026</v>
      </c>
    </row>
    <row r="200">
      <c r="P200" s="27">
        <f>YEAR(Q200)</f>
        <v/>
      </c>
      <c r="Q200" s="97" t="n">
        <v>44566</v>
      </c>
      <c r="R200" s="98" t="n">
        <v>0.05309</v>
      </c>
      <c r="T200" s="27">
        <f>YEAR(U200)</f>
        <v/>
      </c>
      <c r="U200" s="97" t="n">
        <v>44565</v>
      </c>
      <c r="V200" s="98" t="n">
        <v>0.06027</v>
      </c>
    </row>
    <row r="201">
      <c r="P201" s="27">
        <f>YEAR(Q201)</f>
        <v/>
      </c>
      <c r="Q201" s="95" t="n">
        <v>44567</v>
      </c>
      <c r="R201" s="96" t="n">
        <v>0.05308</v>
      </c>
      <c r="T201" s="27">
        <f>YEAR(U201)</f>
        <v/>
      </c>
      <c r="U201" s="95" t="n">
        <v>44566</v>
      </c>
      <c r="V201" s="96" t="n">
        <v>0.06027</v>
      </c>
    </row>
    <row r="202">
      <c r="P202" s="27">
        <f>YEAR(Q202)</f>
        <v/>
      </c>
      <c r="Q202" s="97" t="n">
        <v>44568</v>
      </c>
      <c r="R202" s="98" t="n">
        <v>0.05307000000000001</v>
      </c>
      <c r="T202" s="27">
        <f>YEAR(U202)</f>
        <v/>
      </c>
      <c r="U202" s="97" t="n">
        <v>44567</v>
      </c>
      <c r="V202" s="98" t="n">
        <v>0.06027</v>
      </c>
    </row>
    <row r="203">
      <c r="P203" s="27">
        <f>YEAR(Q203)</f>
        <v/>
      </c>
      <c r="Q203" s="95" t="n">
        <v>44571</v>
      </c>
      <c r="R203" s="96" t="n">
        <v>0.05304</v>
      </c>
      <c r="T203" s="27">
        <f>YEAR(U203)</f>
        <v/>
      </c>
      <c r="U203" s="95" t="n">
        <v>44568</v>
      </c>
      <c r="V203" s="96" t="n">
        <v>0.06027</v>
      </c>
    </row>
    <row r="204">
      <c r="P204" s="27">
        <f>YEAR(Q204)</f>
        <v/>
      </c>
      <c r="Q204" s="97" t="n">
        <v>44572</v>
      </c>
      <c r="R204" s="98" t="n">
        <v>0.05303</v>
      </c>
      <c r="T204" s="27">
        <f>YEAR(U204)</f>
        <v/>
      </c>
      <c r="U204" s="97" t="n">
        <v>44571</v>
      </c>
      <c r="V204" s="98" t="n">
        <v>0.06027999999999999</v>
      </c>
    </row>
    <row r="205">
      <c r="P205" s="27">
        <f>YEAR(Q205)</f>
        <v/>
      </c>
      <c r="Q205" s="95" t="n">
        <v>44573</v>
      </c>
      <c r="R205" s="96" t="n">
        <v>0.05302</v>
      </c>
      <c r="T205" s="27">
        <f>YEAR(U205)</f>
        <v/>
      </c>
      <c r="U205" s="95" t="n">
        <v>44572</v>
      </c>
      <c r="V205" s="96" t="n">
        <v>0.06027999999999999</v>
      </c>
    </row>
    <row r="206">
      <c r="P206" s="27">
        <f>YEAR(Q206)</f>
        <v/>
      </c>
      <c r="Q206" s="97" t="n">
        <v>44574</v>
      </c>
      <c r="R206" s="98" t="n">
        <v>0.05301</v>
      </c>
      <c r="T206" s="27">
        <f>YEAR(U206)</f>
        <v/>
      </c>
      <c r="U206" s="97" t="n">
        <v>44573</v>
      </c>
      <c r="V206" s="98" t="n">
        <v>0.05959</v>
      </c>
    </row>
    <row r="207">
      <c r="P207" s="27">
        <f>YEAR(Q207)</f>
        <v/>
      </c>
      <c r="Q207" s="95" t="n">
        <v>44575</v>
      </c>
      <c r="R207" s="96" t="n">
        <v>0.053</v>
      </c>
      <c r="T207" s="27">
        <f>YEAR(U207)</f>
        <v/>
      </c>
      <c r="U207" s="95" t="n">
        <v>44574</v>
      </c>
      <c r="V207" s="96" t="n">
        <v>0.06027999999999999</v>
      </c>
    </row>
    <row r="208">
      <c r="P208" s="27">
        <f>YEAR(Q208)</f>
        <v/>
      </c>
      <c r="Q208" s="97" t="n">
        <v>44579</v>
      </c>
      <c r="R208" s="98" t="n">
        <v>0.05344</v>
      </c>
      <c r="T208" s="27">
        <f>YEAR(U208)</f>
        <v/>
      </c>
      <c r="U208" s="97" t="n">
        <v>44575</v>
      </c>
      <c r="V208" s="98" t="n">
        <v>0.05959</v>
      </c>
    </row>
    <row r="209">
      <c r="P209" s="27">
        <f>YEAR(Q209)</f>
        <v/>
      </c>
      <c r="Q209" s="95" t="n">
        <v>44580</v>
      </c>
      <c r="R209" s="96" t="n">
        <v>0.05344</v>
      </c>
      <c r="T209" s="27">
        <f>YEAR(U209)</f>
        <v/>
      </c>
      <c r="U209" s="95" t="n">
        <v>44579</v>
      </c>
      <c r="V209" s="96" t="n">
        <v>0.06158</v>
      </c>
    </row>
    <row r="210">
      <c r="P210" s="27">
        <f>YEAR(Q210)</f>
        <v/>
      </c>
      <c r="Q210" s="97" t="n">
        <v>44581</v>
      </c>
      <c r="R210" s="98" t="n">
        <v>0.05344</v>
      </c>
      <c r="T210" s="27">
        <f>YEAR(U210)</f>
        <v/>
      </c>
      <c r="U210" s="97" t="n">
        <v>44580</v>
      </c>
      <c r="V210" s="98" t="n">
        <v>0.06158</v>
      </c>
    </row>
    <row r="211">
      <c r="P211" s="27">
        <f>YEAR(Q211)</f>
        <v/>
      </c>
      <c r="Q211" s="95" t="n">
        <v>44582</v>
      </c>
      <c r="R211" s="96" t="n">
        <v>0.05293</v>
      </c>
      <c r="T211" s="27">
        <f>YEAR(U211)</f>
        <v/>
      </c>
      <c r="U211" s="95" t="n">
        <v>44581</v>
      </c>
      <c r="V211" s="96" t="n">
        <v>0.06158</v>
      </c>
    </row>
    <row r="212">
      <c r="P212" s="27">
        <f>YEAR(Q212)</f>
        <v/>
      </c>
      <c r="Q212" s="97" t="n">
        <v>44585</v>
      </c>
      <c r="R212" s="98" t="n">
        <v>0.05248999999999999</v>
      </c>
      <c r="T212" s="27">
        <f>YEAR(U212)</f>
        <v/>
      </c>
      <c r="U212" s="97" t="n">
        <v>44582</v>
      </c>
      <c r="V212" s="98" t="n">
        <v>0.05966</v>
      </c>
    </row>
    <row r="213">
      <c r="P213" s="27">
        <f>YEAR(Q213)</f>
        <v/>
      </c>
      <c r="Q213" s="95" t="n">
        <v>44586</v>
      </c>
      <c r="R213" s="96" t="n">
        <v>0.05188</v>
      </c>
      <c r="T213" s="27">
        <f>YEAR(U213)</f>
        <v/>
      </c>
      <c r="U213" s="95" t="n">
        <v>44585</v>
      </c>
      <c r="V213" s="96" t="n">
        <v>0.05982000000000001</v>
      </c>
    </row>
    <row r="214">
      <c r="P214" s="27">
        <f>YEAR(Q214)</f>
        <v/>
      </c>
      <c r="Q214" s="97" t="n">
        <v>44587</v>
      </c>
      <c r="R214" s="98" t="n">
        <v>0.05013</v>
      </c>
      <c r="T214" s="27">
        <f>YEAR(U214)</f>
        <v/>
      </c>
      <c r="U214" s="97" t="n">
        <v>44586</v>
      </c>
      <c r="V214" s="98" t="n">
        <v>0.06006</v>
      </c>
    </row>
    <row r="215">
      <c r="P215" s="27">
        <f>YEAR(Q215)</f>
        <v/>
      </c>
      <c r="Q215" s="95" t="n">
        <v>44588</v>
      </c>
      <c r="R215" s="96" t="n">
        <v>0.05163</v>
      </c>
      <c r="T215" s="27">
        <f>YEAR(U215)</f>
        <v/>
      </c>
      <c r="U215" s="95" t="n">
        <v>44587</v>
      </c>
      <c r="V215" s="96" t="n">
        <v>0.05965</v>
      </c>
    </row>
    <row r="216">
      <c r="P216" s="27">
        <f>YEAR(Q216)</f>
        <v/>
      </c>
      <c r="Q216" s="97" t="n">
        <v>44589</v>
      </c>
      <c r="R216" s="98" t="n">
        <v>0.052</v>
      </c>
      <c r="T216" s="27">
        <f>YEAR(U216)</f>
        <v/>
      </c>
      <c r="U216" s="97" t="n">
        <v>44588</v>
      </c>
      <c r="V216" s="98" t="n">
        <v>0.06015</v>
      </c>
    </row>
    <row r="217">
      <c r="P217" s="27">
        <f>YEAR(Q217)</f>
        <v/>
      </c>
      <c r="Q217" s="95" t="n">
        <v>44592</v>
      </c>
      <c r="R217" s="96" t="n">
        <v>0.05199</v>
      </c>
      <c r="T217" s="27">
        <f>YEAR(U217)</f>
        <v/>
      </c>
      <c r="U217" s="95" t="n">
        <v>44589</v>
      </c>
      <c r="V217" s="96" t="n">
        <v>0.05965</v>
      </c>
    </row>
    <row r="218">
      <c r="P218" s="27">
        <f>YEAR(Q218)</f>
        <v/>
      </c>
      <c r="Q218" s="97" t="n">
        <v>44593</v>
      </c>
      <c r="R218" s="98" t="n">
        <v>0.05163</v>
      </c>
      <c r="T218" s="27">
        <f>YEAR(U218)</f>
        <v/>
      </c>
      <c r="U218" s="97" t="n">
        <v>44592</v>
      </c>
      <c r="V218" s="98" t="n">
        <v>0.05998000000000001</v>
      </c>
    </row>
    <row r="219">
      <c r="P219" s="27">
        <f>YEAR(Q219)</f>
        <v/>
      </c>
      <c r="Q219" s="95" t="n">
        <v>44594</v>
      </c>
      <c r="R219" s="96" t="n">
        <v>0.05355000000000001</v>
      </c>
      <c r="T219" s="27">
        <f>YEAR(U219)</f>
        <v/>
      </c>
      <c r="U219" s="95" t="n">
        <v>44593</v>
      </c>
      <c r="V219" s="96" t="n">
        <v>0.06015</v>
      </c>
    </row>
    <row r="220">
      <c r="P220" s="27">
        <f>YEAR(Q220)</f>
        <v/>
      </c>
      <c r="Q220" s="97" t="n">
        <v>44595</v>
      </c>
      <c r="R220" s="98" t="n">
        <v>0.05352999999999999</v>
      </c>
      <c r="T220" s="27">
        <f>YEAR(U220)</f>
        <v/>
      </c>
      <c r="U220" s="97" t="n">
        <v>44594</v>
      </c>
      <c r="V220" s="98" t="n">
        <v>0.06116</v>
      </c>
    </row>
    <row r="221">
      <c r="P221" s="27">
        <f>YEAR(Q221)</f>
        <v/>
      </c>
      <c r="Q221" s="95" t="n">
        <v>44596</v>
      </c>
      <c r="R221" s="96" t="n">
        <v>0.05352999999999999</v>
      </c>
      <c r="T221" s="27">
        <f>YEAR(U221)</f>
        <v/>
      </c>
      <c r="U221" s="95" t="n">
        <v>44595</v>
      </c>
      <c r="V221" s="96" t="n">
        <v>0.05981</v>
      </c>
    </row>
    <row r="222">
      <c r="P222" s="27">
        <f>YEAR(Q222)</f>
        <v/>
      </c>
      <c r="Q222" s="97" t="n">
        <v>44599</v>
      </c>
      <c r="R222" s="98" t="n">
        <v>0.05179</v>
      </c>
      <c r="T222" s="27">
        <f>YEAR(U222)</f>
        <v/>
      </c>
      <c r="U222" s="97" t="n">
        <v>44596</v>
      </c>
      <c r="V222" s="98" t="n">
        <v>0.06023</v>
      </c>
    </row>
    <row r="223">
      <c r="P223" s="27">
        <f>YEAR(Q223)</f>
        <v/>
      </c>
      <c r="Q223" s="95" t="n">
        <v>44600</v>
      </c>
      <c r="R223" s="96" t="n">
        <v>0.05198000000000001</v>
      </c>
      <c r="T223" s="27">
        <f>YEAR(U223)</f>
        <v/>
      </c>
      <c r="U223" s="95" t="n">
        <v>44599</v>
      </c>
      <c r="V223" s="96" t="n">
        <v>0.05978</v>
      </c>
    </row>
    <row r="224">
      <c r="P224" s="27">
        <f>YEAR(Q224)</f>
        <v/>
      </c>
      <c r="Q224" s="97" t="n">
        <v>44601</v>
      </c>
      <c r="R224" s="98" t="n">
        <v>0.05154</v>
      </c>
      <c r="T224" s="27">
        <f>YEAR(U224)</f>
        <v/>
      </c>
      <c r="U224" s="97" t="n">
        <v>44600</v>
      </c>
      <c r="V224" s="98" t="n">
        <v>0.06022</v>
      </c>
    </row>
    <row r="225">
      <c r="P225" s="27">
        <f>YEAR(Q225)</f>
        <v/>
      </c>
      <c r="Q225" s="95" t="n">
        <v>44602</v>
      </c>
      <c r="R225" s="96" t="n">
        <v>0.05128</v>
      </c>
      <c r="T225" s="27">
        <f>YEAR(U225)</f>
        <v/>
      </c>
      <c r="U225" s="95" t="n">
        <v>44601</v>
      </c>
      <c r="V225" s="96" t="n">
        <v>0.05863</v>
      </c>
    </row>
    <row r="226">
      <c r="P226" s="27">
        <f>YEAR(Q226)</f>
        <v/>
      </c>
      <c r="Q226" s="97" t="n">
        <v>44603</v>
      </c>
      <c r="R226" s="98" t="n">
        <v>0.05188</v>
      </c>
      <c r="T226" s="27">
        <f>YEAR(U226)</f>
        <v/>
      </c>
      <c r="U226" s="97" t="n">
        <v>44602</v>
      </c>
      <c r="V226" s="98" t="n">
        <v>0.05908</v>
      </c>
    </row>
    <row r="227">
      <c r="P227" s="27">
        <f>YEAR(Q227)</f>
        <v/>
      </c>
      <c r="Q227" s="95" t="n">
        <v>44606</v>
      </c>
      <c r="R227" s="96" t="n">
        <v>0.05184999999999999</v>
      </c>
      <c r="T227" s="27">
        <f>YEAR(U227)</f>
        <v/>
      </c>
      <c r="U227" s="95" t="n">
        <v>44603</v>
      </c>
      <c r="V227" s="96" t="n">
        <v>0.05854</v>
      </c>
    </row>
    <row r="228">
      <c r="P228" s="27">
        <f>YEAR(Q228)</f>
        <v/>
      </c>
      <c r="Q228" s="97" t="n">
        <v>44607</v>
      </c>
      <c r="R228" s="98" t="n">
        <v>0.05184</v>
      </c>
      <c r="T228" s="27">
        <f>YEAR(U228)</f>
        <v/>
      </c>
      <c r="U228" s="97" t="n">
        <v>44606</v>
      </c>
      <c r="V228" s="98" t="n">
        <v>0.05939</v>
      </c>
    </row>
    <row r="229">
      <c r="P229" s="27">
        <f>YEAR(Q229)</f>
        <v/>
      </c>
      <c r="Q229" s="95" t="n">
        <v>44608</v>
      </c>
      <c r="R229" s="96" t="n">
        <v>0.05009</v>
      </c>
      <c r="T229" s="27">
        <f>YEAR(U229)</f>
        <v/>
      </c>
      <c r="U229" s="95" t="n">
        <v>44607</v>
      </c>
      <c r="V229" s="96" t="n">
        <v>0.05853</v>
      </c>
    </row>
    <row r="230">
      <c r="P230" s="27">
        <f>YEAR(Q230)</f>
        <v/>
      </c>
      <c r="Q230" s="97" t="n">
        <v>44609</v>
      </c>
      <c r="R230" s="98" t="n">
        <v>0.05009</v>
      </c>
      <c r="T230" s="27">
        <f>YEAR(U230)</f>
        <v/>
      </c>
      <c r="U230" s="97" t="n">
        <v>44608</v>
      </c>
      <c r="V230" s="98" t="n">
        <v>0.05767000000000001</v>
      </c>
    </row>
    <row r="231">
      <c r="P231" s="27">
        <f>YEAR(Q231)</f>
        <v/>
      </c>
      <c r="Q231" s="95" t="n">
        <v>44610</v>
      </c>
      <c r="R231" s="96" t="n">
        <v>0.05181</v>
      </c>
      <c r="T231" s="27">
        <f>YEAR(U231)</f>
        <v/>
      </c>
      <c r="U231" s="95" t="n">
        <v>44609</v>
      </c>
      <c r="V231" s="96" t="n">
        <v>0.05804</v>
      </c>
    </row>
    <row r="232">
      <c r="P232" s="27">
        <f>YEAR(Q232)</f>
        <v/>
      </c>
      <c r="Q232" s="97" t="n">
        <v>44613</v>
      </c>
      <c r="R232" s="98" t="n">
        <v>0.05179</v>
      </c>
      <c r="T232" s="27">
        <f>YEAR(U232)</f>
        <v/>
      </c>
      <c r="U232" s="97" t="n">
        <v>44610</v>
      </c>
      <c r="V232" s="98" t="n">
        <v>0.05905999999999999</v>
      </c>
    </row>
    <row r="233">
      <c r="P233" s="27">
        <f>YEAR(Q233)</f>
        <v/>
      </c>
      <c r="Q233" s="95" t="n">
        <v>44614</v>
      </c>
      <c r="R233" s="96" t="n">
        <v>0.05116</v>
      </c>
      <c r="T233" s="27">
        <f>YEAR(U233)</f>
        <v/>
      </c>
      <c r="U233" s="95" t="n">
        <v>44613</v>
      </c>
      <c r="V233" s="96" t="n">
        <v>0.05871000000000001</v>
      </c>
    </row>
    <row r="234">
      <c r="P234" s="27">
        <f>YEAR(Q234)</f>
        <v/>
      </c>
      <c r="Q234" s="97" t="n">
        <v>44615</v>
      </c>
      <c r="R234" s="98" t="n">
        <v>0.05114</v>
      </c>
      <c r="T234" s="27">
        <f>YEAR(U234)</f>
        <v/>
      </c>
      <c r="U234" s="97" t="n">
        <v>44614</v>
      </c>
      <c r="V234" s="98" t="n">
        <v>0.05698</v>
      </c>
    </row>
    <row r="235">
      <c r="P235" s="27">
        <f>YEAR(Q235)</f>
        <v/>
      </c>
      <c r="Q235" s="95" t="n">
        <v>44616</v>
      </c>
      <c r="R235" s="96" t="n">
        <v>0.05114</v>
      </c>
      <c r="T235" s="27">
        <f>YEAR(U235)</f>
        <v/>
      </c>
      <c r="U235" s="95" t="n">
        <v>44615</v>
      </c>
      <c r="V235" s="96" t="n">
        <v>0.05698</v>
      </c>
    </row>
    <row r="236">
      <c r="P236" s="27">
        <f>YEAR(Q236)</f>
        <v/>
      </c>
      <c r="Q236" s="97" t="n">
        <v>44617</v>
      </c>
      <c r="R236" s="98" t="n">
        <v>0.05113</v>
      </c>
      <c r="T236" s="27">
        <f>YEAR(U236)</f>
        <v/>
      </c>
      <c r="U236" s="97" t="n">
        <v>44616</v>
      </c>
      <c r="V236" s="98" t="n">
        <v>0.05836</v>
      </c>
    </row>
    <row r="237">
      <c r="P237" s="27">
        <f>YEAR(Q237)</f>
        <v/>
      </c>
      <c r="Q237" s="95" t="n">
        <v>44620</v>
      </c>
      <c r="R237" s="96" t="n">
        <v>0.04951</v>
      </c>
      <c r="T237" s="27">
        <f>YEAR(U237)</f>
        <v/>
      </c>
      <c r="U237" s="95" t="n">
        <v>44617</v>
      </c>
      <c r="V237" s="96" t="n">
        <v>0.05836</v>
      </c>
    </row>
    <row r="238">
      <c r="P238" s="27">
        <f>YEAR(Q238)</f>
        <v/>
      </c>
      <c r="Q238" s="97" t="n">
        <v>44621</v>
      </c>
      <c r="R238" s="98" t="n">
        <v>0.04919</v>
      </c>
      <c r="T238" s="27">
        <f>YEAR(U238)</f>
        <v/>
      </c>
      <c r="U238" s="97" t="n">
        <v>44620</v>
      </c>
      <c r="V238" s="98" t="n">
        <v>0.05696</v>
      </c>
    </row>
    <row r="239">
      <c r="P239" s="27">
        <f>YEAR(Q239)</f>
        <v/>
      </c>
      <c r="Q239" s="95" t="n">
        <v>44622</v>
      </c>
      <c r="R239" s="96" t="n">
        <v>0.0493</v>
      </c>
      <c r="T239" s="27">
        <f>YEAR(U239)</f>
        <v/>
      </c>
      <c r="U239" s="95" t="n">
        <v>44621</v>
      </c>
      <c r="V239" s="96" t="n">
        <v>0.05718</v>
      </c>
    </row>
    <row r="240">
      <c r="P240" s="27">
        <f>YEAR(Q240)</f>
        <v/>
      </c>
      <c r="Q240" s="97" t="n">
        <v>44623</v>
      </c>
      <c r="R240" s="98" t="n">
        <v>0.05009</v>
      </c>
      <c r="T240" s="27">
        <f>YEAR(U240)</f>
        <v/>
      </c>
      <c r="U240" s="97" t="n">
        <v>44622</v>
      </c>
      <c r="V240" s="98" t="n">
        <v>0.05695</v>
      </c>
    </row>
    <row r="241">
      <c r="P241" s="27">
        <f>YEAR(Q241)</f>
        <v/>
      </c>
      <c r="Q241" s="95" t="n">
        <v>44624</v>
      </c>
      <c r="R241" s="96" t="n">
        <v>0.05008</v>
      </c>
      <c r="T241" s="27">
        <f>YEAR(U241)</f>
        <v/>
      </c>
      <c r="U241" s="95" t="n">
        <v>44623</v>
      </c>
      <c r="V241" s="96" t="n">
        <v>0.05599999999999999</v>
      </c>
    </row>
    <row r="242">
      <c r="P242" s="27">
        <f>YEAR(Q242)</f>
        <v/>
      </c>
      <c r="Q242" s="97" t="n">
        <v>44627</v>
      </c>
      <c r="R242" s="98" t="n">
        <v>0.04926</v>
      </c>
      <c r="T242" s="27">
        <f>YEAR(U242)</f>
        <v/>
      </c>
      <c r="U242" s="97" t="n">
        <v>44624</v>
      </c>
      <c r="V242" s="98" t="n">
        <v>0.05857999999999999</v>
      </c>
    </row>
    <row r="243">
      <c r="P243" s="27">
        <f>YEAR(Q243)</f>
        <v/>
      </c>
      <c r="Q243" s="95" t="n">
        <v>44628</v>
      </c>
      <c r="R243" s="96" t="n">
        <v>0.04925</v>
      </c>
      <c r="T243" s="27">
        <f>YEAR(U243)</f>
        <v/>
      </c>
      <c r="U243" s="95" t="n">
        <v>44627</v>
      </c>
      <c r="V243" s="96" t="n">
        <v>0.05695</v>
      </c>
    </row>
    <row r="244">
      <c r="P244" s="27">
        <f>YEAR(Q244)</f>
        <v/>
      </c>
      <c r="Q244" s="97" t="n">
        <v>44629</v>
      </c>
      <c r="R244" s="98" t="n">
        <v>0.04771</v>
      </c>
      <c r="T244" s="27">
        <f>YEAR(U244)</f>
        <v/>
      </c>
      <c r="U244" s="97" t="n">
        <v>44628</v>
      </c>
      <c r="V244" s="98" t="n">
        <v>0.05695</v>
      </c>
    </row>
    <row r="245">
      <c r="P245" s="27">
        <f>YEAR(Q245)</f>
        <v/>
      </c>
      <c r="Q245" s="95" t="n">
        <v>44630</v>
      </c>
      <c r="R245" s="96" t="n">
        <v>0.04771</v>
      </c>
      <c r="T245" s="27">
        <f>YEAR(U245)</f>
        <v/>
      </c>
      <c r="U245" s="95" t="n">
        <v>44629</v>
      </c>
      <c r="V245" s="96" t="n">
        <v>0.0545</v>
      </c>
    </row>
    <row r="246">
      <c r="P246" s="27">
        <f>YEAR(Q246)</f>
        <v/>
      </c>
      <c r="Q246" s="97" t="n">
        <v>44631</v>
      </c>
      <c r="R246" s="98" t="n">
        <v>0.05001000000000001</v>
      </c>
      <c r="T246" s="27">
        <f>YEAR(U246)</f>
        <v/>
      </c>
      <c r="U246" s="97" t="n">
        <v>44631</v>
      </c>
      <c r="V246" s="98" t="n">
        <v>0.06066</v>
      </c>
    </row>
    <row r="247">
      <c r="P247" s="27">
        <f>YEAR(Q247)</f>
        <v/>
      </c>
      <c r="Q247" s="95" t="n">
        <v>44634</v>
      </c>
      <c r="R247" s="96" t="n">
        <v>0.04998</v>
      </c>
      <c r="T247" s="27">
        <f>YEAR(U247)</f>
        <v/>
      </c>
      <c r="U247" s="95" t="n">
        <v>44634</v>
      </c>
      <c r="V247" s="96" t="n">
        <v>0.06067</v>
      </c>
    </row>
    <row r="248">
      <c r="P248" s="27">
        <f>YEAR(Q248)</f>
        <v/>
      </c>
      <c r="Q248" s="97" t="n">
        <v>44635</v>
      </c>
      <c r="R248" s="98" t="n">
        <v>0.04997</v>
      </c>
      <c r="T248" s="27">
        <f>YEAR(U248)</f>
        <v/>
      </c>
      <c r="U248" s="97" t="n">
        <v>44635</v>
      </c>
      <c r="V248" s="98" t="n">
        <v>0.05867</v>
      </c>
    </row>
    <row r="249">
      <c r="P249" s="27">
        <f>YEAR(Q249)</f>
        <v/>
      </c>
      <c r="Q249" s="95" t="n">
        <v>44636</v>
      </c>
      <c r="R249" s="96" t="n">
        <v>0.04963</v>
      </c>
      <c r="T249" s="27">
        <f>YEAR(U249)</f>
        <v/>
      </c>
      <c r="U249" s="95" t="n">
        <v>44636</v>
      </c>
      <c r="V249" s="96" t="n">
        <v>0.05998999999999999</v>
      </c>
    </row>
    <row r="250">
      <c r="P250" s="27">
        <f>YEAR(Q250)</f>
        <v/>
      </c>
      <c r="Q250" s="97" t="n">
        <v>44637</v>
      </c>
      <c r="R250" s="98" t="n">
        <v>0.05058</v>
      </c>
      <c r="T250" s="27">
        <f>YEAR(U250)</f>
        <v/>
      </c>
      <c r="U250" s="97" t="n">
        <v>44637</v>
      </c>
      <c r="V250" s="98" t="n">
        <v>0.06068</v>
      </c>
    </row>
    <row r="251">
      <c r="P251" s="27">
        <f>YEAR(Q251)</f>
        <v/>
      </c>
      <c r="Q251" s="95" t="n">
        <v>44638</v>
      </c>
      <c r="R251" s="96" t="n">
        <v>0.05057</v>
      </c>
      <c r="T251" s="27">
        <f>YEAR(U251)</f>
        <v/>
      </c>
      <c r="U251" s="95" t="n">
        <v>44638</v>
      </c>
      <c r="V251" s="96" t="n">
        <v>0.06069</v>
      </c>
    </row>
    <row r="252">
      <c r="P252" s="27">
        <f>YEAR(Q252)</f>
        <v/>
      </c>
      <c r="Q252" s="97" t="n">
        <v>44641</v>
      </c>
      <c r="R252" s="98" t="n">
        <v>0.05044</v>
      </c>
      <c r="T252" s="27">
        <f>YEAR(U252)</f>
        <v/>
      </c>
      <c r="U252" s="97" t="n">
        <v>44641</v>
      </c>
      <c r="V252" s="98" t="n">
        <v>0.05943</v>
      </c>
    </row>
    <row r="253">
      <c r="P253" s="27">
        <f>YEAR(Q253)</f>
        <v/>
      </c>
      <c r="Q253" s="95" t="n">
        <v>44642</v>
      </c>
      <c r="R253" s="96" t="n">
        <v>0.04991</v>
      </c>
      <c r="T253" s="27">
        <f>YEAR(U253)</f>
        <v/>
      </c>
      <c r="U253" s="95" t="n">
        <v>44642</v>
      </c>
      <c r="V253" s="96" t="n">
        <v>0.05685</v>
      </c>
    </row>
    <row r="254">
      <c r="P254" s="27">
        <f>YEAR(Q254)</f>
        <v/>
      </c>
      <c r="Q254" s="97" t="n">
        <v>44643</v>
      </c>
      <c r="R254" s="98" t="n">
        <v>0.0499</v>
      </c>
      <c r="T254" s="27">
        <f>YEAR(U254)</f>
        <v/>
      </c>
      <c r="U254" s="97" t="n">
        <v>44643</v>
      </c>
      <c r="V254" s="98" t="n">
        <v>0.05685</v>
      </c>
    </row>
    <row r="255">
      <c r="P255" s="27">
        <f>YEAR(Q255)</f>
        <v/>
      </c>
      <c r="Q255" s="95" t="n">
        <v>44644</v>
      </c>
      <c r="R255" s="96" t="n">
        <v>0.04989</v>
      </c>
      <c r="T255" s="27">
        <f>YEAR(U255)</f>
        <v/>
      </c>
      <c r="U255" s="95" t="n">
        <v>44644</v>
      </c>
      <c r="V255" s="96" t="n">
        <v>0.05878</v>
      </c>
    </row>
    <row r="256">
      <c r="P256" s="27">
        <f>YEAR(Q256)</f>
        <v/>
      </c>
      <c r="Q256" s="97" t="n">
        <v>44645</v>
      </c>
      <c r="R256" s="98" t="n">
        <v>0.04989</v>
      </c>
      <c r="T256" s="27">
        <f>YEAR(U256)</f>
        <v/>
      </c>
      <c r="U256" s="97" t="n">
        <v>44648</v>
      </c>
      <c r="V256" s="98" t="n">
        <v>0.05682</v>
      </c>
    </row>
    <row r="257">
      <c r="P257" s="27">
        <f>YEAR(Q257)</f>
        <v/>
      </c>
      <c r="Q257" s="95" t="n">
        <v>44648</v>
      </c>
      <c r="R257" s="96" t="n">
        <v>0.04881</v>
      </c>
      <c r="T257" s="27">
        <f>YEAR(U257)</f>
        <v/>
      </c>
      <c r="U257" s="95" t="n">
        <v>44649</v>
      </c>
      <c r="V257" s="96" t="n">
        <v>0.05747</v>
      </c>
    </row>
    <row r="258">
      <c r="P258" s="27">
        <f>YEAR(Q258)</f>
        <v/>
      </c>
      <c r="Q258" s="97" t="n">
        <v>44649</v>
      </c>
      <c r="R258" s="98" t="n">
        <v>0.04747</v>
      </c>
      <c r="T258" s="27">
        <f>YEAR(U258)</f>
        <v/>
      </c>
      <c r="U258" s="97" t="n">
        <v>44650</v>
      </c>
      <c r="V258" s="98" t="n">
        <v>0.05689</v>
      </c>
    </row>
    <row r="259">
      <c r="P259" s="27">
        <f>YEAR(Q259)</f>
        <v/>
      </c>
      <c r="Q259" s="95" t="n">
        <v>44650</v>
      </c>
      <c r="R259" s="96" t="n">
        <v>0.04746</v>
      </c>
      <c r="T259" s="27">
        <f>YEAR(U259)</f>
        <v/>
      </c>
      <c r="U259" s="95" t="n">
        <v>44651</v>
      </c>
      <c r="V259" s="96" t="n">
        <v>0.05688</v>
      </c>
    </row>
    <row r="260">
      <c r="P260" s="27">
        <f>YEAR(Q260)</f>
        <v/>
      </c>
      <c r="Q260" s="97" t="n">
        <v>44651</v>
      </c>
      <c r="R260" s="98" t="n">
        <v>0.04745</v>
      </c>
      <c r="T260" s="27">
        <f>YEAR(U260)</f>
        <v/>
      </c>
      <c r="U260" s="97" t="n">
        <v>44652</v>
      </c>
      <c r="V260" s="98" t="n">
        <v>0.05495</v>
      </c>
    </row>
    <row r="261">
      <c r="P261" s="27">
        <f>YEAR(Q261)</f>
        <v/>
      </c>
      <c r="Q261" s="95" t="n">
        <v>44652</v>
      </c>
      <c r="R261" s="96" t="n">
        <v>0.04686</v>
      </c>
      <c r="T261" s="27">
        <f>YEAR(U261)</f>
        <v/>
      </c>
      <c r="U261" s="95" t="n">
        <v>44656</v>
      </c>
      <c r="V261" s="96" t="n">
        <v>0.05791</v>
      </c>
    </row>
    <row r="262">
      <c r="P262" s="27">
        <f>YEAR(Q262)</f>
        <v/>
      </c>
      <c r="Q262" s="97" t="n">
        <v>44655</v>
      </c>
      <c r="R262" s="98" t="n">
        <v>0.04898</v>
      </c>
      <c r="T262" s="27">
        <f>YEAR(U262)</f>
        <v/>
      </c>
      <c r="U262" s="97" t="n">
        <v>44657</v>
      </c>
      <c r="V262" s="98" t="n">
        <v>0.05792</v>
      </c>
    </row>
    <row r="263">
      <c r="P263" s="27">
        <f>YEAR(Q263)</f>
        <v/>
      </c>
      <c r="Q263" s="95" t="n">
        <v>44656</v>
      </c>
      <c r="R263" s="96" t="n">
        <v>0.04904</v>
      </c>
      <c r="T263" s="27">
        <f>YEAR(U263)</f>
        <v/>
      </c>
      <c r="U263" s="95" t="n">
        <v>44658</v>
      </c>
      <c r="V263" s="96" t="n">
        <v>0.05835</v>
      </c>
    </row>
    <row r="264">
      <c r="P264" s="27">
        <f>YEAR(Q264)</f>
        <v/>
      </c>
      <c r="Q264" s="97" t="n">
        <v>44657</v>
      </c>
      <c r="R264" s="98" t="n">
        <v>0.04903</v>
      </c>
      <c r="T264" s="27">
        <f>YEAR(U264)</f>
        <v/>
      </c>
      <c r="U264" s="97" t="n">
        <v>44659</v>
      </c>
      <c r="V264" s="98" t="n">
        <v>0.05857999999999999</v>
      </c>
    </row>
    <row r="265">
      <c r="P265" s="27">
        <f>YEAR(Q265)</f>
        <v/>
      </c>
      <c r="Q265" s="95" t="n">
        <v>44658</v>
      </c>
      <c r="R265" s="96" t="n">
        <v>0.0488</v>
      </c>
      <c r="T265" s="27">
        <f>YEAR(U265)</f>
        <v/>
      </c>
      <c r="U265" s="95" t="n">
        <v>44662</v>
      </c>
      <c r="V265" s="96" t="n">
        <v>0.05764</v>
      </c>
    </row>
    <row r="266">
      <c r="P266" s="27">
        <f>YEAR(Q266)</f>
        <v/>
      </c>
      <c r="Q266" s="97" t="n">
        <v>44659</v>
      </c>
      <c r="R266" s="98" t="n">
        <v>0.05016</v>
      </c>
      <c r="T266" s="27">
        <f>YEAR(U266)</f>
        <v/>
      </c>
      <c r="U266" s="97" t="n">
        <v>44663</v>
      </c>
      <c r="V266" s="98" t="n">
        <v>0.05699</v>
      </c>
    </row>
    <row r="267">
      <c r="P267" s="27">
        <f>YEAR(Q267)</f>
        <v/>
      </c>
      <c r="Q267" s="95" t="n">
        <v>44662</v>
      </c>
      <c r="R267" s="96" t="n">
        <v>0.04792</v>
      </c>
      <c r="T267" s="27">
        <f>YEAR(U267)</f>
        <v/>
      </c>
      <c r="U267" s="95" t="n">
        <v>44664</v>
      </c>
      <c r="V267" s="96" t="n">
        <v>0.05704</v>
      </c>
    </row>
    <row r="268">
      <c r="P268" s="27">
        <f>YEAR(Q268)</f>
        <v/>
      </c>
      <c r="Q268" s="97" t="n">
        <v>44663</v>
      </c>
      <c r="R268" s="98" t="n">
        <v>0.04817999999999999</v>
      </c>
      <c r="T268" s="27">
        <f>YEAR(U268)</f>
        <v/>
      </c>
      <c r="U268" s="97" t="n">
        <v>44665</v>
      </c>
      <c r="V268" s="98" t="n">
        <v>0.05704</v>
      </c>
    </row>
    <row r="269">
      <c r="P269" s="27">
        <f>YEAR(Q269)</f>
        <v/>
      </c>
      <c r="Q269" s="95" t="n">
        <v>44664</v>
      </c>
      <c r="R269" s="96" t="n">
        <v>0.05002</v>
      </c>
      <c r="T269" s="27">
        <f>YEAR(U269)</f>
        <v/>
      </c>
      <c r="U269" s="95" t="n">
        <v>44671</v>
      </c>
      <c r="V269" s="96" t="n">
        <v>0.05738000000000001</v>
      </c>
    </row>
    <row r="270">
      <c r="P270" s="27">
        <f>YEAR(Q270)</f>
        <v/>
      </c>
      <c r="Q270" s="97" t="n">
        <v>44665</v>
      </c>
      <c r="R270" s="98" t="n">
        <v>0.05002</v>
      </c>
      <c r="T270" s="27">
        <f>YEAR(U270)</f>
        <v/>
      </c>
      <c r="U270" s="97" t="n">
        <v>44672</v>
      </c>
      <c r="V270" s="98" t="n">
        <v>0.05739</v>
      </c>
    </row>
    <row r="271">
      <c r="P271" s="27">
        <f>YEAR(Q271)</f>
        <v/>
      </c>
      <c r="Q271" s="95" t="n">
        <v>44666</v>
      </c>
      <c r="R271" s="96" t="n">
        <v>0.05002</v>
      </c>
      <c r="T271" s="27">
        <f>YEAR(U271)</f>
        <v/>
      </c>
      <c r="U271" s="95" t="n">
        <v>44673</v>
      </c>
      <c r="V271" s="96" t="n">
        <v>0.05779</v>
      </c>
    </row>
    <row r="272">
      <c r="P272" s="27">
        <f>YEAR(Q272)</f>
        <v/>
      </c>
      <c r="Q272" s="97" t="n">
        <v>44670</v>
      </c>
      <c r="R272" s="98" t="n">
        <v>0.0504</v>
      </c>
      <c r="T272" s="27">
        <f>YEAR(U272)</f>
        <v/>
      </c>
      <c r="U272" s="97" t="n">
        <v>44677</v>
      </c>
      <c r="V272" s="98" t="n">
        <v>0.05883</v>
      </c>
    </row>
    <row r="273">
      <c r="P273" s="27">
        <f>YEAR(Q273)</f>
        <v/>
      </c>
      <c r="Q273" s="95" t="n">
        <v>44671</v>
      </c>
      <c r="R273" s="96" t="n">
        <v>0.04835</v>
      </c>
      <c r="T273" s="27">
        <f>YEAR(U273)</f>
        <v/>
      </c>
      <c r="U273" s="95" t="n">
        <v>44678</v>
      </c>
      <c r="V273" s="96" t="n">
        <v>0.05884</v>
      </c>
    </row>
    <row r="274">
      <c r="P274" s="27">
        <f>YEAR(Q274)</f>
        <v/>
      </c>
      <c r="Q274" s="97" t="n">
        <v>44672</v>
      </c>
      <c r="R274" s="98" t="n">
        <v>0.04833999999999999</v>
      </c>
      <c r="T274" s="27">
        <f>YEAR(U274)</f>
        <v/>
      </c>
      <c r="U274" s="97" t="n">
        <v>44679</v>
      </c>
      <c r="V274" s="98" t="n">
        <v>0.05787</v>
      </c>
    </row>
    <row r="275">
      <c r="P275" s="27">
        <f>YEAR(Q275)</f>
        <v/>
      </c>
      <c r="Q275" s="95" t="n">
        <v>44673</v>
      </c>
      <c r="R275" s="96" t="n">
        <v>0.04868</v>
      </c>
      <c r="T275" s="27">
        <f>YEAR(U275)</f>
        <v/>
      </c>
      <c r="U275" s="95" t="n">
        <v>44684</v>
      </c>
      <c r="V275" s="96" t="n">
        <v>0.05886</v>
      </c>
    </row>
    <row r="276">
      <c r="P276" s="27">
        <f>YEAR(Q276)</f>
        <v/>
      </c>
      <c r="Q276" s="97" t="n">
        <v>44676</v>
      </c>
      <c r="R276" s="98" t="n">
        <v>0.0504</v>
      </c>
      <c r="T276" s="27">
        <f>YEAR(U276)</f>
        <v/>
      </c>
      <c r="U276" s="97" t="n">
        <v>44685</v>
      </c>
      <c r="V276" s="98" t="n">
        <v>0.06031</v>
      </c>
    </row>
    <row r="277">
      <c r="P277" s="27">
        <f>YEAR(Q277)</f>
        <v/>
      </c>
      <c r="Q277" s="95" t="n">
        <v>44677</v>
      </c>
      <c r="R277" s="96" t="n">
        <v>0.04876</v>
      </c>
      <c r="T277" s="27">
        <f>YEAR(U277)</f>
        <v/>
      </c>
      <c r="U277" s="95" t="n">
        <v>44686</v>
      </c>
      <c r="V277" s="96" t="n">
        <v>0.06086</v>
      </c>
    </row>
    <row r="278">
      <c r="P278" s="27">
        <f>YEAR(Q278)</f>
        <v/>
      </c>
      <c r="Q278" s="97" t="n">
        <v>44678</v>
      </c>
      <c r="R278" s="98" t="n">
        <v>0.04875</v>
      </c>
      <c r="T278" s="27">
        <f>YEAR(U278)</f>
        <v/>
      </c>
      <c r="U278" s="97" t="n">
        <v>44691</v>
      </c>
      <c r="V278" s="98" t="n">
        <v>0.05939</v>
      </c>
    </row>
    <row r="279">
      <c r="P279" s="27">
        <f>YEAR(Q279)</f>
        <v/>
      </c>
      <c r="Q279" s="95" t="n">
        <v>44679</v>
      </c>
      <c r="R279" s="96" t="n">
        <v>0.04758</v>
      </c>
      <c r="T279" s="27">
        <f>YEAR(U279)</f>
        <v/>
      </c>
      <c r="U279" s="95" t="n">
        <v>44694</v>
      </c>
      <c r="V279" s="96" t="n">
        <v>0.05807</v>
      </c>
    </row>
    <row r="280">
      <c r="P280" s="27">
        <f>YEAR(Q280)</f>
        <v/>
      </c>
      <c r="Q280" s="97" t="n">
        <v>44680</v>
      </c>
      <c r="R280" s="98" t="n">
        <v>0.04758</v>
      </c>
      <c r="T280" s="27">
        <f>YEAR(U280)</f>
        <v/>
      </c>
      <c r="U280" s="97" t="n">
        <v>44697</v>
      </c>
      <c r="V280" s="98" t="n">
        <v>0.05937000000000001</v>
      </c>
    </row>
    <row r="281">
      <c r="P281" s="27">
        <f>YEAR(Q281)</f>
        <v/>
      </c>
      <c r="Q281" s="95" t="n">
        <v>44684</v>
      </c>
      <c r="R281" s="96" t="n">
        <v>0.04886</v>
      </c>
      <c r="T281" s="27">
        <f>YEAR(U281)</f>
        <v/>
      </c>
      <c r="U281" s="95" t="n">
        <v>44700</v>
      </c>
      <c r="V281" s="96" t="n">
        <v>0.06018</v>
      </c>
    </row>
    <row r="282">
      <c r="P282" s="27">
        <f>YEAR(Q282)</f>
        <v/>
      </c>
      <c r="Q282" s="97" t="n">
        <v>44685</v>
      </c>
      <c r="R282" s="98" t="n">
        <v>0.05107999999999999</v>
      </c>
      <c r="T282" s="27">
        <f>YEAR(U282)</f>
        <v/>
      </c>
      <c r="U282" s="97" t="n">
        <v>44701</v>
      </c>
      <c r="V282" s="98" t="n">
        <v>0.05876000000000001</v>
      </c>
    </row>
    <row r="283">
      <c r="P283" s="27">
        <f>YEAR(Q283)</f>
        <v/>
      </c>
      <c r="Q283" s="95" t="n">
        <v>44686</v>
      </c>
      <c r="R283" s="96" t="n">
        <v>0.05111</v>
      </c>
      <c r="T283" s="27">
        <f>YEAR(U283)</f>
        <v/>
      </c>
      <c r="U283" s="95" t="n">
        <v>44705</v>
      </c>
      <c r="V283" s="96" t="n">
        <v>0.06091999999999999</v>
      </c>
    </row>
    <row r="284">
      <c r="P284" s="27">
        <f>YEAR(Q284)</f>
        <v/>
      </c>
      <c r="Q284" s="97" t="n">
        <v>44687</v>
      </c>
      <c r="R284" s="98" t="n">
        <v>0.05110000000000001</v>
      </c>
      <c r="T284" s="27">
        <f>YEAR(U284)</f>
        <v/>
      </c>
      <c r="U284" s="97" t="n">
        <v>44706</v>
      </c>
      <c r="V284" s="98" t="n">
        <v>0.06093</v>
      </c>
    </row>
    <row r="285">
      <c r="P285" s="27">
        <f>YEAR(Q285)</f>
        <v/>
      </c>
      <c r="Q285" s="95" t="n">
        <v>44690</v>
      </c>
      <c r="R285" s="96" t="n">
        <v>0.05102</v>
      </c>
      <c r="T285" s="27">
        <f>YEAR(U285)</f>
        <v/>
      </c>
      <c r="U285" s="95" t="n">
        <v>44708</v>
      </c>
      <c r="V285" s="96" t="n">
        <v>0.06093</v>
      </c>
    </row>
    <row r="286">
      <c r="P286" s="27">
        <f>YEAR(Q286)</f>
        <v/>
      </c>
      <c r="Q286" s="97" t="n">
        <v>44691</v>
      </c>
      <c r="R286" s="98" t="n">
        <v>0.05102</v>
      </c>
      <c r="T286" s="27">
        <f>YEAR(U286)</f>
        <v/>
      </c>
      <c r="U286" s="97" t="n">
        <v>44714</v>
      </c>
      <c r="V286" s="98" t="n">
        <v>0.06004</v>
      </c>
    </row>
    <row r="287">
      <c r="P287" s="27">
        <f>YEAR(Q287)</f>
        <v/>
      </c>
      <c r="Q287" s="95" t="n">
        <v>44692</v>
      </c>
      <c r="R287" s="96" t="n">
        <v>0.05102</v>
      </c>
      <c r="T287" s="27">
        <f>YEAR(U287)</f>
        <v/>
      </c>
      <c r="U287" s="95" t="n">
        <v>44719</v>
      </c>
      <c r="V287" s="96" t="n">
        <v>0.05841</v>
      </c>
    </row>
    <row r="288">
      <c r="P288" s="27">
        <f>YEAR(Q288)</f>
        <v/>
      </c>
      <c r="Q288" s="97" t="n">
        <v>44693</v>
      </c>
      <c r="R288" s="98" t="n">
        <v>0.05102</v>
      </c>
      <c r="T288" s="27">
        <f>YEAR(U288)</f>
        <v/>
      </c>
      <c r="U288" s="97" t="n">
        <v>44720</v>
      </c>
      <c r="V288" s="98" t="n">
        <v>0.06098</v>
      </c>
    </row>
    <row r="289">
      <c r="P289" s="27">
        <f>YEAR(Q289)</f>
        <v/>
      </c>
      <c r="Q289" s="95" t="n">
        <v>44694</v>
      </c>
      <c r="R289" s="96" t="n">
        <v>0.04758</v>
      </c>
      <c r="T289" s="27">
        <f>YEAR(U289)</f>
        <v/>
      </c>
      <c r="U289" s="95" t="n">
        <v>44722</v>
      </c>
      <c r="V289" s="96" t="n">
        <v>0.05921000000000001</v>
      </c>
    </row>
    <row r="290">
      <c r="P290" s="27">
        <f>YEAR(Q290)</f>
        <v/>
      </c>
      <c r="Q290" s="97" t="n">
        <v>44697</v>
      </c>
      <c r="R290" s="98" t="n">
        <v>0.05101</v>
      </c>
      <c r="T290" s="27">
        <f>YEAR(U290)</f>
        <v/>
      </c>
      <c r="U290" s="97" t="n">
        <v>44725</v>
      </c>
      <c r="V290" s="98" t="n">
        <v>0.06099</v>
      </c>
    </row>
    <row r="291">
      <c r="P291" s="27">
        <f>YEAR(Q291)</f>
        <v/>
      </c>
      <c r="Q291" s="95" t="n">
        <v>44698</v>
      </c>
      <c r="R291" s="96" t="n">
        <v>0.05099</v>
      </c>
      <c r="T291" s="27">
        <f>YEAR(U291)</f>
        <v/>
      </c>
      <c r="U291" s="95" t="n">
        <v>44726</v>
      </c>
      <c r="V291" s="96" t="n">
        <v>0.06047</v>
      </c>
    </row>
    <row r="292">
      <c r="P292" s="27">
        <f>YEAR(Q292)</f>
        <v/>
      </c>
      <c r="Q292" s="97" t="n">
        <v>44699</v>
      </c>
      <c r="R292" s="98" t="n">
        <v>0.05099</v>
      </c>
      <c r="T292" s="27">
        <f>YEAR(U292)</f>
        <v/>
      </c>
      <c r="U292" s="97" t="n">
        <v>44727</v>
      </c>
      <c r="V292" s="98" t="n">
        <v>0.059</v>
      </c>
    </row>
    <row r="293">
      <c r="P293" s="27">
        <f>YEAR(Q293)</f>
        <v/>
      </c>
      <c r="Q293" s="95" t="n">
        <v>44700</v>
      </c>
      <c r="R293" s="96" t="n">
        <v>0.0513</v>
      </c>
      <c r="T293" s="27">
        <f>YEAR(U293)</f>
        <v/>
      </c>
      <c r="U293" s="95" t="n">
        <v>44728</v>
      </c>
      <c r="V293" s="96" t="n">
        <v>0.061</v>
      </c>
    </row>
    <row r="294">
      <c r="P294" s="27">
        <f>YEAR(Q294)</f>
        <v/>
      </c>
      <c r="Q294" s="97" t="n">
        <v>44701</v>
      </c>
      <c r="R294" s="98" t="n">
        <v>0.05229</v>
      </c>
      <c r="T294" s="27">
        <f>YEAR(U294)</f>
        <v/>
      </c>
      <c r="U294" s="97" t="n">
        <v>44729</v>
      </c>
      <c r="V294" s="98" t="n">
        <v>0.06101</v>
      </c>
    </row>
    <row r="295">
      <c r="P295" s="27">
        <f>YEAR(Q295)</f>
        <v/>
      </c>
      <c r="Q295" s="95" t="n">
        <v>44704</v>
      </c>
      <c r="R295" s="96" t="n">
        <v>0.05099</v>
      </c>
      <c r="T295" s="27">
        <f>YEAR(U295)</f>
        <v/>
      </c>
      <c r="U295" s="95" t="n">
        <v>44732</v>
      </c>
      <c r="V295" s="96" t="n">
        <v>0.06045</v>
      </c>
    </row>
    <row r="296">
      <c r="P296" s="27">
        <f>YEAR(Q296)</f>
        <v/>
      </c>
      <c r="Q296" s="97" t="n">
        <v>44705</v>
      </c>
      <c r="R296" s="98" t="n">
        <v>0.0509</v>
      </c>
      <c r="T296" s="27">
        <f>YEAR(U296)</f>
        <v/>
      </c>
      <c r="U296" s="97" t="n">
        <v>44733</v>
      </c>
      <c r="V296" s="98" t="n">
        <v>0.05902</v>
      </c>
    </row>
    <row r="297">
      <c r="P297" s="27">
        <f>YEAR(Q297)</f>
        <v/>
      </c>
      <c r="Q297" s="95" t="n">
        <v>44706</v>
      </c>
      <c r="R297" s="96" t="n">
        <v>0.05089</v>
      </c>
      <c r="T297" s="27">
        <f>YEAR(U297)</f>
        <v/>
      </c>
      <c r="U297" s="95" t="n">
        <v>44734</v>
      </c>
      <c r="V297" s="96" t="n">
        <v>0.06103</v>
      </c>
    </row>
    <row r="298">
      <c r="P298" s="27">
        <f>YEAR(Q298)</f>
        <v/>
      </c>
      <c r="Q298" s="97" t="n">
        <v>44708</v>
      </c>
      <c r="R298" s="98" t="n">
        <v>0.05087</v>
      </c>
      <c r="T298" s="27">
        <f>YEAR(U298)</f>
        <v/>
      </c>
      <c r="U298" s="97" t="n">
        <v>44735</v>
      </c>
      <c r="V298" s="98" t="n">
        <v>0.05903</v>
      </c>
    </row>
    <row r="299">
      <c r="P299" s="27">
        <f>YEAR(Q299)</f>
        <v/>
      </c>
      <c r="Q299" s="95" t="n">
        <v>44711</v>
      </c>
      <c r="R299" s="96" t="n">
        <v>0.05099</v>
      </c>
      <c r="T299" s="27">
        <f>YEAR(U299)</f>
        <v/>
      </c>
      <c r="U299" s="95" t="n">
        <v>44736</v>
      </c>
      <c r="V299" s="96" t="n">
        <v>0.05903</v>
      </c>
    </row>
    <row r="300">
      <c r="P300" s="27">
        <f>YEAR(Q300)</f>
        <v/>
      </c>
      <c r="Q300" s="97" t="n">
        <v>44712</v>
      </c>
      <c r="R300" s="98" t="n">
        <v>0.05099</v>
      </c>
      <c r="T300" s="27">
        <f>YEAR(U300)</f>
        <v/>
      </c>
      <c r="U300" s="97" t="n">
        <v>44739</v>
      </c>
      <c r="V300" s="98" t="n">
        <v>0.05980000000000001</v>
      </c>
    </row>
    <row r="301">
      <c r="P301" s="27">
        <f>YEAR(Q301)</f>
        <v/>
      </c>
      <c r="Q301" s="95" t="n">
        <v>44713</v>
      </c>
      <c r="R301" s="96" t="n">
        <v>0.05099</v>
      </c>
      <c r="T301" s="27">
        <f>YEAR(U301)</f>
        <v/>
      </c>
      <c r="U301" s="95" t="n">
        <v>44740</v>
      </c>
      <c r="V301" s="96" t="n">
        <v>0.05783000000000001</v>
      </c>
    </row>
    <row r="302">
      <c r="P302" s="27">
        <f>YEAR(Q302)</f>
        <v/>
      </c>
      <c r="Q302" s="97" t="n">
        <v>44714</v>
      </c>
      <c r="R302" s="98" t="n">
        <v>0.05125</v>
      </c>
      <c r="T302" s="27">
        <f>YEAR(U302)</f>
        <v/>
      </c>
      <c r="U302" s="97" t="n">
        <v>44741</v>
      </c>
      <c r="V302" s="98" t="n">
        <v>0.0551</v>
      </c>
    </row>
    <row r="303">
      <c r="P303" s="27">
        <f>YEAR(Q303)</f>
        <v/>
      </c>
      <c r="Q303" s="95" t="n">
        <v>44715</v>
      </c>
      <c r="R303" s="96" t="n">
        <v>0.05099</v>
      </c>
      <c r="T303" s="27">
        <f>YEAR(U303)</f>
        <v/>
      </c>
      <c r="U303" s="95" t="n">
        <v>44742</v>
      </c>
      <c r="V303" s="96" t="n">
        <v>0.05708999999999999</v>
      </c>
    </row>
    <row r="304">
      <c r="P304" s="27">
        <f>YEAR(Q304)</f>
        <v/>
      </c>
      <c r="Q304" s="97" t="n">
        <v>44719</v>
      </c>
      <c r="R304" s="98" t="n">
        <v>0.0472</v>
      </c>
      <c r="T304" s="27">
        <f>YEAR(U304)</f>
        <v/>
      </c>
      <c r="U304" s="97" t="n">
        <v>44746</v>
      </c>
      <c r="V304" s="98" t="n">
        <v>0.05841</v>
      </c>
    </row>
    <row r="305">
      <c r="P305" s="27">
        <f>YEAR(Q305)</f>
        <v/>
      </c>
      <c r="Q305" s="95" t="n">
        <v>44720</v>
      </c>
      <c r="R305" s="96" t="n">
        <v>0.05082</v>
      </c>
      <c r="T305" s="27">
        <f>YEAR(U305)</f>
        <v/>
      </c>
      <c r="U305" s="95" t="n">
        <v>44747</v>
      </c>
      <c r="V305" s="96" t="n">
        <v>0.05508</v>
      </c>
    </row>
    <row r="306">
      <c r="P306" s="27">
        <f>YEAR(Q306)</f>
        <v/>
      </c>
      <c r="Q306" s="97" t="n">
        <v>44721</v>
      </c>
      <c r="R306" s="98" t="n">
        <v>0.05082</v>
      </c>
      <c r="T306" s="27">
        <f>YEAR(U306)</f>
        <v/>
      </c>
      <c r="U306" s="97" t="n">
        <v>44748</v>
      </c>
      <c r="V306" s="98" t="n">
        <v>0.05508</v>
      </c>
    </row>
    <row r="307">
      <c r="P307" s="27">
        <f>YEAR(Q307)</f>
        <v/>
      </c>
      <c r="Q307" s="95" t="n">
        <v>44722</v>
      </c>
      <c r="R307" s="96" t="n">
        <v>0.04862</v>
      </c>
      <c r="T307" s="27">
        <f>YEAR(U307)</f>
        <v/>
      </c>
      <c r="U307" s="95" t="n">
        <v>44749</v>
      </c>
      <c r="V307" s="96" t="n">
        <v>0.05707</v>
      </c>
    </row>
    <row r="308">
      <c r="P308" s="27">
        <f>YEAR(Q308)</f>
        <v/>
      </c>
      <c r="Q308" s="97" t="n">
        <v>44725</v>
      </c>
      <c r="R308" s="98" t="n">
        <v>0.05084</v>
      </c>
      <c r="T308" s="27">
        <f>YEAR(U308)</f>
        <v/>
      </c>
      <c r="U308" s="97" t="n">
        <v>44750</v>
      </c>
      <c r="V308" s="98" t="n">
        <v>0.0597</v>
      </c>
    </row>
    <row r="309">
      <c r="P309" s="27">
        <f>YEAR(Q309)</f>
        <v/>
      </c>
      <c r="Q309" s="95" t="n">
        <v>44726</v>
      </c>
      <c r="R309" s="96" t="n">
        <v>0.051</v>
      </c>
      <c r="T309" s="27">
        <f>YEAR(U309)</f>
        <v/>
      </c>
      <c r="U309" s="95" t="n">
        <v>44753</v>
      </c>
      <c r="V309" s="96" t="n">
        <v>0.05966999999999999</v>
      </c>
    </row>
    <row r="310">
      <c r="P310" s="27">
        <f>YEAR(Q310)</f>
        <v/>
      </c>
      <c r="Q310" s="97" t="n">
        <v>44727</v>
      </c>
      <c r="R310" s="98" t="n">
        <v>0.05084</v>
      </c>
      <c r="T310" s="27">
        <f>YEAR(U310)</f>
        <v/>
      </c>
      <c r="U310" s="97" t="n">
        <v>44754</v>
      </c>
      <c r="V310" s="98" t="n">
        <v>0.05837</v>
      </c>
    </row>
    <row r="311">
      <c r="P311" s="27">
        <f>YEAR(Q311)</f>
        <v/>
      </c>
      <c r="Q311" s="95" t="n">
        <v>44728</v>
      </c>
      <c r="R311" s="96" t="n">
        <v>0.05129</v>
      </c>
      <c r="T311" s="27">
        <f>YEAR(U311)</f>
        <v/>
      </c>
      <c r="U311" s="95" t="n">
        <v>44755</v>
      </c>
      <c r="V311" s="96" t="n">
        <v>0.05706000000000001</v>
      </c>
    </row>
    <row r="312">
      <c r="P312" s="27">
        <f>YEAR(Q312)</f>
        <v/>
      </c>
      <c r="Q312" s="97" t="n">
        <v>44729</v>
      </c>
      <c r="R312" s="98" t="n">
        <v>0.05128</v>
      </c>
      <c r="T312" s="27">
        <f>YEAR(U312)</f>
        <v/>
      </c>
      <c r="U312" s="97" t="n">
        <v>44756</v>
      </c>
      <c r="V312" s="98" t="n">
        <v>0.05706000000000001</v>
      </c>
    </row>
    <row r="313">
      <c r="P313" s="27">
        <f>YEAR(Q313)</f>
        <v/>
      </c>
      <c r="Q313" s="95" t="n">
        <v>44732</v>
      </c>
      <c r="R313" s="96" t="n">
        <v>0.05158</v>
      </c>
      <c r="T313" s="27">
        <f>YEAR(U313)</f>
        <v/>
      </c>
      <c r="U313" s="95" t="n">
        <v>44757</v>
      </c>
      <c r="V313" s="96" t="n">
        <v>0.05705</v>
      </c>
    </row>
    <row r="314">
      <c r="P314" s="27">
        <f>YEAR(Q314)</f>
        <v/>
      </c>
      <c r="Q314" s="97" t="n">
        <v>44733</v>
      </c>
      <c r="R314" s="98" t="n">
        <v>0.0515</v>
      </c>
      <c r="T314" s="27">
        <f>YEAR(U314)</f>
        <v/>
      </c>
      <c r="U314" s="97" t="n">
        <v>44760</v>
      </c>
      <c r="V314" s="98" t="n">
        <v>0.05704</v>
      </c>
    </row>
    <row r="315">
      <c r="P315" s="27">
        <f>YEAR(Q315)</f>
        <v/>
      </c>
      <c r="Q315" s="95" t="n">
        <v>44734</v>
      </c>
      <c r="R315" s="96" t="n">
        <v>0.05149</v>
      </c>
      <c r="T315" s="27">
        <f>YEAR(U315)</f>
        <v/>
      </c>
      <c r="U315" s="95" t="n">
        <v>44761</v>
      </c>
      <c r="V315" s="96" t="n">
        <v>0.05742</v>
      </c>
    </row>
    <row r="316">
      <c r="P316" s="27">
        <f>YEAR(Q316)</f>
        <v/>
      </c>
      <c r="Q316" s="97" t="n">
        <v>44735</v>
      </c>
      <c r="R316" s="98" t="n">
        <v>0.05148</v>
      </c>
      <c r="T316" s="27">
        <f>YEAR(U316)</f>
        <v/>
      </c>
      <c r="U316" s="97" t="n">
        <v>44762</v>
      </c>
      <c r="V316" s="98" t="n">
        <v>0.05741</v>
      </c>
    </row>
    <row r="317">
      <c r="P317" s="27">
        <f>YEAR(Q317)</f>
        <v/>
      </c>
      <c r="Q317" s="95" t="n">
        <v>44736</v>
      </c>
      <c r="R317" s="96" t="n">
        <v>0.05177</v>
      </c>
      <c r="T317" s="27">
        <f>YEAR(U317)</f>
        <v/>
      </c>
      <c r="U317" s="95" t="n">
        <v>44763</v>
      </c>
      <c r="V317" s="96" t="n">
        <v>0.05778</v>
      </c>
    </row>
    <row r="318">
      <c r="P318" s="27">
        <f>YEAR(Q318)</f>
        <v/>
      </c>
      <c r="Q318" s="97" t="n">
        <v>44739</v>
      </c>
      <c r="R318" s="98" t="n">
        <v>0.05123999999999999</v>
      </c>
      <c r="T318" s="27">
        <f>YEAR(U318)</f>
        <v/>
      </c>
      <c r="U318" s="97" t="n">
        <v>44764</v>
      </c>
      <c r="V318" s="98" t="n">
        <v>0.0574</v>
      </c>
    </row>
    <row r="319">
      <c r="P319" s="27">
        <f>YEAR(Q319)</f>
        <v/>
      </c>
      <c r="Q319" s="95" t="n">
        <v>44740</v>
      </c>
      <c r="R319" s="96" t="n">
        <v>0.05030999999999999</v>
      </c>
      <c r="T319" s="27">
        <f>YEAR(U319)</f>
        <v/>
      </c>
      <c r="U319" s="95" t="n">
        <v>44767</v>
      </c>
      <c r="V319" s="96" t="n">
        <v>0.05703</v>
      </c>
    </row>
    <row r="320">
      <c r="P320" s="27">
        <f>YEAR(Q320)</f>
        <v/>
      </c>
      <c r="Q320" s="97" t="n">
        <v>44741</v>
      </c>
      <c r="R320" s="98" t="n">
        <v>0.0503</v>
      </c>
      <c r="T320" s="27">
        <f>YEAR(U320)</f>
        <v/>
      </c>
      <c r="U320" s="97" t="n">
        <v>44768</v>
      </c>
      <c r="V320" s="98" t="n">
        <v>0.0581</v>
      </c>
    </row>
    <row r="321">
      <c r="P321" s="27">
        <f>YEAR(Q321)</f>
        <v/>
      </c>
      <c r="Q321" s="95" t="n">
        <v>44742</v>
      </c>
      <c r="R321" s="96" t="n">
        <v>0.05028</v>
      </c>
      <c r="T321" s="27">
        <f>YEAR(U321)</f>
        <v/>
      </c>
      <c r="U321" s="95" t="n">
        <v>44769</v>
      </c>
      <c r="V321" s="96" t="n">
        <v>0.05864</v>
      </c>
    </row>
    <row r="322">
      <c r="P322" s="27">
        <f>YEAR(Q322)</f>
        <v/>
      </c>
      <c r="Q322" s="97" t="n">
        <v>44743</v>
      </c>
      <c r="R322" s="98" t="n">
        <v>0.05027</v>
      </c>
      <c r="T322" s="27">
        <f>YEAR(U322)</f>
        <v/>
      </c>
      <c r="U322" s="97" t="n">
        <v>44770</v>
      </c>
      <c r="V322" s="98" t="n">
        <v>0.05775</v>
      </c>
    </row>
    <row r="323">
      <c r="P323" s="27">
        <f>YEAR(Q323)</f>
        <v/>
      </c>
      <c r="Q323" s="95" t="n">
        <v>44746</v>
      </c>
      <c r="R323" s="96" t="n">
        <v>0.0507</v>
      </c>
      <c r="T323" s="27">
        <f>YEAR(U323)</f>
        <v/>
      </c>
      <c r="U323" s="95" t="n">
        <v>44771</v>
      </c>
      <c r="V323" s="96" t="n">
        <v>0.05862</v>
      </c>
    </row>
    <row r="324">
      <c r="P324" s="27">
        <f>YEAR(Q324)</f>
        <v/>
      </c>
      <c r="Q324" s="97" t="n">
        <v>44747</v>
      </c>
      <c r="R324" s="98" t="n">
        <v>0.05023</v>
      </c>
      <c r="T324" s="27">
        <f>YEAR(U324)</f>
        <v/>
      </c>
      <c r="U324" s="97" t="n">
        <v>44774</v>
      </c>
      <c r="V324" s="98" t="n">
        <v>0.05807</v>
      </c>
    </row>
    <row r="325">
      <c r="P325" s="27">
        <f>YEAR(Q325)</f>
        <v/>
      </c>
      <c r="Q325" s="95" t="n">
        <v>44748</v>
      </c>
      <c r="R325" s="96" t="n">
        <v>0.05022</v>
      </c>
      <c r="T325" s="27">
        <f>YEAR(U325)</f>
        <v/>
      </c>
      <c r="U325" s="95" t="n">
        <v>44775</v>
      </c>
      <c r="V325" s="96" t="n">
        <v>0.05806</v>
      </c>
    </row>
    <row r="326">
      <c r="P326" s="27">
        <f>YEAR(Q326)</f>
        <v/>
      </c>
      <c r="Q326" s="97" t="n">
        <v>44749</v>
      </c>
      <c r="R326" s="98" t="n">
        <v>0.05019999999999999</v>
      </c>
      <c r="T326" s="27">
        <f>YEAR(U326)</f>
        <v/>
      </c>
      <c r="U326" s="97" t="n">
        <v>44776</v>
      </c>
      <c r="V326" s="98" t="n">
        <v>0.05735999999999999</v>
      </c>
    </row>
    <row r="327">
      <c r="P327" s="27">
        <f>YEAR(Q327)</f>
        <v/>
      </c>
      <c r="Q327" s="95" t="n">
        <v>44750</v>
      </c>
      <c r="R327" s="96" t="n">
        <v>0.05066</v>
      </c>
      <c r="T327" s="27">
        <f>YEAR(U327)</f>
        <v/>
      </c>
      <c r="U327" s="95" t="n">
        <v>44777</v>
      </c>
      <c r="V327" s="96" t="n">
        <v>0.055</v>
      </c>
    </row>
    <row r="328">
      <c r="P328" s="27">
        <f>YEAR(Q328)</f>
        <v/>
      </c>
      <c r="Q328" s="97" t="n">
        <v>44753</v>
      </c>
      <c r="R328" s="98" t="n">
        <v>0.05121000000000001</v>
      </c>
      <c r="T328" s="27">
        <f>YEAR(U328)</f>
        <v/>
      </c>
      <c r="U328" s="97" t="n">
        <v>44778</v>
      </c>
      <c r="V328" s="98" t="n">
        <v>0.05943</v>
      </c>
    </row>
    <row r="329">
      <c r="P329" s="27">
        <f>YEAR(Q329)</f>
        <v/>
      </c>
      <c r="Q329" s="95" t="n">
        <v>44754</v>
      </c>
      <c r="R329" s="96" t="n">
        <v>0.05015</v>
      </c>
      <c r="T329" s="27">
        <f>YEAR(U329)</f>
        <v/>
      </c>
      <c r="U329" s="95" t="n">
        <v>44783</v>
      </c>
      <c r="V329" s="96" t="n">
        <v>0.05818</v>
      </c>
    </row>
    <row r="330">
      <c r="P330" s="27">
        <f>YEAR(Q330)</f>
        <v/>
      </c>
      <c r="Q330" s="97" t="n">
        <v>44755</v>
      </c>
      <c r="R330" s="98" t="n">
        <v>0.05014</v>
      </c>
      <c r="T330" s="27">
        <f>YEAR(U330)</f>
        <v/>
      </c>
      <c r="U330" s="97" t="n">
        <v>44789</v>
      </c>
      <c r="V330" s="98" t="n">
        <v>0.05875</v>
      </c>
    </row>
    <row r="331">
      <c r="P331" s="27">
        <f>YEAR(Q331)</f>
        <v/>
      </c>
      <c r="Q331" s="95" t="n">
        <v>44756</v>
      </c>
      <c r="R331" s="96" t="n">
        <v>0.05012</v>
      </c>
      <c r="T331" s="27">
        <f>YEAR(U331)</f>
        <v/>
      </c>
      <c r="U331" s="95" t="n">
        <v>44790</v>
      </c>
      <c r="V331" s="96" t="n">
        <v>0.05873999999999999</v>
      </c>
    </row>
    <row r="332">
      <c r="P332" s="27">
        <f>YEAR(Q332)</f>
        <v/>
      </c>
      <c r="Q332" s="97" t="n">
        <v>44757</v>
      </c>
      <c r="R332" s="98" t="n">
        <v>0.05011</v>
      </c>
      <c r="T332" s="27">
        <f>YEAR(U332)</f>
        <v/>
      </c>
      <c r="U332" s="97" t="n">
        <v>44795</v>
      </c>
      <c r="V332" s="98" t="n">
        <v>0.05729</v>
      </c>
    </row>
    <row r="333">
      <c r="P333" s="27">
        <f>YEAR(Q333)</f>
        <v/>
      </c>
      <c r="Q333" s="95" t="n">
        <v>44760</v>
      </c>
      <c r="R333" s="96" t="n">
        <v>0.05008</v>
      </c>
      <c r="T333" s="27">
        <f>YEAR(U333)</f>
        <v/>
      </c>
      <c r="U333" s="95" t="n">
        <v>44796</v>
      </c>
      <c r="V333" s="96" t="n">
        <v>0.05495</v>
      </c>
    </row>
    <row r="334">
      <c r="P334" s="27">
        <f>YEAR(Q334)</f>
        <v/>
      </c>
      <c r="Q334" s="97" t="n">
        <v>44761</v>
      </c>
      <c r="R334" s="98" t="n">
        <v>0.04816</v>
      </c>
      <c r="T334" s="27">
        <f>YEAR(U334)</f>
        <v/>
      </c>
      <c r="U334" s="97" t="n">
        <v>44797</v>
      </c>
      <c r="V334" s="98" t="n">
        <v>0.05695</v>
      </c>
    </row>
    <row r="335">
      <c r="P335" s="27">
        <f>YEAR(Q335)</f>
        <v/>
      </c>
      <c r="Q335" s="95" t="n">
        <v>44762</v>
      </c>
      <c r="R335" s="96" t="n">
        <v>0.04871</v>
      </c>
      <c r="T335" s="27">
        <f>YEAR(U335)</f>
        <v/>
      </c>
      <c r="U335" s="95" t="n">
        <v>44803</v>
      </c>
      <c r="V335" s="96" t="n">
        <v>0.05493000000000001</v>
      </c>
    </row>
    <row r="336">
      <c r="P336" s="27">
        <f>YEAR(Q336)</f>
        <v/>
      </c>
      <c r="Q336" s="97" t="n">
        <v>44763</v>
      </c>
      <c r="R336" s="98" t="n">
        <v>0.04869</v>
      </c>
      <c r="T336" s="27">
        <f>YEAR(U336)</f>
        <v/>
      </c>
      <c r="U336" s="97" t="n">
        <v>44804</v>
      </c>
      <c r="V336" s="98" t="n">
        <v>0.05493000000000001</v>
      </c>
    </row>
    <row r="337">
      <c r="P337" s="27">
        <f>YEAR(Q337)</f>
        <v/>
      </c>
      <c r="Q337" s="95" t="n">
        <v>44764</v>
      </c>
      <c r="R337" s="96" t="n">
        <v>0.04868</v>
      </c>
      <c r="T337" s="27">
        <f>YEAR(U337)</f>
        <v/>
      </c>
      <c r="U337" s="95" t="n">
        <v>44805</v>
      </c>
      <c r="V337" s="96" t="n">
        <v>0.05842</v>
      </c>
    </row>
    <row r="338">
      <c r="P338" s="27">
        <f>YEAR(Q338)</f>
        <v/>
      </c>
      <c r="Q338" s="97" t="n">
        <v>44767</v>
      </c>
      <c r="R338" s="98" t="n">
        <v>0.04923</v>
      </c>
      <c r="T338" s="27">
        <f>YEAR(U338)</f>
        <v/>
      </c>
      <c r="U338" s="97" t="n">
        <v>44806</v>
      </c>
      <c r="V338" s="98" t="n">
        <v>0.05842</v>
      </c>
    </row>
    <row r="339">
      <c r="P339" s="27">
        <f>YEAR(Q339)</f>
        <v/>
      </c>
      <c r="Q339" s="95" t="n">
        <v>44768</v>
      </c>
      <c r="R339" s="96" t="n">
        <v>0.04940000000000001</v>
      </c>
      <c r="T339" s="27">
        <f>YEAR(U339)</f>
        <v/>
      </c>
      <c r="U339" s="95" t="n">
        <v>44809</v>
      </c>
      <c r="V339" s="96" t="n">
        <v>0.05833</v>
      </c>
    </row>
    <row r="340">
      <c r="P340" s="27">
        <f>YEAR(Q340)</f>
        <v/>
      </c>
      <c r="Q340" s="97" t="n">
        <v>44769</v>
      </c>
      <c r="R340" s="98" t="n">
        <v>0.04838</v>
      </c>
      <c r="T340" s="27">
        <f>YEAR(U340)</f>
        <v/>
      </c>
      <c r="U340" s="97" t="n">
        <v>44810</v>
      </c>
      <c r="V340" s="98" t="n">
        <v>0.05917</v>
      </c>
    </row>
    <row r="341">
      <c r="P341" s="27">
        <f>YEAR(Q341)</f>
        <v/>
      </c>
      <c r="Q341" s="95" t="n">
        <v>44770</v>
      </c>
      <c r="R341" s="96" t="n">
        <v>0.04837</v>
      </c>
      <c r="T341" s="27">
        <f>YEAR(U341)</f>
        <v/>
      </c>
      <c r="U341" s="95" t="n">
        <v>44811</v>
      </c>
      <c r="V341" s="96" t="n">
        <v>0.06065</v>
      </c>
    </row>
    <row r="342">
      <c r="P342" s="27">
        <f>YEAR(Q342)</f>
        <v/>
      </c>
      <c r="Q342" s="97" t="n">
        <v>44771</v>
      </c>
      <c r="R342" s="98" t="n">
        <v>0.04937</v>
      </c>
      <c r="T342" s="27">
        <f>YEAR(U342)</f>
        <v/>
      </c>
      <c r="U342" s="97" t="n">
        <v>44812</v>
      </c>
      <c r="V342" s="98" t="n">
        <v>0.06065</v>
      </c>
    </row>
    <row r="343">
      <c r="P343" s="27">
        <f>YEAR(Q343)</f>
        <v/>
      </c>
      <c r="Q343" s="95" t="n">
        <v>44774</v>
      </c>
      <c r="R343" s="96" t="n">
        <v>0.04932</v>
      </c>
      <c r="T343" s="27">
        <f>YEAR(U343)</f>
        <v/>
      </c>
      <c r="U343" s="95" t="n">
        <v>44813</v>
      </c>
      <c r="V343" s="96" t="n">
        <v>0.05877</v>
      </c>
    </row>
    <row r="344">
      <c r="P344" s="27">
        <f>YEAR(Q344)</f>
        <v/>
      </c>
      <c r="Q344" s="97" t="n">
        <v>44775</v>
      </c>
      <c r="R344" s="98" t="n">
        <v>0.04835</v>
      </c>
      <c r="T344" s="27">
        <f>YEAR(U344)</f>
        <v/>
      </c>
      <c r="U344" s="97" t="n">
        <v>44816</v>
      </c>
      <c r="V344" s="98" t="n">
        <v>0.06065</v>
      </c>
    </row>
    <row r="345">
      <c r="P345" s="27">
        <f>YEAR(Q345)</f>
        <v/>
      </c>
      <c r="Q345" s="95" t="n">
        <v>44776</v>
      </c>
      <c r="R345" s="96" t="n">
        <v>0.04835</v>
      </c>
      <c r="T345" s="27">
        <f>YEAR(U345)</f>
        <v/>
      </c>
      <c r="U345" s="95" t="n">
        <v>44817</v>
      </c>
      <c r="V345" s="96" t="n">
        <v>0.06059999999999999</v>
      </c>
    </row>
    <row r="346">
      <c r="P346" s="27">
        <f>YEAR(Q346)</f>
        <v/>
      </c>
      <c r="Q346" s="97" t="n">
        <v>44777</v>
      </c>
      <c r="R346" s="98" t="n">
        <v>0.04923</v>
      </c>
      <c r="T346" s="27">
        <f>YEAR(U346)</f>
        <v/>
      </c>
      <c r="U346" s="97" t="n">
        <v>44818</v>
      </c>
      <c r="V346" s="98" t="n">
        <v>0.06068</v>
      </c>
    </row>
    <row r="347">
      <c r="P347" s="27">
        <f>YEAR(Q347)</f>
        <v/>
      </c>
      <c r="Q347" s="95" t="n">
        <v>44778</v>
      </c>
      <c r="R347" s="96" t="n">
        <v>0.05026</v>
      </c>
      <c r="T347" s="27">
        <f>YEAR(U347)</f>
        <v/>
      </c>
      <c r="U347" s="95" t="n">
        <v>44819</v>
      </c>
      <c r="V347" s="96" t="n">
        <v>0.06064</v>
      </c>
    </row>
    <row r="348">
      <c r="P348" s="27">
        <f>YEAR(Q348)</f>
        <v/>
      </c>
      <c r="Q348" s="97" t="n">
        <v>44782</v>
      </c>
      <c r="R348" s="98" t="n">
        <v>0.04923</v>
      </c>
      <c r="T348" s="27">
        <f>YEAR(U348)</f>
        <v/>
      </c>
      <c r="U348" s="97" t="n">
        <v>44820</v>
      </c>
      <c r="V348" s="98" t="n">
        <v>0.06037</v>
      </c>
    </row>
    <row r="349">
      <c r="P349" s="27">
        <f>YEAR(Q349)</f>
        <v/>
      </c>
      <c r="Q349" s="95" t="n">
        <v>44783</v>
      </c>
      <c r="R349" s="96" t="n">
        <v>0.05022</v>
      </c>
      <c r="T349" s="27">
        <f>YEAR(U349)</f>
        <v/>
      </c>
      <c r="U349" s="95" t="n">
        <v>44823</v>
      </c>
      <c r="V349" s="96" t="n">
        <v>0.0592</v>
      </c>
    </row>
    <row r="350">
      <c r="P350" s="27">
        <f>YEAR(Q350)</f>
        <v/>
      </c>
      <c r="Q350" s="97" t="n">
        <v>44784</v>
      </c>
      <c r="R350" s="98" t="n">
        <v>0.04923</v>
      </c>
      <c r="T350" s="27">
        <f>YEAR(U350)</f>
        <v/>
      </c>
      <c r="U350" s="97" t="n">
        <v>44824</v>
      </c>
      <c r="V350" s="98" t="n">
        <v>0.05859</v>
      </c>
    </row>
    <row r="351">
      <c r="P351" s="27">
        <f>YEAR(Q351)</f>
        <v/>
      </c>
      <c r="Q351" s="95" t="n">
        <v>44785</v>
      </c>
      <c r="R351" s="96" t="n">
        <v>0.04923</v>
      </c>
      <c r="T351" s="27">
        <f>YEAR(U351)</f>
        <v/>
      </c>
      <c r="U351" s="95" t="n">
        <v>44825</v>
      </c>
      <c r="V351" s="96" t="n">
        <v>0.05859</v>
      </c>
    </row>
    <row r="352">
      <c r="P352" s="27">
        <f>YEAR(Q352)</f>
        <v/>
      </c>
      <c r="Q352" s="97" t="n">
        <v>44789</v>
      </c>
      <c r="R352" s="98" t="n">
        <v>0.05232000000000001</v>
      </c>
      <c r="T352" s="27">
        <f>YEAR(U352)</f>
        <v/>
      </c>
      <c r="U352" s="97" t="n">
        <v>44826</v>
      </c>
      <c r="V352" s="98" t="n">
        <v>0.05859</v>
      </c>
    </row>
    <row r="353">
      <c r="P353" s="27">
        <f>YEAR(Q353)</f>
        <v/>
      </c>
      <c r="Q353" s="95" t="n">
        <v>44790</v>
      </c>
      <c r="R353" s="96" t="n">
        <v>0.04923</v>
      </c>
      <c r="T353" s="27">
        <f>YEAR(U353)</f>
        <v/>
      </c>
      <c r="U353" s="95" t="n">
        <v>44827</v>
      </c>
      <c r="V353" s="96" t="n">
        <v>0.0603</v>
      </c>
    </row>
    <row r="354">
      <c r="P354" s="27">
        <f>YEAR(Q354)</f>
        <v/>
      </c>
      <c r="Q354" s="97" t="n">
        <v>44791</v>
      </c>
      <c r="R354" s="98" t="n">
        <v>0.04923</v>
      </c>
      <c r="T354" s="27">
        <f>YEAR(U354)</f>
        <v/>
      </c>
      <c r="U354" s="97" t="n">
        <v>44830</v>
      </c>
      <c r="V354" s="98" t="n">
        <v>0.05918999999999999</v>
      </c>
    </row>
    <row r="355">
      <c r="P355" s="27">
        <f>YEAR(Q355)</f>
        <v/>
      </c>
      <c r="Q355" s="95" t="n">
        <v>44792</v>
      </c>
      <c r="R355" s="96" t="n">
        <v>0.04923</v>
      </c>
      <c r="T355" s="27">
        <f>YEAR(U355)</f>
        <v/>
      </c>
      <c r="U355" s="95" t="n">
        <v>44831</v>
      </c>
      <c r="V355" s="96" t="n">
        <v>0.05862</v>
      </c>
    </row>
    <row r="356">
      <c r="P356" s="27">
        <f>YEAR(Q356)</f>
        <v/>
      </c>
      <c r="Q356" s="97" t="n">
        <v>44795</v>
      </c>
      <c r="R356" s="98" t="n">
        <v>0.04858</v>
      </c>
      <c r="T356" s="27">
        <f>YEAR(U356)</f>
        <v/>
      </c>
      <c r="U356" s="97" t="n">
        <v>44832</v>
      </c>
      <c r="V356" s="98" t="n">
        <v>0.06093</v>
      </c>
    </row>
    <row r="357">
      <c r="P357" s="27">
        <f>YEAR(Q357)</f>
        <v/>
      </c>
      <c r="Q357" s="95" t="n">
        <v>44796</v>
      </c>
      <c r="R357" s="96" t="n">
        <v>0.04858</v>
      </c>
      <c r="T357" s="27">
        <f>YEAR(U357)</f>
        <v/>
      </c>
      <c r="U357" s="95" t="n">
        <v>44833</v>
      </c>
      <c r="V357" s="96" t="n">
        <v>0.06093</v>
      </c>
    </row>
    <row r="358">
      <c r="P358" s="27">
        <f>YEAR(Q358)</f>
        <v/>
      </c>
      <c r="Q358" s="97" t="n">
        <v>44797</v>
      </c>
      <c r="R358" s="98" t="n">
        <v>0.04923</v>
      </c>
      <c r="T358" s="27">
        <f>YEAR(U358)</f>
        <v/>
      </c>
      <c r="U358" s="97" t="n">
        <v>44834</v>
      </c>
      <c r="V358" s="98" t="n">
        <v>0.06093</v>
      </c>
    </row>
    <row r="359">
      <c r="P359" s="27">
        <f>YEAR(Q359)</f>
        <v/>
      </c>
      <c r="Q359" s="95" t="n">
        <v>44798</v>
      </c>
      <c r="R359" s="96" t="n">
        <v>0.04923</v>
      </c>
      <c r="T359" s="27">
        <f>YEAR(U359)</f>
        <v/>
      </c>
      <c r="U359" s="95" t="n">
        <v>44837</v>
      </c>
      <c r="V359" s="96" t="n">
        <v>0.06049</v>
      </c>
    </row>
    <row r="360">
      <c r="P360" s="27">
        <f>YEAR(Q360)</f>
        <v/>
      </c>
      <c r="Q360" s="97" t="n">
        <v>44799</v>
      </c>
      <c r="R360" s="98" t="n">
        <v>0.04923</v>
      </c>
      <c r="T360" s="27">
        <f>YEAR(U360)</f>
        <v/>
      </c>
      <c r="U360" s="97" t="n">
        <v>44838</v>
      </c>
      <c r="V360" s="98" t="n">
        <v>0.06059999999999999</v>
      </c>
    </row>
    <row r="361">
      <c r="P361" s="27">
        <f>YEAR(Q361)</f>
        <v/>
      </c>
      <c r="Q361" s="95" t="n">
        <v>44802</v>
      </c>
      <c r="R361" s="96" t="n">
        <v>0.04923</v>
      </c>
      <c r="T361" s="27">
        <f>YEAR(U361)</f>
        <v/>
      </c>
      <c r="U361" s="95" t="n">
        <v>44839</v>
      </c>
      <c r="V361" s="96" t="n">
        <v>0.0604</v>
      </c>
    </row>
    <row r="362">
      <c r="P362" s="27">
        <f>YEAR(Q362)</f>
        <v/>
      </c>
      <c r="Q362" s="97" t="n">
        <v>44803</v>
      </c>
      <c r="R362" s="98" t="n">
        <v>0.04923</v>
      </c>
      <c r="T362" s="27">
        <f>YEAR(U362)</f>
        <v/>
      </c>
      <c r="U362" s="97" t="n">
        <v>44840</v>
      </c>
      <c r="V362" s="98" t="n">
        <v>0.0604</v>
      </c>
    </row>
    <row r="363">
      <c r="P363" s="27">
        <f>YEAR(Q363)</f>
        <v/>
      </c>
      <c r="Q363" s="95" t="n">
        <v>44804</v>
      </c>
      <c r="R363" s="96" t="n">
        <v>0.04923</v>
      </c>
      <c r="T363" s="27">
        <f>YEAR(U363)</f>
        <v/>
      </c>
      <c r="U363" s="95" t="n">
        <v>44841</v>
      </c>
      <c r="V363" s="96" t="n">
        <v>0.0597</v>
      </c>
    </row>
    <row r="364">
      <c r="P364" s="27">
        <f>YEAR(Q364)</f>
        <v/>
      </c>
      <c r="Q364" s="97" t="n">
        <v>44805</v>
      </c>
      <c r="R364" s="98" t="n">
        <v>0.05184</v>
      </c>
      <c r="T364" s="27">
        <f>YEAR(U364)</f>
        <v/>
      </c>
      <c r="U364" s="97" t="n">
        <v>44844</v>
      </c>
      <c r="V364" s="98" t="n">
        <v>0.06039</v>
      </c>
    </row>
    <row r="365">
      <c r="P365" s="27">
        <f>YEAR(Q365)</f>
        <v/>
      </c>
      <c r="Q365" s="95" t="n">
        <v>44806</v>
      </c>
      <c r="R365" s="96" t="n">
        <v>0.05184</v>
      </c>
      <c r="T365" s="27">
        <f>YEAR(U365)</f>
        <v/>
      </c>
      <c r="U365" s="95" t="n">
        <v>44845</v>
      </c>
      <c r="V365" s="96" t="n">
        <v>0.0604</v>
      </c>
    </row>
    <row r="366">
      <c r="P366" s="27">
        <f>YEAR(Q366)</f>
        <v/>
      </c>
      <c r="Q366" s="97" t="n">
        <v>44809</v>
      </c>
      <c r="R366" s="98" t="n">
        <v>0.05145</v>
      </c>
      <c r="T366" s="27">
        <f>YEAR(U366)</f>
        <v/>
      </c>
      <c r="U366" s="97" t="n">
        <v>44846</v>
      </c>
      <c r="V366" s="98" t="n">
        <v>0.0604</v>
      </c>
    </row>
    <row r="367">
      <c r="P367" s="27">
        <f>YEAR(Q367)</f>
        <v/>
      </c>
      <c r="Q367" s="95" t="n">
        <v>44810</v>
      </c>
      <c r="R367" s="96" t="n">
        <v>0.05177</v>
      </c>
      <c r="T367" s="27">
        <f>YEAR(U367)</f>
        <v/>
      </c>
      <c r="U367" s="95" t="n">
        <v>44847</v>
      </c>
      <c r="V367" s="96" t="n">
        <v>0.0604</v>
      </c>
    </row>
    <row r="368">
      <c r="P368" s="27">
        <f>YEAR(Q368)</f>
        <v/>
      </c>
      <c r="Q368" s="97" t="n">
        <v>44811</v>
      </c>
      <c r="R368" s="98" t="n">
        <v>0.05295</v>
      </c>
      <c r="T368" s="27">
        <f>YEAR(U368)</f>
        <v/>
      </c>
      <c r="U368" s="97" t="n">
        <v>44848</v>
      </c>
      <c r="V368" s="98" t="n">
        <v>0.06113</v>
      </c>
    </row>
    <row r="369">
      <c r="P369" s="27">
        <f>YEAR(Q369)</f>
        <v/>
      </c>
      <c r="Q369" s="95" t="n">
        <v>44812</v>
      </c>
      <c r="R369" s="96" t="n">
        <v>0.05293</v>
      </c>
      <c r="T369" s="27">
        <f>YEAR(U369)</f>
        <v/>
      </c>
      <c r="U369" s="95" t="n">
        <v>44851</v>
      </c>
      <c r="V369" s="96" t="n">
        <v>0.06032</v>
      </c>
    </row>
    <row r="370">
      <c r="P370" s="27">
        <f>YEAR(Q370)</f>
        <v/>
      </c>
      <c r="Q370" s="97" t="n">
        <v>44813</v>
      </c>
      <c r="R370" s="98" t="n">
        <v>0.05291999999999999</v>
      </c>
      <c r="T370" s="27">
        <f>YEAR(U370)</f>
        <v/>
      </c>
      <c r="U370" s="97" t="n">
        <v>44852</v>
      </c>
      <c r="V370" s="98" t="n">
        <v>0.0603</v>
      </c>
    </row>
    <row r="371">
      <c r="P371" s="27">
        <f>YEAR(Q371)</f>
        <v/>
      </c>
      <c r="Q371" s="95" t="n">
        <v>44816</v>
      </c>
      <c r="R371" s="96" t="n">
        <v>0.05652</v>
      </c>
      <c r="T371" s="27">
        <f>YEAR(U371)</f>
        <v/>
      </c>
      <c r="U371" s="95" t="n">
        <v>44853</v>
      </c>
      <c r="V371" s="96" t="n">
        <v>0.0603</v>
      </c>
    </row>
    <row r="372">
      <c r="P372" s="27">
        <f>YEAR(Q372)</f>
        <v/>
      </c>
      <c r="Q372" s="97" t="n">
        <v>44817</v>
      </c>
      <c r="R372" s="98" t="n">
        <v>0.05617</v>
      </c>
      <c r="T372" s="27">
        <f>YEAR(U372)</f>
        <v/>
      </c>
      <c r="U372" s="97" t="n">
        <v>44854</v>
      </c>
      <c r="V372" s="98" t="n">
        <v>0.0603</v>
      </c>
    </row>
    <row r="373">
      <c r="P373" s="27">
        <f>YEAR(Q373)</f>
        <v/>
      </c>
      <c r="Q373" s="95" t="n">
        <v>44818</v>
      </c>
      <c r="R373" s="96" t="n">
        <v>0.0565</v>
      </c>
      <c r="T373" s="27">
        <f>YEAR(U373)</f>
        <v/>
      </c>
      <c r="U373" s="95" t="n">
        <v>44855</v>
      </c>
      <c r="V373" s="96" t="n">
        <v>0.0603</v>
      </c>
    </row>
    <row r="374">
      <c r="P374" s="27">
        <f>YEAR(Q374)</f>
        <v/>
      </c>
      <c r="Q374" s="97" t="n">
        <v>44819</v>
      </c>
      <c r="R374" s="98" t="n">
        <v>0.0565</v>
      </c>
      <c r="T374" s="27">
        <f>YEAR(U374)</f>
        <v/>
      </c>
      <c r="U374" s="97" t="n">
        <v>44858</v>
      </c>
      <c r="V374" s="98" t="n">
        <v>0.05854</v>
      </c>
    </row>
    <row r="375">
      <c r="P375" s="27">
        <f>YEAR(Q375)</f>
        <v/>
      </c>
      <c r="Q375" s="95" t="n">
        <v>44820</v>
      </c>
      <c r="R375" s="96" t="n">
        <v>0.05549</v>
      </c>
      <c r="T375" s="27">
        <f>YEAR(U375)</f>
        <v/>
      </c>
      <c r="U375" s="95" t="n">
        <v>44859</v>
      </c>
      <c r="V375" s="96" t="n">
        <v>0.05854</v>
      </c>
    </row>
    <row r="376">
      <c r="P376" s="27">
        <f>YEAR(Q376)</f>
        <v/>
      </c>
      <c r="Q376" s="97" t="n">
        <v>44823</v>
      </c>
      <c r="R376" s="98" t="n">
        <v>0.0534</v>
      </c>
      <c r="T376" s="27">
        <f>YEAR(U376)</f>
        <v/>
      </c>
      <c r="U376" s="97" t="n">
        <v>44860</v>
      </c>
      <c r="V376" s="98" t="n">
        <v>0.06106</v>
      </c>
    </row>
    <row r="377">
      <c r="P377" s="27">
        <f>YEAR(Q377)</f>
        <v/>
      </c>
      <c r="Q377" s="95" t="n">
        <v>44824</v>
      </c>
      <c r="R377" s="96" t="n">
        <v>0.05398</v>
      </c>
      <c r="T377" s="27">
        <f>YEAR(U377)</f>
        <v/>
      </c>
      <c r="U377" s="95" t="n">
        <v>44861</v>
      </c>
      <c r="V377" s="96" t="n">
        <v>0.06106</v>
      </c>
    </row>
    <row r="378">
      <c r="P378" s="27">
        <f>YEAR(Q378)</f>
        <v/>
      </c>
      <c r="Q378" s="97" t="n">
        <v>44825</v>
      </c>
      <c r="R378" s="98" t="n">
        <v>0.05548</v>
      </c>
      <c r="T378" s="27">
        <f>YEAR(U378)</f>
        <v/>
      </c>
      <c r="U378" s="97" t="n">
        <v>44862</v>
      </c>
      <c r="V378" s="98" t="n">
        <v>0.0603</v>
      </c>
    </row>
    <row r="379">
      <c r="P379" s="27">
        <f>YEAR(Q379)</f>
        <v/>
      </c>
      <c r="Q379" s="95" t="n">
        <v>44826</v>
      </c>
      <c r="R379" s="96" t="n">
        <v>0.05548</v>
      </c>
      <c r="T379" s="27">
        <f>YEAR(U379)</f>
        <v/>
      </c>
      <c r="U379" s="95" t="n">
        <v>44865</v>
      </c>
      <c r="V379" s="96" t="n">
        <v>0.06106</v>
      </c>
    </row>
    <row r="380">
      <c r="P380" s="27">
        <f>YEAR(Q380)</f>
        <v/>
      </c>
      <c r="Q380" s="97" t="n">
        <v>44827</v>
      </c>
      <c r="R380" s="98" t="n">
        <v>0.05548</v>
      </c>
      <c r="T380" s="27">
        <f>YEAR(U380)</f>
        <v/>
      </c>
      <c r="U380" s="97" t="n">
        <v>44867</v>
      </c>
      <c r="V380" s="98" t="n">
        <v>0.0603</v>
      </c>
    </row>
    <row r="381">
      <c r="P381" s="27">
        <f>YEAR(Q381)</f>
        <v/>
      </c>
      <c r="Q381" s="95" t="n">
        <v>44830</v>
      </c>
      <c r="R381" s="96" t="n">
        <v>0.05338</v>
      </c>
      <c r="T381" s="27">
        <f>YEAR(U381)</f>
        <v/>
      </c>
      <c r="U381" s="95" t="n">
        <v>44868</v>
      </c>
      <c r="V381" s="96" t="n">
        <v>0.0603</v>
      </c>
    </row>
    <row r="382">
      <c r="P382" s="27">
        <f>YEAR(Q382)</f>
        <v/>
      </c>
      <c r="Q382" s="97" t="n">
        <v>44831</v>
      </c>
      <c r="R382" s="98" t="n">
        <v>0.0555</v>
      </c>
      <c r="T382" s="27">
        <f>YEAR(U382)</f>
        <v/>
      </c>
      <c r="U382" s="97" t="n">
        <v>44869</v>
      </c>
      <c r="V382" s="98" t="n">
        <v>0.0603</v>
      </c>
    </row>
    <row r="383">
      <c r="P383" s="27">
        <f>YEAR(Q383)</f>
        <v/>
      </c>
      <c r="Q383" s="95" t="n">
        <v>44832</v>
      </c>
      <c r="R383" s="96" t="n">
        <v>0.05685</v>
      </c>
      <c r="T383" s="27">
        <f>YEAR(U383)</f>
        <v/>
      </c>
      <c r="U383" s="95" t="n">
        <v>44872</v>
      </c>
      <c r="V383" s="96" t="n">
        <v>0.0603</v>
      </c>
    </row>
    <row r="384">
      <c r="P384" s="27">
        <f>YEAR(Q384)</f>
        <v/>
      </c>
      <c r="Q384" s="97" t="n">
        <v>44833</v>
      </c>
      <c r="R384" s="98" t="n">
        <v>0.05685</v>
      </c>
      <c r="T384" s="27">
        <f>YEAR(U384)</f>
        <v/>
      </c>
      <c r="U384" s="97" t="n">
        <v>44873</v>
      </c>
      <c r="V384" s="98" t="n">
        <v>0.0603</v>
      </c>
    </row>
    <row r="385">
      <c r="P385" s="27">
        <f>YEAR(Q385)</f>
        <v/>
      </c>
      <c r="Q385" s="95" t="n">
        <v>44834</v>
      </c>
      <c r="R385" s="96" t="n">
        <v>0.05685</v>
      </c>
      <c r="T385" s="27">
        <f>YEAR(U385)</f>
        <v/>
      </c>
      <c r="U385" s="95" t="n">
        <v>44874</v>
      </c>
      <c r="V385" s="96" t="n">
        <v>0.0603</v>
      </c>
    </row>
    <row r="386">
      <c r="P386" s="27">
        <f>YEAR(Q386)</f>
        <v/>
      </c>
      <c r="Q386" s="97" t="n">
        <v>44837</v>
      </c>
      <c r="R386" s="98" t="n">
        <v>0.05591</v>
      </c>
      <c r="T386" s="27">
        <f>YEAR(U386)</f>
        <v/>
      </c>
      <c r="U386" s="97" t="n">
        <v>44875</v>
      </c>
      <c r="V386" s="98" t="n">
        <v>0.0603</v>
      </c>
    </row>
    <row r="387">
      <c r="P387" s="27">
        <f>YEAR(Q387)</f>
        <v/>
      </c>
      <c r="Q387" s="95" t="n">
        <v>44838</v>
      </c>
      <c r="R387" s="96" t="n">
        <v>0.0564</v>
      </c>
      <c r="T387" s="27">
        <f>YEAR(U387)</f>
        <v/>
      </c>
      <c r="U387" s="95" t="n">
        <v>44876</v>
      </c>
      <c r="V387" s="96" t="n">
        <v>0.0603</v>
      </c>
    </row>
    <row r="388">
      <c r="P388" s="27">
        <f>YEAR(Q388)</f>
        <v/>
      </c>
      <c r="Q388" s="97" t="n">
        <v>44839</v>
      </c>
      <c r="R388" s="98" t="n">
        <v>0.05541</v>
      </c>
      <c r="T388" s="27">
        <f>YEAR(U388)</f>
        <v/>
      </c>
      <c r="U388" s="97" t="n">
        <v>44879</v>
      </c>
      <c r="V388" s="98" t="n">
        <v>0.05851</v>
      </c>
    </row>
    <row r="389">
      <c r="P389" s="27">
        <f>YEAR(Q389)</f>
        <v/>
      </c>
      <c r="Q389" s="95" t="n">
        <v>44840</v>
      </c>
      <c r="R389" s="96" t="n">
        <v>0.0554</v>
      </c>
      <c r="T389" s="27">
        <f>YEAR(U389)</f>
        <v/>
      </c>
      <c r="U389" s="95" t="n">
        <v>44881</v>
      </c>
      <c r="V389" s="96" t="n">
        <v>0.0596</v>
      </c>
    </row>
    <row r="390">
      <c r="P390" s="27">
        <f>YEAR(Q390)</f>
        <v/>
      </c>
      <c r="Q390" s="97" t="n">
        <v>44841</v>
      </c>
      <c r="R390" s="98" t="n">
        <v>0.05402</v>
      </c>
      <c r="T390" s="27">
        <f>YEAR(U390)</f>
        <v/>
      </c>
      <c r="U390" s="97" t="n">
        <v>44882</v>
      </c>
      <c r="V390" s="98" t="n">
        <v>0.0596</v>
      </c>
    </row>
    <row r="391">
      <c r="P391" s="27">
        <f>YEAR(Q391)</f>
        <v/>
      </c>
      <c r="Q391" s="95" t="n">
        <v>44844</v>
      </c>
      <c r="R391" s="96" t="n">
        <v>0.0554</v>
      </c>
      <c r="T391" s="27">
        <f>YEAR(U391)</f>
        <v/>
      </c>
      <c r="U391" s="95" t="n">
        <v>44883</v>
      </c>
      <c r="V391" s="96" t="n">
        <v>0.0603</v>
      </c>
    </row>
    <row r="392">
      <c r="P392" s="27">
        <f>YEAR(Q392)</f>
        <v/>
      </c>
      <c r="Q392" s="97" t="n">
        <v>44845</v>
      </c>
      <c r="R392" s="98" t="n">
        <v>0.0554</v>
      </c>
      <c r="T392" s="27">
        <f>YEAR(U392)</f>
        <v/>
      </c>
      <c r="U392" s="97" t="n">
        <v>44886</v>
      </c>
      <c r="V392" s="98" t="n">
        <v>0.0603</v>
      </c>
    </row>
    <row r="393">
      <c r="P393" s="27">
        <f>YEAR(Q393)</f>
        <v/>
      </c>
      <c r="Q393" s="95" t="n">
        <v>44846</v>
      </c>
      <c r="R393" s="96" t="n">
        <v>0.0554</v>
      </c>
      <c r="T393" s="27">
        <f>YEAR(U393)</f>
        <v/>
      </c>
      <c r="U393" s="95" t="n">
        <v>44887</v>
      </c>
      <c r="V393" s="96" t="n">
        <v>0.0603</v>
      </c>
    </row>
    <row r="394">
      <c r="P394" s="27">
        <f>YEAR(Q394)</f>
        <v/>
      </c>
      <c r="Q394" s="97" t="n">
        <v>44847</v>
      </c>
      <c r="R394" s="98" t="n">
        <v>0.0554</v>
      </c>
      <c r="T394" s="27">
        <f>YEAR(U394)</f>
        <v/>
      </c>
      <c r="U394" s="97" t="n">
        <v>44888</v>
      </c>
      <c r="V394" s="98" t="n">
        <v>0.0603</v>
      </c>
    </row>
    <row r="395">
      <c r="P395" s="27">
        <f>YEAR(Q395)</f>
        <v/>
      </c>
      <c r="Q395" s="95" t="n">
        <v>44848</v>
      </c>
      <c r="R395" s="96" t="n">
        <v>0.05641</v>
      </c>
      <c r="T395" s="27">
        <f>YEAR(U395)</f>
        <v/>
      </c>
      <c r="U395" s="95" t="n">
        <v>44889</v>
      </c>
      <c r="V395" s="96" t="n">
        <v>0.06179999999999999</v>
      </c>
    </row>
    <row r="396">
      <c r="P396" s="27">
        <f>YEAR(Q396)</f>
        <v/>
      </c>
      <c r="Q396" s="97" t="n">
        <v>44851</v>
      </c>
      <c r="R396" s="98" t="n">
        <v>0.05538000000000001</v>
      </c>
      <c r="T396" s="27">
        <f>YEAR(U396)</f>
        <v/>
      </c>
      <c r="U396" s="97" t="n">
        <v>44890</v>
      </c>
      <c r="V396" s="98" t="n">
        <v>0.05925</v>
      </c>
    </row>
    <row r="397">
      <c r="P397" s="27">
        <f>YEAR(Q397)</f>
        <v/>
      </c>
      <c r="Q397" s="95" t="n">
        <v>44852</v>
      </c>
      <c r="R397" s="96" t="n">
        <v>0.0554</v>
      </c>
      <c r="T397" s="27">
        <f>YEAR(U397)</f>
        <v/>
      </c>
      <c r="U397" s="95" t="n">
        <v>44893</v>
      </c>
      <c r="V397" s="96" t="n">
        <v>0.06001</v>
      </c>
    </row>
    <row r="398">
      <c r="P398" s="27">
        <f>YEAR(Q398)</f>
        <v/>
      </c>
      <c r="Q398" s="97" t="n">
        <v>44853</v>
      </c>
      <c r="R398" s="98" t="n">
        <v>0.0554</v>
      </c>
      <c r="T398" s="27">
        <f>YEAR(U398)</f>
        <v/>
      </c>
      <c r="U398" s="97" t="n">
        <v>44894</v>
      </c>
      <c r="V398" s="98" t="n">
        <v>0.06001</v>
      </c>
    </row>
    <row r="399">
      <c r="P399" s="27">
        <f>YEAR(Q399)</f>
        <v/>
      </c>
      <c r="Q399" s="95" t="n">
        <v>44854</v>
      </c>
      <c r="R399" s="96" t="n">
        <v>0.0554</v>
      </c>
      <c r="T399" s="27">
        <f>YEAR(U399)</f>
        <v/>
      </c>
      <c r="U399" s="95" t="n">
        <v>44895</v>
      </c>
      <c r="V399" s="96" t="n">
        <v>0.0621</v>
      </c>
    </row>
    <row r="400">
      <c r="P400" s="27">
        <f>YEAR(Q400)</f>
        <v/>
      </c>
      <c r="Q400" s="97" t="n">
        <v>44855</v>
      </c>
      <c r="R400" s="98" t="n">
        <v>0.0554</v>
      </c>
      <c r="T400" s="27">
        <f>YEAR(U400)</f>
        <v/>
      </c>
      <c r="U400" s="97" t="n">
        <v>44896</v>
      </c>
      <c r="V400" s="98" t="n">
        <v>0.06211000000000001</v>
      </c>
    </row>
    <row r="401">
      <c r="P401" s="27">
        <f>YEAR(Q401)</f>
        <v/>
      </c>
      <c r="Q401" s="95" t="n">
        <v>44858</v>
      </c>
      <c r="R401" s="96" t="n">
        <v>0.05232000000000001</v>
      </c>
      <c r="T401" s="27">
        <f>YEAR(U401)</f>
        <v/>
      </c>
      <c r="U401" s="95" t="n">
        <v>44897</v>
      </c>
      <c r="V401" s="96" t="n">
        <v>0.0621</v>
      </c>
    </row>
    <row r="402">
      <c r="P402" s="27">
        <f>YEAR(Q402)</f>
        <v/>
      </c>
      <c r="Q402" s="97" t="n">
        <v>44859</v>
      </c>
      <c r="R402" s="98" t="n">
        <v>0.05232000000000001</v>
      </c>
      <c r="T402" s="27">
        <f>YEAR(U402)</f>
        <v/>
      </c>
      <c r="U402" s="97" t="n">
        <v>44900</v>
      </c>
      <c r="V402" s="98" t="n">
        <v>0.0621</v>
      </c>
    </row>
    <row r="403">
      <c r="P403" s="27">
        <f>YEAR(Q403)</f>
        <v/>
      </c>
      <c r="Q403" s="95" t="n">
        <v>44860</v>
      </c>
      <c r="R403" s="96" t="n">
        <v>0.0554</v>
      </c>
      <c r="T403" s="27">
        <f>YEAR(U403)</f>
        <v/>
      </c>
      <c r="U403" s="95" t="n">
        <v>44901</v>
      </c>
      <c r="V403" s="96" t="n">
        <v>0.06118000000000001</v>
      </c>
    </row>
    <row r="404">
      <c r="P404" s="27">
        <f>YEAR(Q404)</f>
        <v/>
      </c>
      <c r="Q404" s="97" t="n">
        <v>44861</v>
      </c>
      <c r="R404" s="98" t="n">
        <v>0.0554</v>
      </c>
      <c r="T404" s="27">
        <f>YEAR(U404)</f>
        <v/>
      </c>
      <c r="U404" s="97" t="n">
        <v>44902</v>
      </c>
      <c r="V404" s="98" t="n">
        <v>0.06139</v>
      </c>
    </row>
    <row r="405">
      <c r="P405" s="27">
        <f>YEAR(Q405)</f>
        <v/>
      </c>
      <c r="Q405" s="95" t="n">
        <v>44862</v>
      </c>
      <c r="R405" s="96" t="n">
        <v>0.0554</v>
      </c>
      <c r="T405" s="27">
        <f>YEAR(U405)</f>
        <v/>
      </c>
      <c r="U405" s="95" t="n">
        <v>44903</v>
      </c>
      <c r="V405" s="96" t="n">
        <v>0.06139</v>
      </c>
    </row>
    <row r="406">
      <c r="P406" s="27">
        <f>YEAR(Q406)</f>
        <v/>
      </c>
      <c r="Q406" s="97" t="n">
        <v>44865</v>
      </c>
      <c r="R406" s="98" t="n">
        <v>0.05639</v>
      </c>
      <c r="T406" s="27">
        <f>YEAR(U406)</f>
        <v/>
      </c>
      <c r="U406" s="97" t="n">
        <v>44904</v>
      </c>
      <c r="V406" s="98" t="n">
        <v>0.06142</v>
      </c>
    </row>
    <row r="407">
      <c r="P407" s="27">
        <f>YEAR(Q407)</f>
        <v/>
      </c>
      <c r="Q407" s="95" t="n">
        <v>44867</v>
      </c>
      <c r="R407" s="96" t="n">
        <v>0.0554</v>
      </c>
      <c r="T407" s="27">
        <f>YEAR(U407)</f>
        <v/>
      </c>
      <c r="U407" s="95" t="n">
        <v>44907</v>
      </c>
      <c r="V407" s="96" t="n">
        <v>0.06156</v>
      </c>
    </row>
    <row r="408">
      <c r="P408" s="27">
        <f>YEAR(Q408)</f>
        <v/>
      </c>
      <c r="Q408" s="97" t="n">
        <v>44868</v>
      </c>
      <c r="R408" s="98" t="n">
        <v>0.0554</v>
      </c>
      <c r="T408" s="27">
        <f>YEAR(U408)</f>
        <v/>
      </c>
      <c r="U408" s="97" t="n">
        <v>44908</v>
      </c>
      <c r="V408" s="98" t="n">
        <v>0.06141</v>
      </c>
    </row>
    <row r="409">
      <c r="P409" s="27">
        <f>YEAR(Q409)</f>
        <v/>
      </c>
      <c r="Q409" s="95" t="n">
        <v>44869</v>
      </c>
      <c r="R409" s="96" t="n">
        <v>0.0556</v>
      </c>
      <c r="T409" s="27">
        <f>YEAR(U409)</f>
        <v/>
      </c>
      <c r="U409" s="95" t="n">
        <v>44909</v>
      </c>
      <c r="V409" s="96" t="n">
        <v>0.06165</v>
      </c>
    </row>
    <row r="410">
      <c r="P410" s="27">
        <f>YEAR(Q410)</f>
        <v/>
      </c>
      <c r="Q410" s="97" t="n">
        <v>44872</v>
      </c>
      <c r="R410" s="98" t="n">
        <v>0.0556</v>
      </c>
      <c r="T410" s="27">
        <f>YEAR(U410)</f>
        <v/>
      </c>
      <c r="U410" s="97" t="n">
        <v>44910</v>
      </c>
      <c r="V410" s="98" t="n">
        <v>0.06165</v>
      </c>
    </row>
    <row r="411">
      <c r="P411" s="27">
        <f>YEAR(Q411)</f>
        <v/>
      </c>
      <c r="Q411" s="95" t="n">
        <v>44873</v>
      </c>
      <c r="R411" s="96" t="n">
        <v>0.0556</v>
      </c>
      <c r="T411" s="27">
        <f>YEAR(U411)</f>
        <v/>
      </c>
      <c r="U411" s="95" t="n">
        <v>44911</v>
      </c>
      <c r="V411" s="96" t="n">
        <v>0.06181</v>
      </c>
    </row>
    <row r="412">
      <c r="P412" s="27">
        <f>YEAR(Q412)</f>
        <v/>
      </c>
      <c r="Q412" s="97" t="n">
        <v>44874</v>
      </c>
      <c r="R412" s="98" t="n">
        <v>0.0556</v>
      </c>
      <c r="T412" s="27">
        <f>YEAR(U412)</f>
        <v/>
      </c>
      <c r="U412" s="97" t="n">
        <v>44914</v>
      </c>
      <c r="V412" s="98" t="n">
        <v>0.0626</v>
      </c>
    </row>
    <row r="413">
      <c r="P413" s="27">
        <f>YEAR(Q413)</f>
        <v/>
      </c>
      <c r="Q413" s="95" t="n">
        <v>44875</v>
      </c>
      <c r="R413" s="96" t="n">
        <v>0.0556</v>
      </c>
      <c r="T413" s="27">
        <f>YEAR(U413)</f>
        <v/>
      </c>
      <c r="U413" s="95" t="n">
        <v>44915</v>
      </c>
      <c r="V413" s="96" t="n">
        <v>0.0626</v>
      </c>
    </row>
    <row r="414">
      <c r="P414" s="27">
        <f>YEAR(Q414)</f>
        <v/>
      </c>
      <c r="Q414" s="97" t="n">
        <v>44876</v>
      </c>
      <c r="R414" s="98" t="n">
        <v>0.0556</v>
      </c>
      <c r="T414" s="27">
        <f>YEAR(U414)</f>
        <v/>
      </c>
      <c r="U414" s="97" t="n">
        <v>44916</v>
      </c>
      <c r="V414" s="98" t="n">
        <v>0.0626</v>
      </c>
    </row>
    <row r="415">
      <c r="P415" s="27">
        <f>YEAR(Q415)</f>
        <v/>
      </c>
      <c r="Q415" s="95" t="n">
        <v>44879</v>
      </c>
      <c r="R415" s="96" t="n">
        <v>0.0527</v>
      </c>
      <c r="T415" s="27">
        <f>YEAR(U415)</f>
        <v/>
      </c>
      <c r="U415" s="95" t="n">
        <v>44917</v>
      </c>
      <c r="V415" s="96" t="n">
        <v>0.0626</v>
      </c>
    </row>
    <row r="416">
      <c r="P416" s="27">
        <f>YEAR(Q416)</f>
        <v/>
      </c>
      <c r="Q416" s="97" t="n">
        <v>44881</v>
      </c>
      <c r="R416" s="98" t="n">
        <v>0.05431</v>
      </c>
      <c r="T416" s="27">
        <f>YEAR(U416)</f>
        <v/>
      </c>
      <c r="U416" s="97" t="n">
        <v>44918</v>
      </c>
      <c r="V416" s="98" t="n">
        <v>0.0626</v>
      </c>
    </row>
    <row r="417">
      <c r="P417" s="27">
        <f>YEAR(Q417)</f>
        <v/>
      </c>
      <c r="Q417" s="95" t="n">
        <v>44882</v>
      </c>
      <c r="R417" s="96" t="n">
        <v>0.05431</v>
      </c>
      <c r="T417" s="27">
        <f>YEAR(U417)</f>
        <v/>
      </c>
      <c r="U417" s="95" t="n">
        <v>44922</v>
      </c>
      <c r="V417" s="96" t="n">
        <v>0.06103</v>
      </c>
    </row>
    <row r="418">
      <c r="P418" s="27">
        <f>YEAR(Q418)</f>
        <v/>
      </c>
      <c r="Q418" s="97" t="n">
        <v>44883</v>
      </c>
      <c r="R418" s="98" t="n">
        <v>0.0556</v>
      </c>
      <c r="T418" s="27">
        <f>YEAR(U418)</f>
        <v/>
      </c>
      <c r="U418" s="97" t="n">
        <v>44923</v>
      </c>
      <c r="V418" s="98" t="n">
        <v>0.06185</v>
      </c>
    </row>
    <row r="419">
      <c r="P419" s="27">
        <f>YEAR(Q419)</f>
        <v/>
      </c>
      <c r="Q419" s="95" t="n">
        <v>44886</v>
      </c>
      <c r="R419" s="96" t="n">
        <v>0.0556</v>
      </c>
      <c r="T419" s="27">
        <f>YEAR(U419)</f>
        <v/>
      </c>
      <c r="U419" s="95" t="n">
        <v>44924</v>
      </c>
      <c r="V419" s="96" t="n">
        <v>0.06187</v>
      </c>
    </row>
    <row r="420">
      <c r="P420" s="27">
        <f>YEAR(Q420)</f>
        <v/>
      </c>
      <c r="Q420" s="97" t="n">
        <v>44887</v>
      </c>
      <c r="R420" s="98" t="n">
        <v>0.0556</v>
      </c>
      <c r="T420" s="27">
        <f>YEAR(U420)</f>
        <v/>
      </c>
      <c r="U420" s="97" t="n">
        <v>44925</v>
      </c>
      <c r="V420" s="98" t="n">
        <v>0.0613</v>
      </c>
    </row>
    <row r="421">
      <c r="P421" s="27">
        <f>YEAR(Q421)</f>
        <v/>
      </c>
      <c r="Q421" s="95" t="n">
        <v>44888</v>
      </c>
      <c r="R421" s="96" t="n">
        <v>0.0556</v>
      </c>
      <c r="T421" s="27">
        <f>YEAR(U421)</f>
        <v/>
      </c>
      <c r="U421" s="95" t="n">
        <v>44928</v>
      </c>
      <c r="V421" s="96" t="n">
        <v>0.06131</v>
      </c>
    </row>
    <row r="422">
      <c r="P422" s="27">
        <f>YEAR(Q422)</f>
        <v/>
      </c>
      <c r="Q422" s="97" t="n">
        <v>44889</v>
      </c>
      <c r="R422" s="98" t="n">
        <v>0.0575</v>
      </c>
      <c r="T422" s="27">
        <f>YEAR(U422)</f>
        <v/>
      </c>
      <c r="U422" s="97" t="n">
        <v>44929</v>
      </c>
      <c r="V422" s="98" t="n">
        <v>0.06191</v>
      </c>
    </row>
    <row r="423">
      <c r="P423" s="27">
        <f>YEAR(Q423)</f>
        <v/>
      </c>
      <c r="Q423" s="95" t="n">
        <v>44890</v>
      </c>
      <c r="R423" s="96" t="n">
        <v>0.05352999999999999</v>
      </c>
      <c r="T423" s="27">
        <f>YEAR(U423)</f>
        <v/>
      </c>
      <c r="U423" s="95" t="n">
        <v>44930</v>
      </c>
      <c r="V423" s="96" t="n">
        <v>0.0626</v>
      </c>
    </row>
    <row r="424">
      <c r="P424" s="27">
        <f>YEAR(Q424)</f>
        <v/>
      </c>
      <c r="Q424" s="97" t="n">
        <v>44893</v>
      </c>
      <c r="R424" s="98" t="n">
        <v>0.05653</v>
      </c>
      <c r="T424" s="27">
        <f>YEAR(U424)</f>
        <v/>
      </c>
      <c r="U424" s="97" t="n">
        <v>44931</v>
      </c>
      <c r="V424" s="98" t="n">
        <v>0.0626</v>
      </c>
    </row>
    <row r="425">
      <c r="P425" s="27">
        <f>YEAR(Q425)</f>
        <v/>
      </c>
      <c r="Q425" s="95" t="n">
        <v>44894</v>
      </c>
      <c r="R425" s="96" t="n">
        <v>0.05652</v>
      </c>
      <c r="T425" s="27">
        <f>YEAR(U425)</f>
        <v/>
      </c>
      <c r="U425" s="95" t="n">
        <v>44932</v>
      </c>
      <c r="V425" s="96" t="n">
        <v>0.06193</v>
      </c>
    </row>
    <row r="426">
      <c r="P426" s="27">
        <f>YEAR(Q426)</f>
        <v/>
      </c>
      <c r="Q426" s="97" t="n">
        <v>44895</v>
      </c>
      <c r="R426" s="98" t="n">
        <v>0.0593</v>
      </c>
      <c r="T426" s="27">
        <f>YEAR(U426)</f>
        <v/>
      </c>
      <c r="U426" s="97" t="n">
        <v>44935</v>
      </c>
      <c r="V426" s="98" t="n">
        <v>0.06123</v>
      </c>
    </row>
    <row r="427">
      <c r="P427" s="27">
        <f>YEAR(Q427)</f>
        <v/>
      </c>
      <c r="Q427" s="95" t="n">
        <v>44896</v>
      </c>
      <c r="R427" s="96" t="n">
        <v>0.0593</v>
      </c>
      <c r="T427" s="27">
        <f>YEAR(U427)</f>
        <v/>
      </c>
      <c r="U427" s="95" t="n">
        <v>44936</v>
      </c>
      <c r="V427" s="96" t="n">
        <v>0.06126</v>
      </c>
    </row>
    <row r="428">
      <c r="P428" s="27">
        <f>YEAR(Q428)</f>
        <v/>
      </c>
      <c r="Q428" s="97" t="n">
        <v>44897</v>
      </c>
      <c r="R428" s="98" t="n">
        <v>0.0593</v>
      </c>
      <c r="T428" s="27">
        <f>YEAR(U428)</f>
        <v/>
      </c>
      <c r="U428" s="97" t="n">
        <v>44937</v>
      </c>
      <c r="V428" s="98" t="n">
        <v>0.06126</v>
      </c>
    </row>
    <row r="429">
      <c r="P429" s="27">
        <f>YEAR(Q429)</f>
        <v/>
      </c>
      <c r="Q429" s="95" t="n">
        <v>44900</v>
      </c>
      <c r="R429" s="96" t="n">
        <v>0.0593</v>
      </c>
      <c r="T429" s="27">
        <f>YEAR(U429)</f>
        <v/>
      </c>
      <c r="U429" s="95" t="n">
        <v>44938</v>
      </c>
      <c r="V429" s="96" t="n">
        <v>0.06136999999999999</v>
      </c>
    </row>
    <row r="430">
      <c r="P430" s="27">
        <f>YEAR(Q430)</f>
        <v/>
      </c>
      <c r="Q430" s="97" t="n">
        <v>44901</v>
      </c>
      <c r="R430" s="98" t="n">
        <v>0.05753</v>
      </c>
      <c r="T430" s="27">
        <f>YEAR(U430)</f>
        <v/>
      </c>
      <c r="U430" s="97" t="n">
        <v>44939</v>
      </c>
      <c r="V430" s="98" t="n">
        <v>0.06152999999999999</v>
      </c>
    </row>
    <row r="431">
      <c r="P431" s="27">
        <f>YEAR(Q431)</f>
        <v/>
      </c>
      <c r="Q431" s="95" t="n">
        <v>44902</v>
      </c>
      <c r="R431" s="96" t="n">
        <v>0.05349</v>
      </c>
      <c r="T431" s="27">
        <f>YEAR(U431)</f>
        <v/>
      </c>
      <c r="U431" s="95" t="n">
        <v>44942</v>
      </c>
      <c r="V431" s="96" t="n">
        <v>0.06138</v>
      </c>
    </row>
    <row r="432">
      <c r="P432" s="27">
        <f>YEAR(Q432)</f>
        <v/>
      </c>
      <c r="Q432" s="97" t="n">
        <v>44903</v>
      </c>
      <c r="R432" s="98" t="n">
        <v>0.05348</v>
      </c>
      <c r="T432" s="27">
        <f>YEAR(U432)</f>
        <v/>
      </c>
      <c r="U432" s="97" t="n">
        <v>44943</v>
      </c>
      <c r="V432" s="98" t="n">
        <v>0.06138</v>
      </c>
    </row>
    <row r="433">
      <c r="P433" s="27">
        <f>YEAR(Q433)</f>
        <v/>
      </c>
      <c r="Q433" s="95" t="n">
        <v>44904</v>
      </c>
      <c r="R433" s="96" t="n">
        <v>0.05296</v>
      </c>
      <c r="T433" s="27">
        <f>YEAR(U433)</f>
        <v/>
      </c>
      <c r="U433" s="95" t="n">
        <v>44944</v>
      </c>
      <c r="V433" s="96" t="n">
        <v>0.06156</v>
      </c>
    </row>
    <row r="434">
      <c r="P434" s="27">
        <f>YEAR(Q434)</f>
        <v/>
      </c>
      <c r="Q434" s="97" t="n">
        <v>44907</v>
      </c>
      <c r="R434" s="98" t="n">
        <v>0.05059</v>
      </c>
      <c r="T434" s="27">
        <f>YEAR(U434)</f>
        <v/>
      </c>
      <c r="U434" s="97" t="n">
        <v>44945</v>
      </c>
      <c r="V434" s="98" t="n">
        <v>0.06157</v>
      </c>
    </row>
    <row r="435">
      <c r="P435" s="27">
        <f>YEAR(Q435)</f>
        <v/>
      </c>
      <c r="Q435" s="95" t="n">
        <v>44908</v>
      </c>
      <c r="R435" s="96" t="n">
        <v>0.05461999999999999</v>
      </c>
      <c r="T435" s="27">
        <f>YEAR(U435)</f>
        <v/>
      </c>
      <c r="U435" s="95" t="n">
        <v>44946</v>
      </c>
      <c r="V435" s="96" t="n">
        <v>0.06157</v>
      </c>
    </row>
    <row r="436">
      <c r="P436" s="27">
        <f>YEAR(Q436)</f>
        <v/>
      </c>
      <c r="Q436" s="97" t="n">
        <v>44909</v>
      </c>
      <c r="R436" s="98" t="n">
        <v>0.0529</v>
      </c>
      <c r="T436" s="27">
        <f>YEAR(U436)</f>
        <v/>
      </c>
      <c r="U436" s="97" t="n">
        <v>44949</v>
      </c>
      <c r="V436" s="98" t="n">
        <v>0.0601</v>
      </c>
    </row>
    <row r="437">
      <c r="P437" s="27">
        <f>YEAR(Q437)</f>
        <v/>
      </c>
      <c r="Q437" s="95" t="n">
        <v>44910</v>
      </c>
      <c r="R437" s="96" t="n">
        <v>0.05291000000000001</v>
      </c>
      <c r="T437" s="27">
        <f>YEAR(U437)</f>
        <v/>
      </c>
      <c r="U437" s="95" t="n">
        <v>44950</v>
      </c>
      <c r="V437" s="96" t="n">
        <v>0.05755</v>
      </c>
    </row>
    <row r="438">
      <c r="P438" s="27">
        <f>YEAR(Q438)</f>
        <v/>
      </c>
      <c r="Q438" s="97" t="n">
        <v>44911</v>
      </c>
      <c r="R438" s="98" t="n">
        <v>0.05064</v>
      </c>
      <c r="T438" s="27">
        <f>YEAR(U438)</f>
        <v/>
      </c>
      <c r="U438" s="97" t="n">
        <v>44951</v>
      </c>
      <c r="V438" s="98" t="n">
        <v>0.06166000000000001</v>
      </c>
    </row>
    <row r="439">
      <c r="P439" s="27">
        <f>YEAR(Q439)</f>
        <v/>
      </c>
      <c r="Q439" s="95" t="n">
        <v>44914</v>
      </c>
      <c r="R439" s="96" t="n">
        <v>0.0578</v>
      </c>
      <c r="T439" s="27">
        <f>YEAR(U439)</f>
        <v/>
      </c>
      <c r="U439" s="95" t="n">
        <v>44952</v>
      </c>
      <c r="V439" s="96" t="n">
        <v>0.05966</v>
      </c>
    </row>
    <row r="440">
      <c r="P440" s="27">
        <f>YEAR(Q440)</f>
        <v/>
      </c>
      <c r="Q440" s="97" t="n">
        <v>44915</v>
      </c>
      <c r="R440" s="98" t="n">
        <v>0.0578</v>
      </c>
      <c r="T440" s="27">
        <f>YEAR(U440)</f>
        <v/>
      </c>
      <c r="U440" s="97" t="n">
        <v>44953</v>
      </c>
      <c r="V440" s="98" t="n">
        <v>0.05966</v>
      </c>
    </row>
    <row r="441">
      <c r="P441" s="27">
        <f>YEAR(Q441)</f>
        <v/>
      </c>
      <c r="Q441" s="95" t="n">
        <v>44916</v>
      </c>
      <c r="R441" s="96" t="n">
        <v>0.0578</v>
      </c>
      <c r="T441" s="27">
        <f>YEAR(U441)</f>
        <v/>
      </c>
      <c r="U441" s="95" t="n">
        <v>44956</v>
      </c>
      <c r="V441" s="96" t="n">
        <v>0.0643</v>
      </c>
    </row>
    <row r="442">
      <c r="P442" s="27">
        <f>YEAR(Q442)</f>
        <v/>
      </c>
      <c r="Q442" s="97" t="n">
        <v>44917</v>
      </c>
      <c r="R442" s="98" t="n">
        <v>0.0578</v>
      </c>
      <c r="T442" s="27">
        <f>YEAR(U442)</f>
        <v/>
      </c>
      <c r="U442" s="97" t="n">
        <v>44957</v>
      </c>
      <c r="V442" s="98" t="n">
        <v>0.0643</v>
      </c>
    </row>
    <row r="443">
      <c r="P443" s="27">
        <f>YEAR(Q443)</f>
        <v/>
      </c>
      <c r="Q443" s="95" t="n">
        <v>44918</v>
      </c>
      <c r="R443" s="96" t="n">
        <v>0.0578</v>
      </c>
      <c r="T443" s="27">
        <f>YEAR(U443)</f>
        <v/>
      </c>
      <c r="U443" s="95" t="n">
        <v>44958</v>
      </c>
      <c r="V443" s="96" t="n">
        <v>0.0643</v>
      </c>
    </row>
    <row r="444">
      <c r="P444" s="27">
        <f>YEAR(Q444)</f>
        <v/>
      </c>
      <c r="Q444" s="97" t="n">
        <v>44922</v>
      </c>
      <c r="R444" s="98" t="n">
        <v>0.05346</v>
      </c>
      <c r="T444" s="27">
        <f>YEAR(U444)</f>
        <v/>
      </c>
      <c r="U444" s="97" t="n">
        <v>44959</v>
      </c>
      <c r="V444" s="98" t="n">
        <v>0.06429</v>
      </c>
    </row>
    <row r="445">
      <c r="P445" s="27">
        <f>YEAR(Q445)</f>
        <v/>
      </c>
      <c r="Q445" s="95" t="n">
        <v>44923</v>
      </c>
      <c r="R445" s="96" t="n">
        <v>0.05281</v>
      </c>
      <c r="T445" s="27">
        <f>YEAR(U445)</f>
        <v/>
      </c>
      <c r="U445" s="95" t="n">
        <v>44960</v>
      </c>
      <c r="V445" s="96" t="n">
        <v>0.0643</v>
      </c>
    </row>
    <row r="446">
      <c r="P446" s="27">
        <f>YEAR(Q446)</f>
        <v/>
      </c>
      <c r="Q446" s="97" t="n">
        <v>44924</v>
      </c>
      <c r="R446" s="98" t="n">
        <v>0.05053</v>
      </c>
      <c r="T446" s="27">
        <f>YEAR(U446)</f>
        <v/>
      </c>
      <c r="U446" s="97" t="n">
        <v>44963</v>
      </c>
      <c r="V446" s="98" t="n">
        <v>0.06211999999999999</v>
      </c>
    </row>
    <row r="447">
      <c r="P447" s="27">
        <f>YEAR(Q447)</f>
        <v/>
      </c>
      <c r="Q447" s="95" t="n">
        <v>44925</v>
      </c>
      <c r="R447" s="96" t="n">
        <v>0.05216</v>
      </c>
      <c r="T447" s="27">
        <f>YEAR(U447)</f>
        <v/>
      </c>
      <c r="U447" s="95" t="n">
        <v>44964</v>
      </c>
      <c r="V447" s="96" t="n">
        <v>0.06105000000000001</v>
      </c>
    </row>
    <row r="448">
      <c r="P448" s="27">
        <f>YEAR(Q448)</f>
        <v/>
      </c>
      <c r="Q448" s="97" t="n">
        <v>44928</v>
      </c>
      <c r="R448" s="98" t="n">
        <v>0.05219</v>
      </c>
      <c r="T448" s="27">
        <f>YEAR(U448)</f>
        <v/>
      </c>
      <c r="U448" s="97" t="n">
        <v>44965</v>
      </c>
      <c r="V448" s="98" t="n">
        <v>0.0643</v>
      </c>
    </row>
    <row r="449">
      <c r="P449" s="27">
        <f>YEAR(Q449)</f>
        <v/>
      </c>
      <c r="Q449" s="95" t="n">
        <v>44929</v>
      </c>
      <c r="R449" s="96" t="n">
        <v>0.0506</v>
      </c>
      <c r="T449" s="27">
        <f>YEAR(U449)</f>
        <v/>
      </c>
      <c r="U449" s="95" t="n">
        <v>44966</v>
      </c>
      <c r="V449" s="96" t="n">
        <v>0.05997</v>
      </c>
    </row>
    <row r="450">
      <c r="P450" s="27">
        <f>YEAR(Q450)</f>
        <v/>
      </c>
      <c r="Q450" s="97" t="n">
        <v>44930</v>
      </c>
      <c r="R450" s="98" t="n">
        <v>0.0572</v>
      </c>
      <c r="T450" s="27">
        <f>YEAR(U450)</f>
        <v/>
      </c>
      <c r="U450" s="97" t="n">
        <v>44967</v>
      </c>
      <c r="V450" s="98" t="n">
        <v>0.05997</v>
      </c>
    </row>
    <row r="451">
      <c r="P451" s="27">
        <f>YEAR(Q451)</f>
        <v/>
      </c>
      <c r="Q451" s="95" t="n">
        <v>44931</v>
      </c>
      <c r="R451" s="96" t="n">
        <v>0.0572</v>
      </c>
      <c r="T451" s="27">
        <f>YEAR(U451)</f>
        <v/>
      </c>
      <c r="U451" s="95" t="n">
        <v>44970</v>
      </c>
      <c r="V451" s="96" t="n">
        <v>0.06167</v>
      </c>
    </row>
    <row r="452">
      <c r="P452" s="27">
        <f>YEAR(Q452)</f>
        <v/>
      </c>
      <c r="Q452" s="97" t="n">
        <v>44932</v>
      </c>
      <c r="R452" s="98" t="n">
        <v>0.05728</v>
      </c>
      <c r="T452" s="27">
        <f>YEAR(U452)</f>
        <v/>
      </c>
      <c r="U452" s="97" t="n">
        <v>44971</v>
      </c>
      <c r="V452" s="98" t="n">
        <v>0.08105999999999999</v>
      </c>
    </row>
    <row r="453">
      <c r="P453" s="27">
        <f>YEAR(Q453)</f>
        <v/>
      </c>
      <c r="Q453" s="95" t="n">
        <v>44935</v>
      </c>
      <c r="R453" s="96" t="n">
        <v>0.05747</v>
      </c>
      <c r="T453" s="27">
        <f>YEAR(U453)</f>
        <v/>
      </c>
      <c r="U453" s="95" t="n">
        <v>44972</v>
      </c>
      <c r="V453" s="96" t="n">
        <v>0.08105000000000001</v>
      </c>
    </row>
    <row r="454">
      <c r="P454" s="27">
        <f>YEAR(Q454)</f>
        <v/>
      </c>
      <c r="Q454" s="97" t="n">
        <v>44936</v>
      </c>
      <c r="R454" s="98" t="n">
        <v>0.05304</v>
      </c>
      <c r="T454" s="27">
        <f>YEAR(U454)</f>
        <v/>
      </c>
      <c r="U454" s="97" t="n">
        <v>44973</v>
      </c>
      <c r="V454" s="98" t="n">
        <v>0.08105000000000001</v>
      </c>
    </row>
    <row r="455">
      <c r="P455" s="27">
        <f>YEAR(Q455)</f>
        <v/>
      </c>
      <c r="Q455" s="95" t="n">
        <v>44937</v>
      </c>
      <c r="R455" s="96" t="n">
        <v>0.05305</v>
      </c>
      <c r="T455" s="27">
        <f>YEAR(U455)</f>
        <v/>
      </c>
      <c r="U455" s="95" t="n">
        <v>44977</v>
      </c>
      <c r="V455" s="96" t="n">
        <v>0.06817999999999999</v>
      </c>
    </row>
    <row r="456">
      <c r="P456" s="27">
        <f>YEAR(Q456)</f>
        <v/>
      </c>
      <c r="Q456" s="97" t="n">
        <v>44938</v>
      </c>
      <c r="R456" s="98" t="n">
        <v>0.05073</v>
      </c>
      <c r="T456" s="27">
        <f>YEAR(U456)</f>
        <v/>
      </c>
      <c r="U456" s="97" t="n">
        <v>44978</v>
      </c>
      <c r="V456" s="98" t="n">
        <v>0.06687</v>
      </c>
    </row>
    <row r="457">
      <c r="P457" s="27">
        <f>YEAR(Q457)</f>
        <v/>
      </c>
      <c r="Q457" s="95" t="n">
        <v>44939</v>
      </c>
      <c r="R457" s="96" t="n">
        <v>0.05074</v>
      </c>
      <c r="T457" s="27">
        <f>YEAR(U457)</f>
        <v/>
      </c>
      <c r="U457" s="95" t="n">
        <v>44979</v>
      </c>
      <c r="V457" s="96" t="n">
        <v>0.07248</v>
      </c>
    </row>
    <row r="458">
      <c r="P458" s="27">
        <f>YEAR(Q458)</f>
        <v/>
      </c>
      <c r="Q458" s="97" t="n">
        <v>44942</v>
      </c>
      <c r="R458" s="98" t="n">
        <v>0.05309</v>
      </c>
      <c r="T458" s="27">
        <f>YEAR(U458)</f>
        <v/>
      </c>
      <c r="U458" s="97" t="n">
        <v>44980</v>
      </c>
      <c r="V458" s="98" t="n">
        <v>0.07246000000000001</v>
      </c>
    </row>
    <row r="459">
      <c r="P459" s="27">
        <f>YEAR(Q459)</f>
        <v/>
      </c>
      <c r="Q459" s="95" t="n">
        <v>44943</v>
      </c>
      <c r="R459" s="96" t="n">
        <v>0.05309999999999999</v>
      </c>
      <c r="T459" s="27">
        <f>YEAR(U459)</f>
        <v/>
      </c>
      <c r="U459" s="95" t="n">
        <v>44981</v>
      </c>
      <c r="V459" s="96" t="n">
        <v>0.07246999999999999</v>
      </c>
    </row>
    <row r="460">
      <c r="P460" s="27">
        <f>YEAR(Q460)</f>
        <v/>
      </c>
      <c r="Q460" s="97" t="n">
        <v>44944</v>
      </c>
      <c r="R460" s="98" t="n">
        <v>0.05081</v>
      </c>
      <c r="T460" s="27">
        <f>YEAR(U460)</f>
        <v/>
      </c>
      <c r="U460" s="97" t="n">
        <v>44984</v>
      </c>
      <c r="V460" s="98" t="n">
        <v>0.06823</v>
      </c>
    </row>
    <row r="461">
      <c r="P461" s="27">
        <f>YEAR(Q461)</f>
        <v/>
      </c>
      <c r="Q461" s="95" t="n">
        <v>44945</v>
      </c>
      <c r="R461" s="96" t="n">
        <v>0.05082</v>
      </c>
      <c r="T461" s="27">
        <f>YEAR(U461)</f>
        <v/>
      </c>
      <c r="U461" s="95" t="n">
        <v>44985</v>
      </c>
      <c r="V461" s="96" t="n">
        <v>0.0725</v>
      </c>
    </row>
    <row r="462">
      <c r="P462" s="27">
        <f>YEAR(Q462)</f>
        <v/>
      </c>
      <c r="Q462" s="97" t="n">
        <v>44946</v>
      </c>
      <c r="R462" s="98" t="n">
        <v>0.05084</v>
      </c>
      <c r="T462" s="27">
        <f>YEAR(U462)</f>
        <v/>
      </c>
      <c r="U462" s="97" t="n">
        <v>44986</v>
      </c>
      <c r="V462" s="98" t="n">
        <v>0.07063999999999999</v>
      </c>
    </row>
    <row r="463">
      <c r="P463" s="27">
        <f>YEAR(Q463)</f>
        <v/>
      </c>
      <c r="Q463" s="95" t="n">
        <v>44949</v>
      </c>
      <c r="R463" s="96" t="n">
        <v>0.05531</v>
      </c>
      <c r="T463" s="27">
        <f>YEAR(U463)</f>
        <v/>
      </c>
      <c r="U463" s="95" t="n">
        <v>44987</v>
      </c>
      <c r="V463" s="96" t="n">
        <v>0.07325</v>
      </c>
    </row>
    <row r="464">
      <c r="P464" s="27">
        <f>YEAR(Q464)</f>
        <v/>
      </c>
      <c r="Q464" s="97" t="n">
        <v>44950</v>
      </c>
      <c r="R464" s="98" t="n">
        <v>0.05081</v>
      </c>
      <c r="T464" s="27">
        <f>YEAR(U464)</f>
        <v/>
      </c>
      <c r="U464" s="97" t="n">
        <v>44988</v>
      </c>
      <c r="V464" s="98" t="n">
        <v>0.08098000000000001</v>
      </c>
    </row>
    <row r="465">
      <c r="P465" s="27">
        <f>YEAR(Q465)</f>
        <v/>
      </c>
      <c r="Q465" s="95" t="n">
        <v>44951</v>
      </c>
      <c r="R465" s="96" t="n">
        <v>0.05341</v>
      </c>
      <c r="T465" s="27">
        <f>YEAR(U465)</f>
        <v/>
      </c>
      <c r="U465" s="95" t="n">
        <v>44991</v>
      </c>
      <c r="V465" s="96" t="n">
        <v>0.06765</v>
      </c>
    </row>
    <row r="466">
      <c r="P466" s="27">
        <f>YEAR(Q466)</f>
        <v/>
      </c>
      <c r="Q466" s="97" t="n">
        <v>44952</v>
      </c>
      <c r="R466" s="98" t="n">
        <v>0.05097</v>
      </c>
      <c r="T466" s="27">
        <f>YEAR(U466)</f>
        <v/>
      </c>
      <c r="U466" s="97" t="n">
        <v>44992</v>
      </c>
      <c r="V466" s="98" t="n">
        <v>0.06764000000000001</v>
      </c>
    </row>
    <row r="467">
      <c r="P467" s="27">
        <f>YEAR(Q467)</f>
        <v/>
      </c>
      <c r="Q467" s="95" t="n">
        <v>44953</v>
      </c>
      <c r="R467" s="96" t="n">
        <v>0.05097</v>
      </c>
      <c r="T467" s="27">
        <f>YEAR(U467)</f>
        <v/>
      </c>
      <c r="U467" s="95" t="n">
        <v>44993</v>
      </c>
      <c r="V467" s="96" t="n">
        <v>0.081</v>
      </c>
    </row>
    <row r="468">
      <c r="P468" s="27">
        <f>YEAR(Q468)</f>
        <v/>
      </c>
      <c r="Q468" s="97" t="n">
        <v>44956</v>
      </c>
      <c r="R468" s="98" t="n">
        <v>0.0557</v>
      </c>
      <c r="T468" s="27">
        <f>YEAR(U468)</f>
        <v/>
      </c>
      <c r="U468" s="97" t="n">
        <v>44994</v>
      </c>
      <c r="V468" s="98" t="n">
        <v>0.081</v>
      </c>
    </row>
    <row r="469">
      <c r="P469" s="27">
        <f>YEAR(Q469)</f>
        <v/>
      </c>
      <c r="Q469" s="95" t="n">
        <v>44957</v>
      </c>
      <c r="R469" s="96" t="n">
        <v>0.0557</v>
      </c>
      <c r="T469" s="27">
        <f>YEAR(U469)</f>
        <v/>
      </c>
      <c r="U469" s="95" t="n">
        <v>44995</v>
      </c>
      <c r="V469" s="96" t="n">
        <v>0.081</v>
      </c>
    </row>
    <row r="470">
      <c r="P470" s="27">
        <f>YEAR(Q470)</f>
        <v/>
      </c>
      <c r="Q470" s="97" t="n">
        <v>44958</v>
      </c>
      <c r="R470" s="98" t="n">
        <v>0.0557</v>
      </c>
      <c r="T470" s="27">
        <f>YEAR(U470)</f>
        <v/>
      </c>
      <c r="U470" s="97" t="n">
        <v>44998</v>
      </c>
      <c r="V470" s="98" t="n">
        <v>0.0726</v>
      </c>
    </row>
    <row r="471">
      <c r="P471" s="27">
        <f>YEAR(Q471)</f>
        <v/>
      </c>
      <c r="Q471" s="95" t="n">
        <v>44959</v>
      </c>
      <c r="R471" s="96" t="n">
        <v>0.06059999999999999</v>
      </c>
      <c r="T471" s="27">
        <f>YEAR(U471)</f>
        <v/>
      </c>
      <c r="U471" s="95" t="n">
        <v>44999</v>
      </c>
      <c r="V471" s="96" t="n">
        <v>0.081</v>
      </c>
    </row>
    <row r="472">
      <c r="P472" s="27">
        <f>YEAR(Q472)</f>
        <v/>
      </c>
      <c r="Q472" s="97" t="n">
        <v>44960</v>
      </c>
      <c r="R472" s="98" t="n">
        <v>0.05678</v>
      </c>
      <c r="T472" s="27">
        <f>YEAR(U472)</f>
        <v/>
      </c>
      <c r="U472" s="97" t="n">
        <v>45000</v>
      </c>
      <c r="V472" s="98" t="n">
        <v>0.0726</v>
      </c>
    </row>
    <row r="473">
      <c r="P473" s="27">
        <f>YEAR(Q473)</f>
        <v/>
      </c>
      <c r="Q473" s="95" t="n">
        <v>44963</v>
      </c>
      <c r="R473" s="96" t="n">
        <v>0.05728</v>
      </c>
      <c r="T473" s="27">
        <f>YEAR(U473)</f>
        <v/>
      </c>
      <c r="U473" s="95" t="n">
        <v>45001</v>
      </c>
      <c r="V473" s="96" t="n">
        <v>0.081</v>
      </c>
    </row>
    <row r="474">
      <c r="P474" s="27">
        <f>YEAR(Q474)</f>
        <v/>
      </c>
      <c r="Q474" s="97" t="n">
        <v>44964</v>
      </c>
      <c r="R474" s="98" t="n">
        <v>0.05562</v>
      </c>
      <c r="T474" s="27">
        <f>YEAR(U474)</f>
        <v/>
      </c>
      <c r="U474" s="97" t="n">
        <v>45002</v>
      </c>
      <c r="V474" s="98" t="n">
        <v>0.081</v>
      </c>
    </row>
    <row r="475">
      <c r="P475" s="27">
        <f>YEAR(Q475)</f>
        <v/>
      </c>
      <c r="Q475" s="95" t="n">
        <v>44965</v>
      </c>
      <c r="R475" s="96" t="n">
        <v>0.05561</v>
      </c>
      <c r="T475" s="27">
        <f>YEAR(U475)</f>
        <v/>
      </c>
      <c r="U475" s="95" t="n">
        <v>45005</v>
      </c>
      <c r="V475" s="96" t="n">
        <v>0.081</v>
      </c>
    </row>
    <row r="476">
      <c r="P476" s="27">
        <f>YEAR(Q476)</f>
        <v/>
      </c>
      <c r="Q476" s="97" t="n">
        <v>44966</v>
      </c>
      <c r="R476" s="98" t="n">
        <v>0.05965</v>
      </c>
      <c r="T476" s="27">
        <f>YEAR(U476)</f>
        <v/>
      </c>
      <c r="U476" s="97" t="n">
        <v>45006</v>
      </c>
      <c r="V476" s="98" t="n">
        <v>0.06934999999999999</v>
      </c>
    </row>
    <row r="477">
      <c r="P477" s="27">
        <f>YEAR(Q477)</f>
        <v/>
      </c>
      <c r="Q477" s="95" t="n">
        <v>44967</v>
      </c>
      <c r="R477" s="96" t="n">
        <v>0.05933</v>
      </c>
      <c r="T477" s="27">
        <f>YEAR(U477)</f>
        <v/>
      </c>
      <c r="U477" s="95" t="n">
        <v>45007</v>
      </c>
      <c r="V477" s="96" t="n">
        <v>0.06762</v>
      </c>
    </row>
    <row r="478">
      <c r="P478" s="27">
        <f>YEAR(Q478)</f>
        <v/>
      </c>
      <c r="Q478" s="97" t="n">
        <v>44970</v>
      </c>
      <c r="R478" s="98" t="n">
        <v>0.06304</v>
      </c>
      <c r="T478" s="27">
        <f>YEAR(U478)</f>
        <v/>
      </c>
      <c r="U478" s="97" t="n">
        <v>45008</v>
      </c>
      <c r="V478" s="98" t="n">
        <v>0.06934</v>
      </c>
    </row>
    <row r="479">
      <c r="P479" s="27">
        <f>YEAR(Q479)</f>
        <v/>
      </c>
      <c r="Q479" s="95" t="n">
        <v>44971</v>
      </c>
      <c r="R479" s="96" t="n">
        <v>0.06148</v>
      </c>
      <c r="T479" s="27">
        <f>YEAR(U479)</f>
        <v/>
      </c>
      <c r="U479" s="95" t="n">
        <v>45009</v>
      </c>
      <c r="V479" s="96" t="n">
        <v>0.08095000000000001</v>
      </c>
    </row>
    <row r="480">
      <c r="P480" s="27">
        <f>YEAR(Q480)</f>
        <v/>
      </c>
      <c r="Q480" s="97" t="n">
        <v>44972</v>
      </c>
      <c r="R480" s="98" t="n">
        <v>0.06744</v>
      </c>
      <c r="T480" s="27">
        <f>YEAR(U480)</f>
        <v/>
      </c>
      <c r="U480" s="97" t="n">
        <v>45012</v>
      </c>
      <c r="V480" s="98" t="n">
        <v>0.081</v>
      </c>
    </row>
    <row r="481">
      <c r="P481" s="27">
        <f>YEAR(Q481)</f>
        <v/>
      </c>
      <c r="Q481" s="95" t="n">
        <v>44973</v>
      </c>
      <c r="R481" s="96" t="n">
        <v>0.06744</v>
      </c>
      <c r="T481" s="27">
        <f>YEAR(U481)</f>
        <v/>
      </c>
      <c r="U481" s="95" t="n">
        <v>45013</v>
      </c>
      <c r="V481" s="96" t="n">
        <v>0.07253999999999999</v>
      </c>
    </row>
    <row r="482">
      <c r="P482" s="27">
        <f>YEAR(Q482)</f>
        <v/>
      </c>
      <c r="Q482" s="97" t="n">
        <v>44974</v>
      </c>
      <c r="R482" s="98" t="n">
        <v>0.06744</v>
      </c>
      <c r="T482" s="27">
        <f>YEAR(U482)</f>
        <v/>
      </c>
      <c r="U482" s="97" t="n">
        <v>45014</v>
      </c>
      <c r="V482" s="98" t="n">
        <v>0.0809</v>
      </c>
    </row>
    <row r="483">
      <c r="P483" s="27">
        <f>YEAR(Q483)</f>
        <v/>
      </c>
      <c r="Q483" s="95" t="n">
        <v>44977</v>
      </c>
      <c r="R483" s="96" t="n">
        <v>0.05587</v>
      </c>
      <c r="T483" s="27">
        <f>YEAR(U483)</f>
        <v/>
      </c>
      <c r="U483" s="95" t="n">
        <v>45015</v>
      </c>
      <c r="V483" s="96" t="n">
        <v>0.0809</v>
      </c>
    </row>
    <row r="484">
      <c r="P484" s="27">
        <f>YEAR(Q484)</f>
        <v/>
      </c>
      <c r="Q484" s="97" t="n">
        <v>44978</v>
      </c>
      <c r="R484" s="98" t="n">
        <v>0.05742</v>
      </c>
      <c r="T484" s="27">
        <f>YEAR(U484)</f>
        <v/>
      </c>
      <c r="U484" s="97" t="n">
        <v>45016</v>
      </c>
      <c r="V484" s="98" t="n">
        <v>0.06927999999999999</v>
      </c>
    </row>
    <row r="485">
      <c r="P485" s="27">
        <f>YEAR(Q485)</f>
        <v/>
      </c>
      <c r="Q485" s="95" t="n">
        <v>44979</v>
      </c>
      <c r="R485" s="96" t="n">
        <v>0.06013</v>
      </c>
      <c r="T485" s="27">
        <f>YEAR(U485)</f>
        <v/>
      </c>
      <c r="U485" s="95" t="n">
        <v>45019</v>
      </c>
      <c r="V485" s="96" t="n">
        <v>0.06958</v>
      </c>
    </row>
    <row r="486">
      <c r="P486" s="27">
        <f>YEAR(Q486)</f>
        <v/>
      </c>
      <c r="Q486" s="97" t="n">
        <v>44980</v>
      </c>
      <c r="R486" s="98" t="n">
        <v>0.05945</v>
      </c>
      <c r="T486" s="27">
        <f>YEAR(U486)</f>
        <v/>
      </c>
      <c r="U486" s="97" t="n">
        <v>45020</v>
      </c>
      <c r="V486" s="98" t="n">
        <v>0.06958</v>
      </c>
    </row>
    <row r="487">
      <c r="P487" s="27">
        <f>YEAR(Q487)</f>
        <v/>
      </c>
      <c r="Q487" s="95" t="n">
        <v>44981</v>
      </c>
      <c r="R487" s="96" t="n">
        <v>0.05944</v>
      </c>
      <c r="T487" s="27">
        <f>YEAR(U487)</f>
        <v/>
      </c>
      <c r="U487" s="95" t="n">
        <v>45021</v>
      </c>
      <c r="V487" s="96" t="n">
        <v>0.0809</v>
      </c>
    </row>
    <row r="488">
      <c r="P488" s="27">
        <f>YEAR(Q488)</f>
        <v/>
      </c>
      <c r="Q488" s="97" t="n">
        <v>44984</v>
      </c>
      <c r="R488" s="98" t="n">
        <v>0.05573</v>
      </c>
      <c r="T488" s="27">
        <f>YEAR(U488)</f>
        <v/>
      </c>
      <c r="U488" s="97" t="n">
        <v>45022</v>
      </c>
      <c r="V488" s="98" t="n">
        <v>0.07181</v>
      </c>
    </row>
    <row r="489">
      <c r="P489" s="27">
        <f>YEAR(Q489)</f>
        <v/>
      </c>
      <c r="Q489" s="95" t="n">
        <v>44985</v>
      </c>
      <c r="R489" s="96" t="n">
        <v>0.05989</v>
      </c>
      <c r="T489" s="27">
        <f>YEAR(U489)</f>
        <v/>
      </c>
      <c r="U489" s="95" t="n">
        <v>45023</v>
      </c>
      <c r="V489" s="96" t="n">
        <v>0.07971</v>
      </c>
    </row>
    <row r="490">
      <c r="P490" s="27">
        <f>YEAR(Q490)</f>
        <v/>
      </c>
      <c r="Q490" s="97" t="n">
        <v>44986</v>
      </c>
      <c r="R490" s="98" t="n">
        <v>0.06136999999999999</v>
      </c>
      <c r="T490" s="27">
        <f>YEAR(U490)</f>
        <v/>
      </c>
      <c r="U490" s="97" t="n">
        <v>45027</v>
      </c>
      <c r="V490" s="98" t="n">
        <v>0.06866999999999999</v>
      </c>
    </row>
    <row r="491">
      <c r="P491" s="27">
        <f>YEAR(Q491)</f>
        <v/>
      </c>
      <c r="Q491" s="95" t="n">
        <v>44987</v>
      </c>
      <c r="R491" s="96" t="n">
        <v>0.06161</v>
      </c>
      <c r="T491" s="27">
        <f>YEAR(U491)</f>
        <v/>
      </c>
      <c r="U491" s="95" t="n">
        <v>45028</v>
      </c>
      <c r="V491" s="96" t="n">
        <v>0.07192</v>
      </c>
    </row>
    <row r="492">
      <c r="P492" s="27">
        <f>YEAR(Q492)</f>
        <v/>
      </c>
      <c r="Q492" s="97" t="n">
        <v>44988</v>
      </c>
      <c r="R492" s="98" t="n">
        <v>0.06105000000000001</v>
      </c>
      <c r="T492" s="27">
        <f>YEAR(U492)</f>
        <v/>
      </c>
      <c r="U492" s="97" t="n">
        <v>45029</v>
      </c>
      <c r="V492" s="98" t="n">
        <v>0.07969999999999999</v>
      </c>
    </row>
    <row r="493">
      <c r="P493" s="27">
        <f>YEAR(Q493)</f>
        <v/>
      </c>
      <c r="Q493" s="95" t="n">
        <v>44991</v>
      </c>
      <c r="R493" s="96" t="n">
        <v>0.05898</v>
      </c>
      <c r="T493" s="27">
        <f>YEAR(U493)</f>
        <v/>
      </c>
      <c r="U493" s="95" t="n">
        <v>45030</v>
      </c>
      <c r="V493" s="96" t="n">
        <v>0.07234</v>
      </c>
    </row>
    <row r="494">
      <c r="P494" s="27">
        <f>YEAR(Q494)</f>
        <v/>
      </c>
      <c r="Q494" s="97" t="n">
        <v>44992</v>
      </c>
      <c r="R494" s="98" t="n">
        <v>0.05897</v>
      </c>
      <c r="T494" s="27">
        <f>YEAR(U494)</f>
        <v/>
      </c>
      <c r="U494" s="97" t="n">
        <v>45033</v>
      </c>
      <c r="V494" s="98" t="n">
        <v>0.07266</v>
      </c>
    </row>
    <row r="495">
      <c r="P495" s="27">
        <f>YEAR(Q495)</f>
        <v/>
      </c>
      <c r="Q495" s="95" t="n">
        <v>44993</v>
      </c>
      <c r="R495" s="96" t="n">
        <v>0.05817</v>
      </c>
      <c r="T495" s="27">
        <f>YEAR(U495)</f>
        <v/>
      </c>
      <c r="U495" s="95" t="n">
        <v>45035</v>
      </c>
      <c r="V495" s="96" t="n">
        <v>0.08069000000000001</v>
      </c>
    </row>
    <row r="496">
      <c r="P496" s="27">
        <f>YEAR(Q496)</f>
        <v/>
      </c>
      <c r="Q496" s="97" t="n">
        <v>44994</v>
      </c>
      <c r="R496" s="98" t="n">
        <v>0.05816</v>
      </c>
      <c r="T496" s="27">
        <f>YEAR(U496)</f>
        <v/>
      </c>
      <c r="U496" s="97" t="n">
        <v>45036</v>
      </c>
      <c r="V496" s="98" t="n">
        <v>0.08069000000000001</v>
      </c>
    </row>
    <row r="497">
      <c r="P497" s="27">
        <f>YEAR(Q497)</f>
        <v/>
      </c>
      <c r="Q497" s="95" t="n">
        <v>44995</v>
      </c>
      <c r="R497" s="96" t="n">
        <v>0.05816</v>
      </c>
      <c r="T497" s="27">
        <f>YEAR(U497)</f>
        <v/>
      </c>
      <c r="U497" s="95" t="n">
        <v>45040</v>
      </c>
      <c r="V497" s="96" t="n">
        <v>0.08070000000000001</v>
      </c>
    </row>
    <row r="498">
      <c r="P498" s="27">
        <f>YEAR(Q498)</f>
        <v/>
      </c>
      <c r="Q498" s="97" t="n">
        <v>44998</v>
      </c>
      <c r="R498" s="98" t="n">
        <v>0.06347</v>
      </c>
      <c r="T498" s="27">
        <f>YEAR(U498)</f>
        <v/>
      </c>
      <c r="U498" s="97" t="n">
        <v>45041</v>
      </c>
      <c r="V498" s="98" t="n">
        <v>0.08070000000000001</v>
      </c>
    </row>
    <row r="499">
      <c r="P499" s="27">
        <f>YEAR(Q499)</f>
        <v/>
      </c>
      <c r="Q499" s="95" t="n">
        <v>44999</v>
      </c>
      <c r="R499" s="96" t="n">
        <v>0.0664</v>
      </c>
      <c r="T499" s="27">
        <f>YEAR(U499)</f>
        <v/>
      </c>
      <c r="U499" s="95" t="n">
        <v>45042</v>
      </c>
      <c r="V499" s="96" t="n">
        <v>0.08070000000000001</v>
      </c>
    </row>
    <row r="500">
      <c r="P500" s="27">
        <f>YEAR(Q500)</f>
        <v/>
      </c>
      <c r="Q500" s="97" t="n">
        <v>45000</v>
      </c>
      <c r="R500" s="98" t="n">
        <v>0.06347</v>
      </c>
      <c r="T500" s="27">
        <f>YEAR(U500)</f>
        <v/>
      </c>
      <c r="U500" s="97" t="n">
        <v>45043</v>
      </c>
      <c r="V500" s="98" t="n">
        <v>0.07241</v>
      </c>
    </row>
    <row r="501">
      <c r="P501" s="27">
        <f>YEAR(Q501)</f>
        <v/>
      </c>
      <c r="Q501" s="95" t="n">
        <v>45001</v>
      </c>
      <c r="R501" s="96" t="n">
        <v>0.0664</v>
      </c>
      <c r="T501" s="27">
        <f>YEAR(U501)</f>
        <v/>
      </c>
      <c r="U501" s="95" t="n">
        <v>45044</v>
      </c>
      <c r="V501" s="96" t="n">
        <v>0.07968</v>
      </c>
    </row>
    <row r="502">
      <c r="P502" s="27">
        <f>YEAR(Q502)</f>
        <v/>
      </c>
      <c r="Q502" s="97" t="n">
        <v>45002</v>
      </c>
      <c r="R502" s="98" t="n">
        <v>0.0664</v>
      </c>
      <c r="T502" s="27">
        <f>YEAR(U502)</f>
        <v/>
      </c>
      <c r="U502" s="97" t="n">
        <v>45048</v>
      </c>
      <c r="V502" s="98" t="n">
        <v>0.07969999999999999</v>
      </c>
    </row>
    <row r="503">
      <c r="P503" s="27">
        <f>YEAR(Q503)</f>
        <v/>
      </c>
      <c r="Q503" s="95" t="n">
        <v>45005</v>
      </c>
      <c r="R503" s="96" t="n">
        <v>0.0664</v>
      </c>
      <c r="T503" s="27">
        <f>YEAR(U503)</f>
        <v/>
      </c>
      <c r="U503" s="95" t="n">
        <v>45049</v>
      </c>
      <c r="V503" s="96" t="n">
        <v>0.07969999999999999</v>
      </c>
    </row>
    <row r="504">
      <c r="P504" s="27">
        <f>YEAR(Q504)</f>
        <v/>
      </c>
      <c r="Q504" s="97" t="n">
        <v>45006</v>
      </c>
      <c r="R504" s="98" t="n">
        <v>0.05802</v>
      </c>
      <c r="T504" s="27">
        <f>YEAR(U504)</f>
        <v/>
      </c>
      <c r="U504" s="97" t="n">
        <v>45050</v>
      </c>
      <c r="V504" s="98" t="n">
        <v>0.07969999999999999</v>
      </c>
    </row>
    <row r="505">
      <c r="P505" s="27">
        <f>YEAR(Q505)</f>
        <v/>
      </c>
      <c r="Q505" s="95" t="n">
        <v>45007</v>
      </c>
      <c r="R505" s="96" t="n">
        <v>0.05885</v>
      </c>
      <c r="T505" s="27">
        <f>YEAR(U505)</f>
        <v/>
      </c>
      <c r="U505" s="95" t="n">
        <v>45051</v>
      </c>
      <c r="V505" s="96" t="n">
        <v>0.07969999999999999</v>
      </c>
    </row>
    <row r="506">
      <c r="P506" s="27">
        <f>YEAR(Q506)</f>
        <v/>
      </c>
      <c r="Q506" s="97" t="n">
        <v>45008</v>
      </c>
      <c r="R506" s="98" t="n">
        <v>0.058</v>
      </c>
      <c r="T506" s="27">
        <f>YEAR(U506)</f>
        <v/>
      </c>
      <c r="U506" s="97" t="n">
        <v>45054</v>
      </c>
      <c r="V506" s="98" t="n">
        <v>0.07481</v>
      </c>
    </row>
    <row r="507">
      <c r="P507" s="27">
        <f>YEAR(Q507)</f>
        <v/>
      </c>
      <c r="Q507" s="95" t="n">
        <v>45009</v>
      </c>
      <c r="R507" s="96" t="n">
        <v>0.06723</v>
      </c>
      <c r="T507" s="27">
        <f>YEAR(U507)</f>
        <v/>
      </c>
      <c r="U507" s="95" t="n">
        <v>45055</v>
      </c>
      <c r="V507" s="96" t="n">
        <v>0.0751</v>
      </c>
    </row>
    <row r="508">
      <c r="P508" s="27">
        <f>YEAR(Q508)</f>
        <v/>
      </c>
      <c r="Q508" s="97" t="n">
        <v>45012</v>
      </c>
      <c r="R508" s="98" t="n">
        <v>0.0664</v>
      </c>
      <c r="T508" s="27">
        <f>YEAR(U508)</f>
        <v/>
      </c>
      <c r="U508" s="97" t="n">
        <v>45056</v>
      </c>
      <c r="V508" s="98" t="n">
        <v>0.07235</v>
      </c>
    </row>
    <row r="509">
      <c r="P509" s="27">
        <f>YEAR(Q509)</f>
        <v/>
      </c>
      <c r="Q509" s="95" t="n">
        <v>45013</v>
      </c>
      <c r="R509" s="96" t="n">
        <v>0.06421</v>
      </c>
      <c r="T509" s="27">
        <f>YEAR(U509)</f>
        <v/>
      </c>
      <c r="U509" s="95" t="n">
        <v>45057</v>
      </c>
      <c r="V509" s="96" t="n">
        <v>0.0806</v>
      </c>
    </row>
    <row r="510">
      <c r="P510" s="27">
        <f>YEAR(Q510)</f>
        <v/>
      </c>
      <c r="Q510" s="97" t="n">
        <v>45014</v>
      </c>
      <c r="R510" s="98" t="n">
        <v>0.0679</v>
      </c>
      <c r="T510" s="27">
        <f>YEAR(U510)</f>
        <v/>
      </c>
      <c r="U510" s="97" t="n">
        <v>45058</v>
      </c>
      <c r="V510" s="98" t="n">
        <v>0.0806</v>
      </c>
    </row>
    <row r="511">
      <c r="P511" s="27">
        <f>YEAR(Q511)</f>
        <v/>
      </c>
      <c r="Q511" s="95" t="n">
        <v>45015</v>
      </c>
      <c r="R511" s="96" t="n">
        <v>0.0679</v>
      </c>
      <c r="T511" s="27">
        <f>YEAR(U511)</f>
        <v/>
      </c>
      <c r="U511" s="95" t="n">
        <v>45061</v>
      </c>
      <c r="V511" s="96" t="n">
        <v>0.07234</v>
      </c>
    </row>
    <row r="512">
      <c r="P512" s="27">
        <f>YEAR(Q512)</f>
        <v/>
      </c>
      <c r="Q512" s="97" t="n">
        <v>45016</v>
      </c>
      <c r="R512" s="98" t="n">
        <v>0.05866</v>
      </c>
      <c r="T512" s="27">
        <f>YEAR(U512)</f>
        <v/>
      </c>
      <c r="U512" s="97" t="n">
        <v>45062</v>
      </c>
      <c r="V512" s="98" t="n">
        <v>0.08368</v>
      </c>
    </row>
    <row r="513">
      <c r="P513" s="27">
        <f>YEAR(Q513)</f>
        <v/>
      </c>
      <c r="Q513" s="95" t="n">
        <v>45019</v>
      </c>
      <c r="R513" s="96" t="n">
        <v>0.06152</v>
      </c>
      <c r="T513" s="27">
        <f>YEAR(U513)</f>
        <v/>
      </c>
      <c r="U513" s="95" t="n">
        <v>45063</v>
      </c>
      <c r="V513" s="96" t="n">
        <v>0.0868</v>
      </c>
    </row>
    <row r="514">
      <c r="P514" s="27">
        <f>YEAR(Q514)</f>
        <v/>
      </c>
      <c r="Q514" s="97" t="n">
        <v>45020</v>
      </c>
      <c r="R514" s="98" t="n">
        <v>0.06152</v>
      </c>
      <c r="T514" s="27">
        <f>YEAR(U514)</f>
        <v/>
      </c>
      <c r="U514" s="97" t="n">
        <v>45065</v>
      </c>
      <c r="V514" s="98" t="n">
        <v>0.0868</v>
      </c>
    </row>
    <row r="515">
      <c r="P515" s="27">
        <f>YEAR(Q515)</f>
        <v/>
      </c>
      <c r="Q515" s="95" t="n">
        <v>45021</v>
      </c>
      <c r="R515" s="96" t="n">
        <v>0.05860000000000001</v>
      </c>
      <c r="T515" s="27">
        <f>YEAR(U515)</f>
        <v/>
      </c>
      <c r="U515" s="95" t="n">
        <v>45068</v>
      </c>
      <c r="V515" s="96" t="n">
        <v>0.0868</v>
      </c>
    </row>
    <row r="516">
      <c r="P516" s="27">
        <f>YEAR(Q516)</f>
        <v/>
      </c>
      <c r="Q516" s="97" t="n">
        <v>45022</v>
      </c>
      <c r="R516" s="98" t="n">
        <v>0.06390999999999999</v>
      </c>
      <c r="T516" s="27">
        <f>YEAR(U516)</f>
        <v/>
      </c>
      <c r="U516" s="97" t="n">
        <v>45069</v>
      </c>
      <c r="V516" s="98" t="n">
        <v>0.0868</v>
      </c>
    </row>
    <row r="517">
      <c r="P517" s="27">
        <f>YEAR(Q517)</f>
        <v/>
      </c>
      <c r="Q517" s="95" t="n">
        <v>45023</v>
      </c>
      <c r="R517" s="96" t="n">
        <v>0.06275</v>
      </c>
      <c r="T517" s="27">
        <f>YEAR(U517)</f>
        <v/>
      </c>
      <c r="U517" s="95" t="n">
        <v>45070</v>
      </c>
      <c r="V517" s="96" t="n">
        <v>0.0868</v>
      </c>
    </row>
    <row r="518">
      <c r="P518" s="27">
        <f>YEAR(Q518)</f>
        <v/>
      </c>
      <c r="Q518" s="97" t="n">
        <v>45027</v>
      </c>
      <c r="R518" s="98" t="n">
        <v>0.06002</v>
      </c>
      <c r="T518" s="27">
        <f>YEAR(U518)</f>
        <v/>
      </c>
      <c r="U518" s="97" t="n">
        <v>45071</v>
      </c>
      <c r="V518" s="98" t="n">
        <v>0.0868</v>
      </c>
    </row>
    <row r="519">
      <c r="P519" s="27">
        <f>YEAR(Q519)</f>
        <v/>
      </c>
      <c r="Q519" s="95" t="n">
        <v>45028</v>
      </c>
      <c r="R519" s="96" t="n">
        <v>0.06019</v>
      </c>
      <c r="T519" s="27">
        <f>YEAR(U519)</f>
        <v/>
      </c>
      <c r="U519" s="95" t="n">
        <v>45072</v>
      </c>
      <c r="V519" s="96" t="n">
        <v>0.07543</v>
      </c>
    </row>
    <row r="520">
      <c r="P520" s="27">
        <f>YEAR(Q520)</f>
        <v/>
      </c>
      <c r="Q520" s="97" t="n">
        <v>45029</v>
      </c>
      <c r="R520" s="98" t="n">
        <v>0.06314</v>
      </c>
      <c r="T520" s="27">
        <f>YEAR(U520)</f>
        <v/>
      </c>
      <c r="U520" s="97" t="n">
        <v>45076</v>
      </c>
      <c r="V520" s="98" t="n">
        <v>0.07641000000000001</v>
      </c>
    </row>
    <row r="521">
      <c r="P521" s="27">
        <f>YEAR(Q521)</f>
        <v/>
      </c>
      <c r="Q521" s="95" t="n">
        <v>45030</v>
      </c>
      <c r="R521" s="96" t="n">
        <v>0.06312999999999999</v>
      </c>
      <c r="T521" s="27">
        <f>YEAR(U521)</f>
        <v/>
      </c>
      <c r="U521" s="95" t="n">
        <v>45077</v>
      </c>
      <c r="V521" s="96" t="n">
        <v>0.08158</v>
      </c>
    </row>
    <row r="522">
      <c r="P522" s="27">
        <f>YEAR(Q522)</f>
        <v/>
      </c>
      <c r="Q522" s="97" t="n">
        <v>45033</v>
      </c>
      <c r="R522" s="98" t="n">
        <v>0.06309000000000001</v>
      </c>
      <c r="T522" s="27">
        <f>YEAR(U522)</f>
        <v/>
      </c>
      <c r="U522" s="97" t="n">
        <v>45078</v>
      </c>
      <c r="V522" s="98" t="n">
        <v>0.08158</v>
      </c>
    </row>
    <row r="523">
      <c r="P523" s="27">
        <f>YEAR(Q523)</f>
        <v/>
      </c>
      <c r="Q523" s="95" t="n">
        <v>45035</v>
      </c>
      <c r="R523" s="96" t="n">
        <v>0.06973</v>
      </c>
      <c r="T523" s="27">
        <f>YEAR(U523)</f>
        <v/>
      </c>
      <c r="U523" s="95" t="n">
        <v>45079</v>
      </c>
      <c r="V523" s="96" t="n">
        <v>0.08158</v>
      </c>
    </row>
    <row r="524">
      <c r="P524" s="27">
        <f>YEAR(Q524)</f>
        <v/>
      </c>
      <c r="Q524" s="97" t="n">
        <v>45036</v>
      </c>
      <c r="R524" s="98" t="n">
        <v>0.06972</v>
      </c>
      <c r="T524" s="27">
        <f>YEAR(U524)</f>
        <v/>
      </c>
      <c r="U524" s="97" t="n">
        <v>45082</v>
      </c>
      <c r="V524" s="98" t="n">
        <v>0.08160000000000001</v>
      </c>
    </row>
    <row r="525">
      <c r="P525" s="27">
        <f>YEAR(Q525)</f>
        <v/>
      </c>
      <c r="Q525" s="95" t="n">
        <v>45040</v>
      </c>
      <c r="R525" s="96" t="n">
        <v>0.07000000000000001</v>
      </c>
      <c r="T525" s="27">
        <f>YEAR(U525)</f>
        <v/>
      </c>
      <c r="U525" s="95" t="n">
        <v>45083</v>
      </c>
      <c r="V525" s="96" t="n">
        <v>0.08160000000000001</v>
      </c>
    </row>
    <row r="526">
      <c r="P526" s="27">
        <f>YEAR(Q526)</f>
        <v/>
      </c>
      <c r="Q526" s="97" t="n">
        <v>45041</v>
      </c>
      <c r="R526" s="98" t="n">
        <v>0.07000000000000001</v>
      </c>
      <c r="T526" s="27">
        <f>YEAR(U526)</f>
        <v/>
      </c>
      <c r="U526" s="97" t="n">
        <v>45084</v>
      </c>
      <c r="V526" s="98" t="n">
        <v>0.07282</v>
      </c>
    </row>
    <row r="527">
      <c r="P527" s="27">
        <f>YEAR(Q527)</f>
        <v/>
      </c>
      <c r="Q527" s="95" t="n">
        <v>45042</v>
      </c>
      <c r="R527" s="96" t="n">
        <v>0.07000000000000001</v>
      </c>
      <c r="T527" s="27">
        <f>YEAR(U527)</f>
        <v/>
      </c>
      <c r="U527" s="95" t="n">
        <v>45085</v>
      </c>
      <c r="V527" s="96" t="n">
        <v>0.08152</v>
      </c>
    </row>
    <row r="528">
      <c r="P528" s="27">
        <f>YEAR(Q528)</f>
        <v/>
      </c>
      <c r="Q528" s="97" t="n">
        <v>45043</v>
      </c>
      <c r="R528" s="98" t="n">
        <v>0.06526</v>
      </c>
      <c r="T528" s="27">
        <f>YEAR(U528)</f>
        <v/>
      </c>
      <c r="U528" s="97" t="n">
        <v>45086</v>
      </c>
      <c r="V528" s="98" t="n">
        <v>0.08152</v>
      </c>
    </row>
    <row r="529">
      <c r="P529" s="27">
        <f>YEAR(Q529)</f>
        <v/>
      </c>
      <c r="Q529" s="95" t="n">
        <v>45044</v>
      </c>
      <c r="R529" s="96" t="n">
        <v>0.06963</v>
      </c>
      <c r="T529" s="27">
        <f>YEAR(U529)</f>
        <v/>
      </c>
      <c r="U529" s="95" t="n">
        <v>45089</v>
      </c>
      <c r="V529" s="96" t="n">
        <v>0.07568</v>
      </c>
    </row>
    <row r="530">
      <c r="P530" s="27">
        <f>YEAR(Q530)</f>
        <v/>
      </c>
      <c r="Q530" s="97" t="n">
        <v>45048</v>
      </c>
      <c r="R530" s="98" t="n">
        <v>0.0699</v>
      </c>
      <c r="T530" s="27">
        <f>YEAR(U530)</f>
        <v/>
      </c>
      <c r="U530" s="97" t="n">
        <v>45091</v>
      </c>
      <c r="V530" s="98" t="n">
        <v>0.08151</v>
      </c>
    </row>
    <row r="531">
      <c r="P531" s="27">
        <f>YEAR(Q531)</f>
        <v/>
      </c>
      <c r="Q531" s="95" t="n">
        <v>45049</v>
      </c>
      <c r="R531" s="96" t="n">
        <v>0.0699</v>
      </c>
      <c r="T531" s="27">
        <f>YEAR(U531)</f>
        <v/>
      </c>
      <c r="U531" s="95" t="n">
        <v>45092</v>
      </c>
      <c r="V531" s="96" t="n">
        <v>0.0815</v>
      </c>
    </row>
    <row r="532">
      <c r="P532" s="27">
        <f>YEAR(Q532)</f>
        <v/>
      </c>
      <c r="Q532" s="97" t="n">
        <v>45050</v>
      </c>
      <c r="R532" s="98" t="n">
        <v>0.0699</v>
      </c>
      <c r="T532" s="27">
        <f>YEAR(U532)</f>
        <v/>
      </c>
      <c r="U532" s="97" t="n">
        <v>45093</v>
      </c>
      <c r="V532" s="98" t="n">
        <v>0.0815</v>
      </c>
    </row>
    <row r="533">
      <c r="P533" s="27">
        <f>YEAR(Q533)</f>
        <v/>
      </c>
      <c r="Q533" s="95" t="n">
        <v>45051</v>
      </c>
      <c r="R533" s="96" t="n">
        <v>0.0699</v>
      </c>
      <c r="T533" s="27">
        <f>YEAR(U533)</f>
        <v/>
      </c>
      <c r="U533" s="95" t="n">
        <v>45097</v>
      </c>
      <c r="V533" s="96" t="n">
        <v>0.08151</v>
      </c>
    </row>
    <row r="534">
      <c r="P534" s="27">
        <f>YEAR(Q534)</f>
        <v/>
      </c>
      <c r="Q534" s="97" t="n">
        <v>45054</v>
      </c>
      <c r="R534" s="98" t="n">
        <v>0.06665</v>
      </c>
      <c r="T534" s="27">
        <f>YEAR(U534)</f>
        <v/>
      </c>
      <c r="U534" s="97" t="n">
        <v>45098</v>
      </c>
      <c r="V534" s="98" t="n">
        <v>0.08151</v>
      </c>
    </row>
    <row r="535">
      <c r="P535" s="27">
        <f>YEAR(Q535)</f>
        <v/>
      </c>
      <c r="Q535" s="95" t="n">
        <v>45055</v>
      </c>
      <c r="R535" s="96" t="n">
        <v>0.06680999999999999</v>
      </c>
      <c r="T535" s="27">
        <f>YEAR(U535)</f>
        <v/>
      </c>
      <c r="U535" s="95" t="n">
        <v>45099</v>
      </c>
      <c r="V535" s="96" t="n">
        <v>0.0815</v>
      </c>
    </row>
    <row r="536">
      <c r="P536" s="27">
        <f>YEAR(Q536)</f>
        <v/>
      </c>
      <c r="Q536" s="97" t="n">
        <v>45056</v>
      </c>
      <c r="R536" s="98" t="n">
        <v>0.06544999999999999</v>
      </c>
      <c r="T536" s="27">
        <f>YEAR(U536)</f>
        <v/>
      </c>
      <c r="U536" s="97" t="n">
        <v>45100</v>
      </c>
      <c r="V536" s="98" t="n">
        <v>0.0815</v>
      </c>
    </row>
    <row r="537">
      <c r="P537" s="27">
        <f>YEAR(Q537)</f>
        <v/>
      </c>
      <c r="Q537" s="95" t="n">
        <v>45057</v>
      </c>
      <c r="R537" s="96" t="n">
        <v>0.0704</v>
      </c>
      <c r="T537" s="27">
        <f>YEAR(U537)</f>
        <v/>
      </c>
      <c r="U537" s="95" t="n">
        <v>45103</v>
      </c>
      <c r="V537" s="96" t="n">
        <v>0.0815</v>
      </c>
    </row>
    <row r="538">
      <c r="P538" s="27">
        <f>YEAR(Q538)</f>
        <v/>
      </c>
      <c r="Q538" s="97" t="n">
        <v>45058</v>
      </c>
      <c r="R538" s="98" t="n">
        <v>0.0704</v>
      </c>
      <c r="T538" s="27">
        <f>YEAR(U538)</f>
        <v/>
      </c>
      <c r="U538" s="97" t="n">
        <v>45104</v>
      </c>
      <c r="V538" s="98" t="n">
        <v>0.0815</v>
      </c>
    </row>
    <row r="539">
      <c r="P539" s="27">
        <f>YEAR(Q539)</f>
        <v/>
      </c>
      <c r="Q539" s="95" t="n">
        <v>45061</v>
      </c>
      <c r="R539" s="96" t="n">
        <v>0.06544999999999999</v>
      </c>
      <c r="T539" s="27">
        <f>YEAR(U539)</f>
        <v/>
      </c>
      <c r="U539" s="95" t="n">
        <v>45106</v>
      </c>
      <c r="V539" s="96" t="n">
        <v>0.08148999999999999</v>
      </c>
    </row>
    <row r="540">
      <c r="P540" s="27">
        <f>YEAR(Q540)</f>
        <v/>
      </c>
      <c r="Q540" s="97" t="n">
        <v>45062</v>
      </c>
      <c r="R540" s="98" t="n">
        <v>0.07219</v>
      </c>
      <c r="T540" s="27">
        <f>YEAR(U540)</f>
        <v/>
      </c>
      <c r="U540" s="97" t="n">
        <v>45107</v>
      </c>
      <c r="V540" s="98" t="n">
        <v>0.08148999999999999</v>
      </c>
    </row>
    <row r="541">
      <c r="P541" s="27">
        <f>YEAR(Q541)</f>
        <v/>
      </c>
      <c r="Q541" s="95" t="n">
        <v>45063</v>
      </c>
      <c r="R541" s="96" t="n">
        <v>0.07429999999999999</v>
      </c>
      <c r="T541" s="27">
        <f>YEAR(U541)</f>
        <v/>
      </c>
      <c r="U541" s="95" t="n">
        <v>45110</v>
      </c>
      <c r="V541" s="96" t="n">
        <v>0.07274</v>
      </c>
    </row>
    <row r="542">
      <c r="P542" s="27">
        <f>YEAR(Q542)</f>
        <v/>
      </c>
      <c r="Q542" s="97" t="n">
        <v>45065</v>
      </c>
      <c r="R542" s="98" t="n">
        <v>0.07429999999999999</v>
      </c>
      <c r="T542" s="27">
        <f>YEAR(U542)</f>
        <v/>
      </c>
      <c r="U542" s="97" t="n">
        <v>45111</v>
      </c>
      <c r="V542" s="98" t="n">
        <v>0.0815</v>
      </c>
    </row>
    <row r="543">
      <c r="P543" s="27">
        <f>YEAR(Q543)</f>
        <v/>
      </c>
      <c r="Q543" s="95" t="n">
        <v>45068</v>
      </c>
      <c r="R543" s="96" t="n">
        <v>0.07429999999999999</v>
      </c>
      <c r="T543" s="27">
        <f>YEAR(U543)</f>
        <v/>
      </c>
      <c r="U543" s="95" t="n">
        <v>45112</v>
      </c>
      <c r="V543" s="96" t="n">
        <v>0.0815</v>
      </c>
    </row>
    <row r="544">
      <c r="P544" s="27">
        <f>YEAR(Q544)</f>
        <v/>
      </c>
      <c r="Q544" s="97" t="n">
        <v>45070</v>
      </c>
      <c r="R544" s="98" t="n">
        <v>0.06738000000000001</v>
      </c>
      <c r="T544" s="27">
        <f>YEAR(U544)</f>
        <v/>
      </c>
      <c r="U544" s="97" t="n">
        <v>45113</v>
      </c>
      <c r="V544" s="98" t="n">
        <v>0.0815</v>
      </c>
    </row>
    <row r="545">
      <c r="P545" s="27">
        <f>YEAR(Q545)</f>
        <v/>
      </c>
      <c r="Q545" s="95" t="n">
        <v>45071</v>
      </c>
      <c r="R545" s="96" t="n">
        <v>0.07400000000000001</v>
      </c>
      <c r="T545" s="27">
        <f>YEAR(U545)</f>
        <v/>
      </c>
      <c r="U545" s="95" t="n">
        <v>45114</v>
      </c>
      <c r="V545" s="96" t="n">
        <v>0.0815</v>
      </c>
    </row>
    <row r="546">
      <c r="P546" s="27">
        <f>YEAR(Q546)</f>
        <v/>
      </c>
      <c r="Q546" s="97" t="n">
        <v>45072</v>
      </c>
      <c r="R546" s="98" t="n">
        <v>0.06722</v>
      </c>
      <c r="T546" s="27">
        <f>YEAR(U546)</f>
        <v/>
      </c>
      <c r="U546" s="97" t="n">
        <v>45117</v>
      </c>
      <c r="V546" s="98" t="n">
        <v>0.0815</v>
      </c>
    </row>
    <row r="547">
      <c r="P547" s="27">
        <f>YEAR(Q547)</f>
        <v/>
      </c>
      <c r="Q547" s="95" t="n">
        <v>45076</v>
      </c>
      <c r="R547" s="96" t="n">
        <v>0.06841999999999999</v>
      </c>
      <c r="T547" s="27">
        <f>YEAR(U547)</f>
        <v/>
      </c>
      <c r="U547" s="95" t="n">
        <v>45118</v>
      </c>
      <c r="V547" s="96" t="n">
        <v>0.08148</v>
      </c>
    </row>
    <row r="548">
      <c r="P548" s="27">
        <f>YEAR(Q548)</f>
        <v/>
      </c>
      <c r="Q548" s="97" t="n">
        <v>45077</v>
      </c>
      <c r="R548" s="98" t="n">
        <v>0.07241</v>
      </c>
      <c r="T548" s="27">
        <f>YEAR(U548)</f>
        <v/>
      </c>
      <c r="U548" s="97" t="n">
        <v>45119</v>
      </c>
      <c r="V548" s="98" t="n">
        <v>0.08148</v>
      </c>
    </row>
    <row r="549">
      <c r="P549" s="27">
        <f>YEAR(Q549)</f>
        <v/>
      </c>
      <c r="Q549" s="95" t="n">
        <v>45078</v>
      </c>
      <c r="R549" s="96" t="n">
        <v>0.07241</v>
      </c>
      <c r="T549" s="27">
        <f>YEAR(U549)</f>
        <v/>
      </c>
      <c r="U549" s="95" t="n">
        <v>45120</v>
      </c>
      <c r="V549" s="96" t="n">
        <v>0.0815</v>
      </c>
    </row>
    <row r="550">
      <c r="P550" s="27">
        <f>YEAR(Q550)</f>
        <v/>
      </c>
      <c r="Q550" s="97" t="n">
        <v>45079</v>
      </c>
      <c r="R550" s="98" t="n">
        <v>0.07241</v>
      </c>
      <c r="T550" s="27">
        <f>YEAR(U550)</f>
        <v/>
      </c>
      <c r="U550" s="97" t="n">
        <v>45124</v>
      </c>
      <c r="V550" s="98" t="n">
        <v>0.0815</v>
      </c>
    </row>
    <row r="551">
      <c r="P551" s="27">
        <f>YEAR(Q551)</f>
        <v/>
      </c>
      <c r="Q551" s="95" t="n">
        <v>45082</v>
      </c>
      <c r="R551" s="96" t="n">
        <v>0.07240000000000001</v>
      </c>
      <c r="T551" s="27">
        <f>YEAR(U551)</f>
        <v/>
      </c>
      <c r="U551" s="95" t="n">
        <v>45125</v>
      </c>
      <c r="V551" s="96" t="n">
        <v>0.0815</v>
      </c>
    </row>
    <row r="552">
      <c r="P552" s="27">
        <f>YEAR(Q552)</f>
        <v/>
      </c>
      <c r="Q552" s="97" t="n">
        <v>45083</v>
      </c>
      <c r="R552" s="98" t="n">
        <v>0.07240000000000001</v>
      </c>
      <c r="T552" s="27">
        <f>YEAR(U552)</f>
        <v/>
      </c>
      <c r="U552" s="97" t="n">
        <v>45126</v>
      </c>
      <c r="V552" s="98" t="n">
        <v>0.0815</v>
      </c>
    </row>
    <row r="553">
      <c r="P553" s="27">
        <f>YEAR(Q553)</f>
        <v/>
      </c>
      <c r="Q553" s="95" t="n">
        <v>45084</v>
      </c>
      <c r="R553" s="96" t="n">
        <v>0.0664</v>
      </c>
      <c r="T553" s="27">
        <f>YEAR(U553)</f>
        <v/>
      </c>
      <c r="U553" s="95" t="n">
        <v>45127</v>
      </c>
      <c r="V553" s="96" t="n">
        <v>0.0815</v>
      </c>
    </row>
    <row r="554">
      <c r="P554" s="27">
        <f>YEAR(Q554)</f>
        <v/>
      </c>
      <c r="Q554" s="97" t="n">
        <v>45085</v>
      </c>
      <c r="R554" s="98" t="n">
        <v>0.07240000000000001</v>
      </c>
      <c r="T554" s="27">
        <f>YEAR(U554)</f>
        <v/>
      </c>
      <c r="U554" s="97" t="n">
        <v>45128</v>
      </c>
      <c r="V554" s="98" t="n">
        <v>0.0815</v>
      </c>
    </row>
    <row r="555">
      <c r="P555" s="27">
        <f>YEAR(Q555)</f>
        <v/>
      </c>
      <c r="Q555" s="95" t="n">
        <v>45086</v>
      </c>
      <c r="R555" s="96" t="n">
        <v>0.07240000000000001</v>
      </c>
      <c r="T555" s="27">
        <f>YEAR(U555)</f>
        <v/>
      </c>
      <c r="U555" s="95" t="n">
        <v>45131</v>
      </c>
      <c r="V555" s="96" t="n">
        <v>0.07272000000000001</v>
      </c>
    </row>
    <row r="556">
      <c r="P556" s="27">
        <f>YEAR(Q556)</f>
        <v/>
      </c>
      <c r="Q556" s="97" t="n">
        <v>45089</v>
      </c>
      <c r="R556" s="98" t="n">
        <v>0.06838</v>
      </c>
      <c r="T556" s="27">
        <f>YEAR(U556)</f>
        <v/>
      </c>
      <c r="U556" s="97" t="n">
        <v>45132</v>
      </c>
      <c r="V556" s="98" t="n">
        <v>0.0815</v>
      </c>
    </row>
    <row r="557">
      <c r="P557" s="27">
        <f>YEAR(Q557)</f>
        <v/>
      </c>
      <c r="Q557" s="95" t="n">
        <v>45090</v>
      </c>
      <c r="R557" s="96" t="n">
        <v>0.07239</v>
      </c>
      <c r="T557" s="27">
        <f>YEAR(U557)</f>
        <v/>
      </c>
      <c r="U557" s="95" t="n">
        <v>45133</v>
      </c>
      <c r="V557" s="96" t="n">
        <v>0.0815</v>
      </c>
    </row>
    <row r="558">
      <c r="P558" s="27">
        <f>YEAR(Q558)</f>
        <v/>
      </c>
      <c r="Q558" s="97" t="n">
        <v>45091</v>
      </c>
      <c r="R558" s="98" t="n">
        <v>0.07238</v>
      </c>
      <c r="T558" s="27">
        <f>YEAR(U558)</f>
        <v/>
      </c>
      <c r="U558" s="97" t="n">
        <v>45134</v>
      </c>
      <c r="V558" s="98" t="n">
        <v>0.07272000000000001</v>
      </c>
    </row>
    <row r="559">
      <c r="P559" s="27">
        <f>YEAR(Q559)</f>
        <v/>
      </c>
      <c r="Q559" s="95" t="n">
        <v>45092</v>
      </c>
      <c r="R559" s="96" t="n">
        <v>0.07240000000000001</v>
      </c>
      <c r="T559" s="27">
        <f>YEAR(U559)</f>
        <v/>
      </c>
      <c r="U559" s="95" t="n">
        <v>45135</v>
      </c>
      <c r="V559" s="96" t="n">
        <v>0.07272000000000001</v>
      </c>
    </row>
    <row r="560">
      <c r="P560" s="27">
        <f>YEAR(Q560)</f>
        <v/>
      </c>
      <c r="Q560" s="97" t="n">
        <v>45093</v>
      </c>
      <c r="R560" s="98" t="n">
        <v>0.07240000000000001</v>
      </c>
      <c r="T560" s="27">
        <f>YEAR(U560)</f>
        <v/>
      </c>
      <c r="U560" s="97" t="n">
        <v>45138</v>
      </c>
      <c r="V560" s="98" t="n">
        <v>0.07272000000000001</v>
      </c>
    </row>
    <row r="561">
      <c r="P561" s="27">
        <f>YEAR(Q561)</f>
        <v/>
      </c>
      <c r="Q561" s="95" t="n">
        <v>45096</v>
      </c>
      <c r="R561" s="96" t="n">
        <v>0.07232</v>
      </c>
      <c r="T561" s="27">
        <f>YEAR(U561)</f>
        <v/>
      </c>
      <c r="U561" s="95" t="n">
        <v>45139</v>
      </c>
      <c r="V561" s="96" t="n">
        <v>0.08138999999999999</v>
      </c>
    </row>
    <row r="562">
      <c r="P562" s="27">
        <f>YEAR(Q562)</f>
        <v/>
      </c>
      <c r="Q562" s="97" t="n">
        <v>45097</v>
      </c>
      <c r="R562" s="98" t="n">
        <v>0.07232</v>
      </c>
      <c r="T562" s="27">
        <f>YEAR(U562)</f>
        <v/>
      </c>
      <c r="U562" s="97" t="n">
        <v>45141</v>
      </c>
      <c r="V562" s="98" t="n">
        <v>0.06392</v>
      </c>
    </row>
    <row r="563">
      <c r="P563" s="27">
        <f>YEAR(Q563)</f>
        <v/>
      </c>
      <c r="Q563" s="95" t="n">
        <v>45098</v>
      </c>
      <c r="R563" s="96" t="n">
        <v>0.07232</v>
      </c>
      <c r="T563" s="27">
        <f>YEAR(U563)</f>
        <v/>
      </c>
      <c r="U563" s="95" t="n">
        <v>45146</v>
      </c>
      <c r="V563" s="96" t="n">
        <v>0.08137</v>
      </c>
    </row>
    <row r="564">
      <c r="P564" s="27">
        <f>YEAR(Q564)</f>
        <v/>
      </c>
      <c r="Q564" s="97" t="n">
        <v>45099</v>
      </c>
      <c r="R564" s="98" t="n">
        <v>0.07232</v>
      </c>
      <c r="T564" s="27">
        <f>YEAR(U564)</f>
        <v/>
      </c>
      <c r="U564" s="97" t="n">
        <v>45147</v>
      </c>
      <c r="V564" s="98" t="n">
        <v>0.06390999999999999</v>
      </c>
    </row>
    <row r="565">
      <c r="P565" s="27">
        <f>YEAR(Q565)</f>
        <v/>
      </c>
      <c r="Q565" s="95" t="n">
        <v>45100</v>
      </c>
      <c r="R565" s="96" t="n">
        <v>0.0723</v>
      </c>
      <c r="T565" s="27">
        <f>YEAR(U565)</f>
        <v/>
      </c>
      <c r="U565" s="95" t="n">
        <v>45154</v>
      </c>
      <c r="V565" s="96" t="n">
        <v>0.08134999999999999</v>
      </c>
    </row>
    <row r="566">
      <c r="P566" s="27">
        <f>YEAR(Q566)</f>
        <v/>
      </c>
      <c r="Q566" s="97" t="n">
        <v>45103</v>
      </c>
      <c r="R566" s="98" t="n">
        <v>0.0723</v>
      </c>
      <c r="T566" s="27">
        <f>YEAR(U566)</f>
        <v/>
      </c>
      <c r="U566" s="97" t="n">
        <v>45155</v>
      </c>
      <c r="V566" s="98" t="n">
        <v>0.0839</v>
      </c>
    </row>
    <row r="567">
      <c r="P567" s="27">
        <f>YEAR(Q567)</f>
        <v/>
      </c>
      <c r="Q567" s="95" t="n">
        <v>45104</v>
      </c>
      <c r="R567" s="96" t="n">
        <v>0.07231</v>
      </c>
      <c r="T567" s="27">
        <f>YEAR(U567)</f>
        <v/>
      </c>
      <c r="U567" s="95" t="n">
        <v>45156</v>
      </c>
      <c r="V567" s="96" t="n">
        <v>0.0839</v>
      </c>
    </row>
    <row r="568">
      <c r="P568" s="27">
        <f>YEAR(Q568)</f>
        <v/>
      </c>
      <c r="Q568" s="97" t="n">
        <v>45106</v>
      </c>
      <c r="R568" s="98" t="n">
        <v>0.0723</v>
      </c>
      <c r="T568" s="27">
        <f>YEAR(U568)</f>
        <v/>
      </c>
      <c r="U568" s="97" t="n">
        <v>45159</v>
      </c>
      <c r="V568" s="98" t="n">
        <v>0.0839</v>
      </c>
    </row>
    <row r="569">
      <c r="P569" s="27">
        <f>YEAR(Q569)</f>
        <v/>
      </c>
      <c r="Q569" s="95" t="n">
        <v>45107</v>
      </c>
      <c r="R569" s="96" t="n">
        <v>0.0723</v>
      </c>
      <c r="T569" s="27">
        <f>YEAR(U569)</f>
        <v/>
      </c>
      <c r="U569" s="95" t="n">
        <v>45160</v>
      </c>
      <c r="V569" s="96" t="n">
        <v>0.0839</v>
      </c>
    </row>
    <row r="570">
      <c r="P570" s="27">
        <f>YEAR(Q570)</f>
        <v/>
      </c>
      <c r="Q570" s="97" t="n">
        <v>45110</v>
      </c>
      <c r="R570" s="98" t="n">
        <v>0.0663</v>
      </c>
      <c r="T570" s="27">
        <f>YEAR(U570)</f>
        <v/>
      </c>
      <c r="U570" s="97" t="n">
        <v>45161</v>
      </c>
      <c r="V570" s="98" t="n">
        <v>0.0839</v>
      </c>
    </row>
    <row r="571">
      <c r="P571" s="27">
        <f>YEAR(Q571)</f>
        <v/>
      </c>
      <c r="Q571" s="95" t="n">
        <v>45111</v>
      </c>
      <c r="R571" s="96" t="n">
        <v>0.0723</v>
      </c>
      <c r="T571" s="27">
        <f>YEAR(U571)</f>
        <v/>
      </c>
      <c r="U571" s="95" t="n">
        <v>45162</v>
      </c>
      <c r="V571" s="96" t="n">
        <v>0.0839</v>
      </c>
    </row>
    <row r="572">
      <c r="P572" s="27">
        <f>YEAR(Q572)</f>
        <v/>
      </c>
      <c r="Q572" s="97" t="n">
        <v>45112</v>
      </c>
      <c r="R572" s="98" t="n">
        <v>0.0723</v>
      </c>
      <c r="T572" s="27">
        <f>YEAR(U572)</f>
        <v/>
      </c>
      <c r="U572" s="97" t="n">
        <v>45163</v>
      </c>
      <c r="V572" s="98" t="n">
        <v>0.0839</v>
      </c>
    </row>
    <row r="573">
      <c r="P573" s="27">
        <f>YEAR(Q573)</f>
        <v/>
      </c>
      <c r="Q573" s="95" t="n">
        <v>45113</v>
      </c>
      <c r="R573" s="96" t="n">
        <v>0.0723</v>
      </c>
      <c r="T573" s="27">
        <f>YEAR(U573)</f>
        <v/>
      </c>
      <c r="U573" s="95" t="n">
        <v>45166</v>
      </c>
      <c r="V573" s="96" t="n">
        <v>0.0839</v>
      </c>
    </row>
    <row r="574">
      <c r="P574" s="27">
        <f>YEAR(Q574)</f>
        <v/>
      </c>
      <c r="Q574" s="97" t="n">
        <v>45114</v>
      </c>
      <c r="R574" s="98" t="n">
        <v>0.0723</v>
      </c>
      <c r="T574" s="27">
        <f>YEAR(U574)</f>
        <v/>
      </c>
      <c r="U574" s="97" t="n">
        <v>45167</v>
      </c>
      <c r="V574" s="98" t="n">
        <v>0.0839</v>
      </c>
    </row>
    <row r="575">
      <c r="P575" s="27">
        <f>YEAR(Q575)</f>
        <v/>
      </c>
      <c r="Q575" s="95" t="n">
        <v>45117</v>
      </c>
      <c r="R575" s="96" t="n">
        <v>0.0723</v>
      </c>
      <c r="T575" s="27">
        <f>YEAR(U575)</f>
        <v/>
      </c>
      <c r="U575" s="95" t="n">
        <v>45168</v>
      </c>
      <c r="V575" s="96" t="n">
        <v>0.0839</v>
      </c>
    </row>
    <row r="576">
      <c r="P576" s="27">
        <f>YEAR(Q576)</f>
        <v/>
      </c>
      <c r="Q576" s="97" t="n">
        <v>45118</v>
      </c>
      <c r="R576" s="98" t="n">
        <v>0.07368999999999999</v>
      </c>
      <c r="T576" s="27">
        <f>YEAR(U576)</f>
        <v/>
      </c>
      <c r="U576" s="97" t="n">
        <v>45169</v>
      </c>
      <c r="V576" s="98" t="n">
        <v>0.0839</v>
      </c>
    </row>
    <row r="577">
      <c r="P577" s="27">
        <f>YEAR(Q577)</f>
        <v/>
      </c>
      <c r="Q577" s="95" t="n">
        <v>45119</v>
      </c>
      <c r="R577" s="96" t="n">
        <v>0.07368999999999999</v>
      </c>
      <c r="T577" s="27">
        <f>YEAR(U577)</f>
        <v/>
      </c>
      <c r="U577" s="95" t="n">
        <v>45170</v>
      </c>
      <c r="V577" s="96" t="n">
        <v>0.0839</v>
      </c>
    </row>
    <row r="578">
      <c r="P578" s="27">
        <f>YEAR(Q578)</f>
        <v/>
      </c>
      <c r="Q578" s="97" t="n">
        <v>45120</v>
      </c>
      <c r="R578" s="98" t="n">
        <v>0.0737</v>
      </c>
      <c r="T578" s="27">
        <f>YEAR(U578)</f>
        <v/>
      </c>
      <c r="U578" s="97" t="n">
        <v>45173</v>
      </c>
      <c r="V578" s="98" t="n">
        <v>0.0839</v>
      </c>
    </row>
    <row r="579">
      <c r="P579" s="27">
        <f>YEAR(Q579)</f>
        <v/>
      </c>
      <c r="Q579" s="95" t="n">
        <v>45124</v>
      </c>
      <c r="R579" s="96" t="n">
        <v>0.0737</v>
      </c>
      <c r="T579" s="27">
        <f>YEAR(U579)</f>
        <v/>
      </c>
      <c r="U579" s="95" t="n">
        <v>45175</v>
      </c>
      <c r="V579" s="96" t="n">
        <v>0.0839</v>
      </c>
    </row>
    <row r="580">
      <c r="P580" s="27">
        <f>YEAR(Q580)</f>
        <v/>
      </c>
      <c r="Q580" s="97" t="n">
        <v>45125</v>
      </c>
      <c r="R580" s="98" t="n">
        <v>0.0737</v>
      </c>
      <c r="T580" s="27">
        <f>YEAR(U580)</f>
        <v/>
      </c>
      <c r="U580" s="97" t="n">
        <v>45176</v>
      </c>
      <c r="V580" s="98" t="n">
        <v>0.0839</v>
      </c>
    </row>
    <row r="581">
      <c r="P581" s="27">
        <f>YEAR(Q581)</f>
        <v/>
      </c>
      <c r="Q581" s="95" t="n">
        <v>45126</v>
      </c>
      <c r="R581" s="96" t="n">
        <v>0.0737</v>
      </c>
      <c r="T581" s="27">
        <f>YEAR(U581)</f>
        <v/>
      </c>
      <c r="U581" s="95" t="n">
        <v>45177</v>
      </c>
      <c r="V581" s="96" t="n">
        <v>0.0839</v>
      </c>
    </row>
    <row r="582">
      <c r="P582" s="27">
        <f>YEAR(Q582)</f>
        <v/>
      </c>
      <c r="Q582" s="97" t="n">
        <v>45127</v>
      </c>
      <c r="R582" s="98" t="n">
        <v>0.0737</v>
      </c>
      <c r="T582" s="27">
        <f>YEAR(U582)</f>
        <v/>
      </c>
      <c r="U582" s="97" t="n">
        <v>45180</v>
      </c>
      <c r="V582" s="98" t="n">
        <v>0.07388</v>
      </c>
    </row>
    <row r="583">
      <c r="P583" s="27">
        <f>YEAR(Q583)</f>
        <v/>
      </c>
      <c r="Q583" s="95" t="n">
        <v>45128</v>
      </c>
      <c r="R583" s="96" t="n">
        <v>0.0737</v>
      </c>
      <c r="T583" s="27">
        <f>YEAR(U583)</f>
        <v/>
      </c>
      <c r="U583" s="95" t="n">
        <v>45181</v>
      </c>
      <c r="V583" s="96" t="n">
        <v>0.07388</v>
      </c>
    </row>
    <row r="584">
      <c r="P584" s="27">
        <f>YEAR(Q584)</f>
        <v/>
      </c>
      <c r="Q584" s="97" t="n">
        <v>45131</v>
      </c>
      <c r="R584" s="98" t="n">
        <v>0.06695000000000001</v>
      </c>
      <c r="T584" s="27">
        <f>YEAR(U584)</f>
        <v/>
      </c>
      <c r="U584" s="97" t="n">
        <v>45182</v>
      </c>
      <c r="V584" s="98" t="n">
        <v>0.07386999999999999</v>
      </c>
    </row>
    <row r="585">
      <c r="P585" s="27">
        <f>YEAR(Q585)</f>
        <v/>
      </c>
      <c r="Q585" s="95" t="n">
        <v>45132</v>
      </c>
      <c r="R585" s="96" t="n">
        <v>0.0737</v>
      </c>
      <c r="T585" s="27">
        <f>YEAR(U585)</f>
        <v/>
      </c>
      <c r="U585" s="95" t="n">
        <v>45183</v>
      </c>
      <c r="V585" s="96" t="n">
        <v>0.07386999999999999</v>
      </c>
    </row>
    <row r="586">
      <c r="P586" s="27">
        <f>YEAR(Q586)</f>
        <v/>
      </c>
      <c r="Q586" s="97" t="n">
        <v>45133</v>
      </c>
      <c r="R586" s="98" t="n">
        <v>0.0737</v>
      </c>
      <c r="T586" s="27">
        <f>YEAR(U586)</f>
        <v/>
      </c>
      <c r="U586" s="97" t="n">
        <v>45184</v>
      </c>
      <c r="V586" s="98" t="n">
        <v>0.0839</v>
      </c>
    </row>
    <row r="587">
      <c r="P587" s="27">
        <f>YEAR(Q587)</f>
        <v/>
      </c>
      <c r="Q587" s="95" t="n">
        <v>45134</v>
      </c>
      <c r="R587" s="96" t="n">
        <v>0.06695000000000001</v>
      </c>
      <c r="T587" s="27">
        <f>YEAR(U587)</f>
        <v/>
      </c>
      <c r="U587" s="95" t="n">
        <v>45187</v>
      </c>
      <c r="V587" s="96" t="n">
        <v>0.0839</v>
      </c>
    </row>
    <row r="588">
      <c r="P588" s="27">
        <f>YEAR(Q588)</f>
        <v/>
      </c>
      <c r="Q588" s="97" t="n">
        <v>45135</v>
      </c>
      <c r="R588" s="98" t="n">
        <v>0.06694</v>
      </c>
      <c r="T588" s="27">
        <f>YEAR(U588)</f>
        <v/>
      </c>
      <c r="U588" s="97" t="n">
        <v>45188</v>
      </c>
      <c r="V588" s="98" t="n">
        <v>0.0839</v>
      </c>
    </row>
    <row r="589">
      <c r="P589" s="27">
        <f>YEAR(Q589)</f>
        <v/>
      </c>
      <c r="Q589" s="95" t="n">
        <v>45138</v>
      </c>
      <c r="R589" s="96" t="n">
        <v>0.06694</v>
      </c>
      <c r="T589" s="27">
        <f>YEAR(U589)</f>
        <v/>
      </c>
      <c r="U589" s="95" t="n">
        <v>45189</v>
      </c>
      <c r="V589" s="96" t="n">
        <v>0.0839</v>
      </c>
    </row>
    <row r="590">
      <c r="P590" s="27">
        <f>YEAR(Q590)</f>
        <v/>
      </c>
      <c r="Q590" s="97" t="n">
        <v>45139</v>
      </c>
      <c r="R590" s="98" t="n">
        <v>0.07217</v>
      </c>
      <c r="T590" s="27">
        <f>YEAR(U590)</f>
        <v/>
      </c>
      <c r="U590" s="97" t="n">
        <v>45190</v>
      </c>
      <c r="V590" s="98" t="n">
        <v>0.0839</v>
      </c>
    </row>
    <row r="591">
      <c r="P591" s="27">
        <f>YEAR(Q591)</f>
        <v/>
      </c>
      <c r="Q591" s="95" t="n">
        <v>45140</v>
      </c>
      <c r="R591" s="96" t="n">
        <v>0.07216</v>
      </c>
      <c r="T591" s="27">
        <f>YEAR(U591)</f>
        <v/>
      </c>
      <c r="U591" s="95" t="n">
        <v>45191</v>
      </c>
      <c r="V591" s="96" t="n">
        <v>0.0839</v>
      </c>
    </row>
    <row r="592">
      <c r="P592" s="27">
        <f>YEAR(Q592)</f>
        <v/>
      </c>
      <c r="Q592" s="97" t="n">
        <v>45141</v>
      </c>
      <c r="R592" s="98" t="n">
        <v>0.06016</v>
      </c>
      <c r="T592" s="27">
        <f>YEAR(U592)</f>
        <v/>
      </c>
      <c r="U592" s="97" t="n">
        <v>45194</v>
      </c>
      <c r="V592" s="98" t="n">
        <v>0.0839</v>
      </c>
    </row>
    <row r="593">
      <c r="P593" s="27">
        <f>YEAR(Q593)</f>
        <v/>
      </c>
      <c r="Q593" s="95" t="n">
        <v>45146</v>
      </c>
      <c r="R593" s="96" t="n">
        <v>0.07214000000000001</v>
      </c>
      <c r="T593" s="27">
        <f>YEAR(U593)</f>
        <v/>
      </c>
      <c r="U593" s="95" t="n">
        <v>45195</v>
      </c>
      <c r="V593" s="96" t="n">
        <v>0.0839</v>
      </c>
    </row>
    <row r="594">
      <c r="P594" s="27">
        <f>YEAR(Q594)</f>
        <v/>
      </c>
      <c r="Q594" s="97" t="n">
        <v>45147</v>
      </c>
      <c r="R594" s="98" t="n">
        <v>0.06014</v>
      </c>
      <c r="T594" s="27">
        <f>YEAR(U594)</f>
        <v/>
      </c>
      <c r="U594" s="97" t="n">
        <v>45197</v>
      </c>
      <c r="V594" s="98" t="n">
        <v>0.0839</v>
      </c>
    </row>
    <row r="595">
      <c r="P595" s="27">
        <f>YEAR(Q595)</f>
        <v/>
      </c>
      <c r="Q595" s="95" t="n">
        <v>45148</v>
      </c>
      <c r="R595" s="96" t="n">
        <v>0.07213</v>
      </c>
      <c r="T595" s="27">
        <f>YEAR(U595)</f>
        <v/>
      </c>
      <c r="U595" s="95" t="n">
        <v>45198</v>
      </c>
      <c r="V595" s="96" t="n">
        <v>0.0839</v>
      </c>
    </row>
    <row r="596">
      <c r="P596" s="27">
        <f>YEAR(Q596)</f>
        <v/>
      </c>
      <c r="Q596" s="97" t="n">
        <v>45154</v>
      </c>
      <c r="R596" s="98" t="n">
        <v>0.07211000000000001</v>
      </c>
      <c r="T596" s="27">
        <f>YEAR(U596)</f>
        <v/>
      </c>
      <c r="U596" s="97" t="n">
        <v>45201</v>
      </c>
      <c r="V596" s="98" t="n">
        <v>0.0839</v>
      </c>
    </row>
    <row r="597">
      <c r="P597" s="27">
        <f>YEAR(Q597)</f>
        <v/>
      </c>
      <c r="Q597" s="95" t="n">
        <v>45155</v>
      </c>
      <c r="R597" s="96" t="n">
        <v>0.0746</v>
      </c>
      <c r="T597" s="27">
        <f>YEAR(U597)</f>
        <v/>
      </c>
      <c r="U597" s="95" t="n">
        <v>45202</v>
      </c>
      <c r="V597" s="96" t="n">
        <v>0.0839</v>
      </c>
    </row>
    <row r="598">
      <c r="P598" s="27">
        <f>YEAR(Q598)</f>
        <v/>
      </c>
      <c r="Q598" s="97" t="n">
        <v>45156</v>
      </c>
      <c r="R598" s="98" t="n">
        <v>0.0746</v>
      </c>
      <c r="T598" s="27">
        <f>YEAR(U598)</f>
        <v/>
      </c>
      <c r="U598" s="97" t="n">
        <v>45203</v>
      </c>
      <c r="V598" s="98" t="n">
        <v>0.0839</v>
      </c>
    </row>
    <row r="599">
      <c r="P599" s="27">
        <f>YEAR(Q599)</f>
        <v/>
      </c>
      <c r="Q599" s="95" t="n">
        <v>45159</v>
      </c>
      <c r="R599" s="96" t="n">
        <v>0.0746</v>
      </c>
      <c r="T599" s="27">
        <f>YEAR(U599)</f>
        <v/>
      </c>
      <c r="U599" s="95" t="n">
        <v>45204</v>
      </c>
      <c r="V599" s="96" t="n">
        <v>0.0839</v>
      </c>
    </row>
    <row r="600">
      <c r="P600" s="27">
        <f>YEAR(Q600)</f>
        <v/>
      </c>
      <c r="Q600" s="97" t="n">
        <v>45160</v>
      </c>
      <c r="R600" s="98" t="n">
        <v>0.0746</v>
      </c>
      <c r="T600" s="27">
        <f>YEAR(U600)</f>
        <v/>
      </c>
      <c r="U600" s="97" t="n">
        <v>45205</v>
      </c>
      <c r="V600" s="98" t="n">
        <v>0.0839</v>
      </c>
    </row>
    <row r="601">
      <c r="P601" s="27">
        <f>YEAR(Q601)</f>
        <v/>
      </c>
      <c r="Q601" s="95" t="n">
        <v>45161</v>
      </c>
      <c r="R601" s="96" t="n">
        <v>0.0746</v>
      </c>
      <c r="T601" s="27">
        <f>YEAR(U601)</f>
        <v/>
      </c>
      <c r="U601" s="95" t="n">
        <v>45208</v>
      </c>
      <c r="V601" s="96" t="n">
        <v>0.0839</v>
      </c>
    </row>
    <row r="602">
      <c r="P602" s="27">
        <f>YEAR(Q602)</f>
        <v/>
      </c>
      <c r="Q602" s="97" t="n">
        <v>45162</v>
      </c>
      <c r="R602" s="98" t="n">
        <v>0.0746</v>
      </c>
      <c r="T602" s="27">
        <f>YEAR(U602)</f>
        <v/>
      </c>
      <c r="U602" s="97" t="n">
        <v>45209</v>
      </c>
      <c r="V602" s="98" t="n">
        <v>0.0839</v>
      </c>
    </row>
    <row r="603">
      <c r="P603" s="27">
        <f>YEAR(Q603)</f>
        <v/>
      </c>
      <c r="Q603" s="95" t="n">
        <v>45163</v>
      </c>
      <c r="R603" s="96" t="n">
        <v>0.0746</v>
      </c>
      <c r="T603" s="27">
        <f>YEAR(U603)</f>
        <v/>
      </c>
      <c r="U603" s="95" t="n">
        <v>45210</v>
      </c>
      <c r="V603" s="96" t="n">
        <v>0.0839</v>
      </c>
    </row>
    <row r="604">
      <c r="P604" s="27">
        <f>YEAR(Q604)</f>
        <v/>
      </c>
      <c r="Q604" s="97" t="n">
        <v>45166</v>
      </c>
      <c r="R604" s="98" t="n">
        <v>0.0746</v>
      </c>
      <c r="T604" s="27">
        <f>YEAR(U604)</f>
        <v/>
      </c>
      <c r="U604" s="97" t="n">
        <v>45211</v>
      </c>
      <c r="V604" s="98" t="n">
        <v>0.0839</v>
      </c>
    </row>
    <row r="605">
      <c r="P605" s="27">
        <f>YEAR(Q605)</f>
        <v/>
      </c>
      <c r="Q605" s="95" t="n">
        <v>45167</v>
      </c>
      <c r="R605" s="96" t="n">
        <v>0.07533000000000001</v>
      </c>
      <c r="T605" s="27">
        <f>YEAR(U605)</f>
        <v/>
      </c>
      <c r="U605" s="95" t="n">
        <v>45212</v>
      </c>
      <c r="V605" s="96" t="n">
        <v>0.0839</v>
      </c>
    </row>
    <row r="606">
      <c r="P606" s="27">
        <f>YEAR(Q606)</f>
        <v/>
      </c>
      <c r="Q606" s="97" t="n">
        <v>45168</v>
      </c>
      <c r="R606" s="98" t="n">
        <v>0.07533000000000001</v>
      </c>
      <c r="T606" s="27">
        <f>YEAR(U606)</f>
        <v/>
      </c>
      <c r="U606" s="97" t="n">
        <v>45215</v>
      </c>
      <c r="V606" s="98" t="n">
        <v>0.0839</v>
      </c>
    </row>
    <row r="607">
      <c r="P607" s="27">
        <f>YEAR(Q607)</f>
        <v/>
      </c>
      <c r="Q607" s="95" t="n">
        <v>45169</v>
      </c>
      <c r="R607" s="96" t="n">
        <v>0.0766</v>
      </c>
      <c r="T607" s="27">
        <f>YEAR(U607)</f>
        <v/>
      </c>
      <c r="U607" s="95" t="n">
        <v>45216</v>
      </c>
      <c r="V607" s="96" t="n">
        <v>0.0839</v>
      </c>
    </row>
    <row r="608">
      <c r="P608" s="27">
        <f>YEAR(Q608)</f>
        <v/>
      </c>
      <c r="Q608" s="97" t="n">
        <v>45170</v>
      </c>
      <c r="R608" s="98" t="n">
        <v>0.07527</v>
      </c>
      <c r="T608" s="27">
        <f>YEAR(U608)</f>
        <v/>
      </c>
      <c r="U608" s="97" t="n">
        <v>45217</v>
      </c>
      <c r="V608" s="98" t="n">
        <v>0.0839</v>
      </c>
    </row>
    <row r="609">
      <c r="P609" s="27">
        <f>YEAR(Q609)</f>
        <v/>
      </c>
      <c r="Q609" s="95" t="n">
        <v>45173</v>
      </c>
      <c r="R609" s="96" t="n">
        <v>0.07527</v>
      </c>
      <c r="T609" s="27">
        <f>YEAR(U609)</f>
        <v/>
      </c>
      <c r="U609" s="95" t="n">
        <v>45218</v>
      </c>
      <c r="V609" s="96" t="n">
        <v>0.0839</v>
      </c>
    </row>
    <row r="610">
      <c r="P610" s="27">
        <f>YEAR(Q610)</f>
        <v/>
      </c>
      <c r="Q610" s="97" t="n">
        <v>45175</v>
      </c>
      <c r="R610" s="98" t="n">
        <v>0.0765</v>
      </c>
      <c r="T610" s="27">
        <f>YEAR(U610)</f>
        <v/>
      </c>
      <c r="U610" s="97" t="n">
        <v>45219</v>
      </c>
      <c r="V610" s="98" t="n">
        <v>0.0839</v>
      </c>
    </row>
    <row r="611">
      <c r="P611" s="27">
        <f>YEAR(Q611)</f>
        <v/>
      </c>
      <c r="Q611" s="95" t="n">
        <v>45176</v>
      </c>
      <c r="R611" s="96" t="n">
        <v>0.0765</v>
      </c>
      <c r="T611" s="27">
        <f>YEAR(U611)</f>
        <v/>
      </c>
      <c r="U611" s="95" t="n">
        <v>45222</v>
      </c>
      <c r="V611" s="96" t="n">
        <v>0.0839</v>
      </c>
    </row>
    <row r="612">
      <c r="P612" s="27">
        <f>YEAR(Q612)</f>
        <v/>
      </c>
      <c r="Q612" s="97" t="n">
        <v>45177</v>
      </c>
      <c r="R612" s="98" t="n">
        <v>0.0765</v>
      </c>
      <c r="T612" s="27">
        <f>YEAR(U612)</f>
        <v/>
      </c>
      <c r="U612" s="97" t="n">
        <v>45223</v>
      </c>
      <c r="V612" s="98" t="n">
        <v>0.0839</v>
      </c>
    </row>
    <row r="613">
      <c r="P613" s="27">
        <f>YEAR(Q613)</f>
        <v/>
      </c>
      <c r="Q613" s="95" t="n">
        <v>45180</v>
      </c>
      <c r="R613" s="96" t="n">
        <v>0.06834999999999999</v>
      </c>
      <c r="T613" s="27">
        <f>YEAR(U613)</f>
        <v/>
      </c>
      <c r="U613" s="95" t="n">
        <v>45224</v>
      </c>
      <c r="V613" s="96" t="n">
        <v>0.0839</v>
      </c>
    </row>
    <row r="614">
      <c r="P614" s="27">
        <f>YEAR(Q614)</f>
        <v/>
      </c>
      <c r="Q614" s="97" t="n">
        <v>45181</v>
      </c>
      <c r="R614" s="98" t="n">
        <v>0.075</v>
      </c>
      <c r="T614" s="27">
        <f>YEAR(U614)</f>
        <v/>
      </c>
      <c r="U614" s="97" t="n">
        <v>45225</v>
      </c>
      <c r="V614" s="98" t="n">
        <v>0.0839</v>
      </c>
    </row>
    <row r="615">
      <c r="P615" s="27">
        <f>YEAR(Q615)</f>
        <v/>
      </c>
      <c r="Q615" s="95" t="n">
        <v>45182</v>
      </c>
      <c r="R615" s="96" t="n">
        <v>0.06982000000000001</v>
      </c>
      <c r="T615" s="27">
        <f>YEAR(U615)</f>
        <v/>
      </c>
      <c r="U615" s="95" t="n">
        <v>45226</v>
      </c>
      <c r="V615" s="96" t="n">
        <v>0.0839</v>
      </c>
    </row>
    <row r="616">
      <c r="P616" s="27">
        <f>YEAR(Q616)</f>
        <v/>
      </c>
      <c r="Q616" s="97" t="n">
        <v>45183</v>
      </c>
      <c r="R616" s="98" t="n">
        <v>0.07474</v>
      </c>
      <c r="T616" s="27">
        <f>YEAR(U616)</f>
        <v/>
      </c>
      <c r="U616" s="97" t="n">
        <v>45229</v>
      </c>
      <c r="V616" s="98" t="n">
        <v>0.0839</v>
      </c>
    </row>
    <row r="617">
      <c r="P617" s="27">
        <f>YEAR(Q617)</f>
        <v/>
      </c>
      <c r="Q617" s="95" t="n">
        <v>45184</v>
      </c>
      <c r="R617" s="96" t="n">
        <v>0.076</v>
      </c>
      <c r="T617" s="27">
        <f>YEAR(U617)</f>
        <v/>
      </c>
      <c r="U617" s="95" t="n">
        <v>45230</v>
      </c>
      <c r="V617" s="96" t="n">
        <v>0.0839</v>
      </c>
    </row>
    <row r="618">
      <c r="P618" s="27">
        <f>YEAR(Q618)</f>
        <v/>
      </c>
      <c r="Q618" s="97" t="n">
        <v>45187</v>
      </c>
      <c r="R618" s="98" t="n">
        <v>0.076</v>
      </c>
      <c r="T618" s="27">
        <f>YEAR(U618)</f>
        <v/>
      </c>
      <c r="U618" s="97" t="n">
        <v>45232</v>
      </c>
      <c r="V618" s="98" t="n">
        <v>0.0839</v>
      </c>
    </row>
    <row r="619">
      <c r="P619" s="27">
        <f>YEAR(Q619)</f>
        <v/>
      </c>
      <c r="Q619" s="95" t="n">
        <v>45188</v>
      </c>
      <c r="R619" s="96" t="n">
        <v>0.076</v>
      </c>
      <c r="T619" s="27">
        <f>YEAR(U619)</f>
        <v/>
      </c>
      <c r="U619" s="95" t="n">
        <v>45233</v>
      </c>
      <c r="V619" s="96" t="n">
        <v>0.0839</v>
      </c>
    </row>
    <row r="620">
      <c r="P620" s="27">
        <f>YEAR(Q620)</f>
        <v/>
      </c>
      <c r="Q620" s="97" t="n">
        <v>45189</v>
      </c>
      <c r="R620" s="98" t="n">
        <v>0.06798</v>
      </c>
      <c r="T620" s="27">
        <f>YEAR(U620)</f>
        <v/>
      </c>
      <c r="U620" s="97" t="n">
        <v>45236</v>
      </c>
      <c r="V620" s="98" t="n">
        <v>0.0824</v>
      </c>
    </row>
    <row r="621">
      <c r="P621" s="27">
        <f>YEAR(Q621)</f>
        <v/>
      </c>
      <c r="Q621" s="95" t="n">
        <v>45190</v>
      </c>
      <c r="R621" s="96" t="n">
        <v>0.076</v>
      </c>
      <c r="T621" s="27">
        <f>YEAR(U621)</f>
        <v/>
      </c>
      <c r="U621" s="95" t="n">
        <v>45237</v>
      </c>
      <c r="V621" s="96" t="n">
        <v>0.0824</v>
      </c>
    </row>
    <row r="622">
      <c r="P622" s="27">
        <f>YEAR(Q622)</f>
        <v/>
      </c>
      <c r="Q622" s="97" t="n">
        <v>45191</v>
      </c>
      <c r="R622" s="98" t="n">
        <v>0.076</v>
      </c>
      <c r="T622" s="27">
        <f>YEAR(U622)</f>
        <v/>
      </c>
      <c r="U622" s="97" t="n">
        <v>45238</v>
      </c>
      <c r="V622" s="98" t="n">
        <v>0.0824</v>
      </c>
    </row>
    <row r="623">
      <c r="P623" s="27">
        <f>YEAR(Q623)</f>
        <v/>
      </c>
      <c r="Q623" s="95" t="n">
        <v>45194</v>
      </c>
      <c r="R623" s="96" t="n">
        <v>0.07539</v>
      </c>
      <c r="T623" s="27">
        <f>YEAR(U623)</f>
        <v/>
      </c>
      <c r="U623" s="95" t="n">
        <v>45239</v>
      </c>
      <c r="V623" s="96" t="n">
        <v>0.0824</v>
      </c>
    </row>
    <row r="624">
      <c r="P624" s="27">
        <f>YEAR(Q624)</f>
        <v/>
      </c>
      <c r="Q624" s="97" t="n">
        <v>45195</v>
      </c>
      <c r="R624" s="98" t="n">
        <v>0.07539</v>
      </c>
      <c r="T624" s="27">
        <f>YEAR(U624)</f>
        <v/>
      </c>
      <c r="U624" s="97" t="n">
        <v>45240</v>
      </c>
      <c r="V624" s="98" t="n">
        <v>0.0824</v>
      </c>
    </row>
    <row r="625">
      <c r="P625" s="27">
        <f>YEAR(Q625)</f>
        <v/>
      </c>
      <c r="Q625" s="95" t="n">
        <v>45197</v>
      </c>
      <c r="R625" s="96" t="n">
        <v>0.07538</v>
      </c>
      <c r="T625" s="27">
        <f>YEAR(U625)</f>
        <v/>
      </c>
      <c r="U625" s="95" t="n">
        <v>45243</v>
      </c>
      <c r="V625" s="96" t="n">
        <v>0.0824</v>
      </c>
    </row>
    <row r="626">
      <c r="P626" s="27">
        <f>YEAR(Q626)</f>
        <v/>
      </c>
      <c r="Q626" s="97" t="n">
        <v>45198</v>
      </c>
      <c r="R626" s="98" t="n">
        <v>0.076</v>
      </c>
      <c r="T626" s="27">
        <f>YEAR(U626)</f>
        <v/>
      </c>
      <c r="U626" s="97" t="n">
        <v>45244</v>
      </c>
      <c r="V626" s="98" t="n">
        <v>0.0824</v>
      </c>
    </row>
    <row r="627">
      <c r="P627" s="27">
        <f>YEAR(Q627)</f>
        <v/>
      </c>
      <c r="Q627" s="95" t="n">
        <v>45201</v>
      </c>
      <c r="R627" s="96" t="n">
        <v>0.07022</v>
      </c>
      <c r="T627" s="27">
        <f>YEAR(U627)</f>
        <v/>
      </c>
      <c r="U627" s="95" t="n">
        <v>45246</v>
      </c>
      <c r="V627" s="96" t="n">
        <v>0.0824</v>
      </c>
    </row>
    <row r="628">
      <c r="P628" s="27">
        <f>YEAR(Q628)</f>
        <v/>
      </c>
      <c r="Q628" s="97" t="n">
        <v>45202</v>
      </c>
      <c r="R628" s="98" t="n">
        <v>0.07538</v>
      </c>
      <c r="T628" s="27">
        <f>YEAR(U628)</f>
        <v/>
      </c>
      <c r="U628" s="97" t="n">
        <v>45247</v>
      </c>
      <c r="V628" s="98" t="n">
        <v>0.0824</v>
      </c>
    </row>
    <row r="629">
      <c r="P629" s="27">
        <f>YEAR(Q629)</f>
        <v/>
      </c>
      <c r="Q629" s="95" t="n">
        <v>45203</v>
      </c>
      <c r="R629" s="96" t="n">
        <v>0.07536999999999999</v>
      </c>
      <c r="T629" s="27">
        <f>YEAR(U629)</f>
        <v/>
      </c>
      <c r="U629" s="95" t="n">
        <v>45250</v>
      </c>
      <c r="V629" s="96" t="n">
        <v>0.0824</v>
      </c>
    </row>
    <row r="630">
      <c r="P630" s="27">
        <f>YEAR(Q630)</f>
        <v/>
      </c>
      <c r="Q630" s="97" t="n">
        <v>45204</v>
      </c>
      <c r="R630" s="98" t="n">
        <v>0.07020999999999999</v>
      </c>
      <c r="T630" s="27">
        <f>YEAR(U630)</f>
        <v/>
      </c>
      <c r="U630" s="97" t="n">
        <v>45251</v>
      </c>
      <c r="V630" s="98" t="n">
        <v>0.07519999999999999</v>
      </c>
    </row>
    <row r="631">
      <c r="P631" s="27">
        <f>YEAR(Q631)</f>
        <v/>
      </c>
      <c r="Q631" s="95" t="n">
        <v>45205</v>
      </c>
      <c r="R631" s="96" t="n">
        <v>0.07536999999999999</v>
      </c>
      <c r="T631" s="27">
        <f>YEAR(U631)</f>
        <v/>
      </c>
      <c r="U631" s="95" t="n">
        <v>45252</v>
      </c>
      <c r="V631" s="96" t="n">
        <v>0.07519999999999999</v>
      </c>
    </row>
    <row r="632">
      <c r="P632" s="27">
        <f>YEAR(Q632)</f>
        <v/>
      </c>
      <c r="Q632" s="97" t="n">
        <v>45208</v>
      </c>
      <c r="R632" s="98" t="n">
        <v>0.07536999999999999</v>
      </c>
      <c r="T632" s="27">
        <f>YEAR(U632)</f>
        <v/>
      </c>
      <c r="U632" s="97" t="n">
        <v>45253</v>
      </c>
      <c r="V632" s="98" t="n">
        <v>0.07519999999999999</v>
      </c>
    </row>
    <row r="633">
      <c r="P633" s="27">
        <f>YEAR(Q633)</f>
        <v/>
      </c>
      <c r="Q633" s="95" t="n">
        <v>45209</v>
      </c>
      <c r="R633" s="96" t="n">
        <v>0.07536</v>
      </c>
      <c r="T633" s="27">
        <f>YEAR(U633)</f>
        <v/>
      </c>
      <c r="U633" s="95" t="n">
        <v>45254</v>
      </c>
      <c r="V633" s="96" t="n">
        <v>0.0814</v>
      </c>
    </row>
    <row r="634">
      <c r="P634" s="27">
        <f>YEAR(Q634)</f>
        <v/>
      </c>
      <c r="Q634" s="97" t="n">
        <v>45210</v>
      </c>
      <c r="R634" s="98" t="n">
        <v>0.07536</v>
      </c>
      <c r="T634" s="27">
        <f>YEAR(U634)</f>
        <v/>
      </c>
      <c r="U634" s="97" t="n">
        <v>45257</v>
      </c>
      <c r="V634" s="98" t="n">
        <v>0.0834</v>
      </c>
    </row>
    <row r="635">
      <c r="P635" s="27">
        <f>YEAR(Q635)</f>
        <v/>
      </c>
      <c r="Q635" s="95" t="n">
        <v>45211</v>
      </c>
      <c r="R635" s="96" t="n">
        <v>0.0702</v>
      </c>
      <c r="T635" s="27">
        <f>YEAR(U635)</f>
        <v/>
      </c>
      <c r="U635" s="95" t="n">
        <v>45258</v>
      </c>
      <c r="V635" s="96" t="n">
        <v>0.0834</v>
      </c>
    </row>
    <row r="636">
      <c r="P636" s="27">
        <f>YEAR(Q636)</f>
        <v/>
      </c>
      <c r="Q636" s="97" t="n">
        <v>45212</v>
      </c>
      <c r="R636" s="98" t="n">
        <v>0.0702</v>
      </c>
      <c r="T636" s="27">
        <f>YEAR(U636)</f>
        <v/>
      </c>
      <c r="U636" s="97" t="n">
        <v>45259</v>
      </c>
      <c r="V636" s="98" t="n">
        <v>0.0864</v>
      </c>
    </row>
    <row r="637">
      <c r="P637" s="27">
        <f>YEAR(Q637)</f>
        <v/>
      </c>
      <c r="Q637" s="95" t="n">
        <v>45215</v>
      </c>
      <c r="R637" s="96" t="n">
        <v>0.07535</v>
      </c>
      <c r="T637" s="27">
        <f>YEAR(U637)</f>
        <v/>
      </c>
      <c r="U637" s="95" t="n">
        <v>45260</v>
      </c>
      <c r="V637" s="96" t="n">
        <v>0.0864</v>
      </c>
    </row>
    <row r="638">
      <c r="P638" s="27">
        <f>YEAR(Q638)</f>
        <v/>
      </c>
      <c r="Q638" s="97" t="n">
        <v>45216</v>
      </c>
      <c r="R638" s="98" t="n">
        <v>0.07535</v>
      </c>
      <c r="T638" s="27">
        <f>YEAR(U638)</f>
        <v/>
      </c>
      <c r="U638" s="97" t="n">
        <v>45261</v>
      </c>
      <c r="V638" s="98" t="n">
        <v>0.08439999999999999</v>
      </c>
    </row>
    <row r="639">
      <c r="P639" s="27">
        <f>YEAR(Q639)</f>
        <v/>
      </c>
      <c r="Q639" s="95" t="n">
        <v>45217</v>
      </c>
      <c r="R639" s="96" t="n">
        <v>0.07453</v>
      </c>
      <c r="T639" s="27">
        <f>YEAR(U639)</f>
        <v/>
      </c>
      <c r="U639" s="95" t="n">
        <v>45264</v>
      </c>
      <c r="V639" s="96" t="n">
        <v>0.08439999999999999</v>
      </c>
    </row>
    <row r="640">
      <c r="P640" s="27">
        <f>YEAR(Q640)</f>
        <v/>
      </c>
      <c r="Q640" s="97" t="n">
        <v>45218</v>
      </c>
      <c r="R640" s="98" t="n">
        <v>0.07453</v>
      </c>
      <c r="T640" s="27">
        <f>YEAR(U640)</f>
        <v/>
      </c>
      <c r="U640" s="97" t="n">
        <v>45265</v>
      </c>
      <c r="V640" s="98" t="n">
        <v>0.0864</v>
      </c>
    </row>
    <row r="641">
      <c r="P641" s="27">
        <f>YEAR(Q641)</f>
        <v/>
      </c>
      <c r="Q641" s="95" t="n">
        <v>45219</v>
      </c>
      <c r="R641" s="96" t="n">
        <v>0.0757</v>
      </c>
      <c r="T641" s="27">
        <f>YEAR(U641)</f>
        <v/>
      </c>
      <c r="U641" s="95" t="n">
        <v>45266</v>
      </c>
      <c r="V641" s="96" t="n">
        <v>0.0864</v>
      </c>
    </row>
    <row r="642">
      <c r="P642" s="27">
        <f>YEAR(Q642)</f>
        <v/>
      </c>
      <c r="Q642" s="97" t="n">
        <v>45222</v>
      </c>
      <c r="R642" s="98" t="n">
        <v>0.07519000000000001</v>
      </c>
      <c r="T642" s="27">
        <f>YEAR(U642)</f>
        <v/>
      </c>
      <c r="U642" s="97" t="n">
        <v>45267</v>
      </c>
      <c r="V642" s="98" t="n">
        <v>0.0864</v>
      </c>
    </row>
    <row r="643">
      <c r="P643" s="27">
        <f>YEAR(Q643)</f>
        <v/>
      </c>
      <c r="Q643" s="95" t="n">
        <v>45223</v>
      </c>
      <c r="R643" s="96" t="n">
        <v>0.07519000000000001</v>
      </c>
      <c r="T643" s="27">
        <f>YEAR(U643)</f>
        <v/>
      </c>
      <c r="U643" s="95" t="n">
        <v>45268</v>
      </c>
      <c r="V643" s="96" t="n">
        <v>0.0864</v>
      </c>
    </row>
    <row r="644">
      <c r="P644" s="27">
        <f>YEAR(Q644)</f>
        <v/>
      </c>
      <c r="Q644" s="97" t="n">
        <v>45224</v>
      </c>
      <c r="R644" s="98" t="n">
        <v>0.07519000000000001</v>
      </c>
      <c r="T644" s="27">
        <f>YEAR(U644)</f>
        <v/>
      </c>
      <c r="U644" s="97" t="n">
        <v>45271</v>
      </c>
      <c r="V644" s="98" t="n">
        <v>0.0864</v>
      </c>
    </row>
    <row r="645">
      <c r="P645" s="27">
        <f>YEAR(Q645)</f>
        <v/>
      </c>
      <c r="Q645" s="95" t="n">
        <v>45225</v>
      </c>
      <c r="R645" s="96" t="n">
        <v>0.07519000000000001</v>
      </c>
      <c r="T645" s="27">
        <f>YEAR(U645)</f>
        <v/>
      </c>
      <c r="U645" s="95" t="n">
        <v>45272</v>
      </c>
      <c r="V645" s="96" t="n">
        <v>0.0864</v>
      </c>
    </row>
    <row r="646">
      <c r="P646" s="27">
        <f>YEAR(Q646)</f>
        <v/>
      </c>
      <c r="Q646" s="97" t="n">
        <v>45226</v>
      </c>
      <c r="R646" s="98" t="n">
        <v>0.07519000000000001</v>
      </c>
      <c r="T646" s="27">
        <f>YEAR(U646)</f>
        <v/>
      </c>
      <c r="U646" s="97" t="n">
        <v>45273</v>
      </c>
      <c r="V646" s="98" t="n">
        <v>0.0864</v>
      </c>
    </row>
    <row r="647">
      <c r="P647" s="27">
        <f>YEAR(Q647)</f>
        <v/>
      </c>
      <c r="Q647" s="95" t="n">
        <v>45229</v>
      </c>
      <c r="R647" s="96" t="n">
        <v>0.07539</v>
      </c>
      <c r="T647" s="27">
        <f>YEAR(U647)</f>
        <v/>
      </c>
      <c r="U647" s="95" t="n">
        <v>45274</v>
      </c>
      <c r="V647" s="96" t="n">
        <v>0.0864</v>
      </c>
    </row>
    <row r="648">
      <c r="P648" s="27">
        <f>YEAR(Q648)</f>
        <v/>
      </c>
      <c r="Q648" s="97" t="n">
        <v>45230</v>
      </c>
      <c r="R648" s="98" t="n">
        <v>0.0757</v>
      </c>
      <c r="T648" s="27">
        <f>YEAR(U648)</f>
        <v/>
      </c>
      <c r="U648" s="97" t="n">
        <v>45275</v>
      </c>
      <c r="V648" s="98" t="n">
        <v>0.0839</v>
      </c>
    </row>
    <row r="649">
      <c r="P649" s="27">
        <f>YEAR(Q649)</f>
        <v/>
      </c>
      <c r="Q649" s="95" t="n">
        <v>45232</v>
      </c>
      <c r="R649" s="96" t="n">
        <v>0.0757</v>
      </c>
      <c r="T649" s="27">
        <f>YEAR(U649)</f>
        <v/>
      </c>
      <c r="U649" s="95" t="n">
        <v>45278</v>
      </c>
      <c r="V649" s="96" t="n">
        <v>0.0839</v>
      </c>
    </row>
    <row r="650">
      <c r="P650" s="27">
        <f>YEAR(Q650)</f>
        <v/>
      </c>
      <c r="Q650" s="97" t="n">
        <v>45233</v>
      </c>
      <c r="R650" s="98" t="n">
        <v>0.07446999999999999</v>
      </c>
      <c r="T650" s="27">
        <f>YEAR(U650)</f>
        <v/>
      </c>
      <c r="U650" s="97" t="n">
        <v>45279</v>
      </c>
      <c r="V650" s="98" t="n">
        <v>0.0839</v>
      </c>
    </row>
    <row r="651">
      <c r="P651" s="27">
        <f>YEAR(Q651)</f>
        <v/>
      </c>
      <c r="Q651" s="95" t="n">
        <v>45236</v>
      </c>
      <c r="R651" s="96" t="n">
        <v>0.07432999999999999</v>
      </c>
      <c r="T651" s="27">
        <f>YEAR(U651)</f>
        <v/>
      </c>
      <c r="U651" s="95" t="n">
        <v>45280</v>
      </c>
      <c r="V651" s="96" t="n">
        <v>0.0839</v>
      </c>
    </row>
    <row r="652">
      <c r="P652" s="27">
        <f>YEAR(Q652)</f>
        <v/>
      </c>
      <c r="Q652" s="97" t="n">
        <v>45237</v>
      </c>
      <c r="R652" s="98" t="n">
        <v>0.07487000000000001</v>
      </c>
      <c r="T652" s="27">
        <f>YEAR(U652)</f>
        <v/>
      </c>
      <c r="U652" s="97" t="n">
        <v>45281</v>
      </c>
      <c r="V652" s="98" t="n">
        <v>0.0839</v>
      </c>
    </row>
    <row r="653">
      <c r="P653" s="27">
        <f>YEAR(Q653)</f>
        <v/>
      </c>
      <c r="Q653" s="95" t="n">
        <v>45238</v>
      </c>
      <c r="R653" s="96" t="n">
        <v>0.07487000000000001</v>
      </c>
      <c r="T653" s="27">
        <f>YEAR(U653)</f>
        <v/>
      </c>
      <c r="U653" s="95" t="n">
        <v>45282</v>
      </c>
      <c r="V653" s="96" t="n">
        <v>0.0839</v>
      </c>
    </row>
    <row r="654">
      <c r="P654" s="27">
        <f>YEAR(Q654)</f>
        <v/>
      </c>
      <c r="Q654" s="97" t="n">
        <v>45239</v>
      </c>
      <c r="R654" s="98" t="n">
        <v>0.07487000000000001</v>
      </c>
      <c r="T654" s="27">
        <f>YEAR(U654)</f>
        <v/>
      </c>
      <c r="U654" s="97" t="n">
        <v>45286</v>
      </c>
      <c r="V654" s="98" t="n">
        <v>0.0839</v>
      </c>
    </row>
    <row r="655">
      <c r="P655" s="27">
        <f>YEAR(Q655)</f>
        <v/>
      </c>
      <c r="Q655" s="95" t="n">
        <v>45240</v>
      </c>
      <c r="R655" s="96" t="n">
        <v>0.0733</v>
      </c>
      <c r="T655" s="27">
        <f>YEAR(U655)</f>
        <v/>
      </c>
      <c r="U655" s="95" t="n">
        <v>45287</v>
      </c>
      <c r="V655" s="96" t="n">
        <v>0.0839</v>
      </c>
    </row>
    <row r="656">
      <c r="P656" s="27">
        <f>YEAR(Q656)</f>
        <v/>
      </c>
      <c r="Q656" s="97" t="n">
        <v>45243</v>
      </c>
      <c r="R656" s="98" t="n">
        <v>0.07486</v>
      </c>
      <c r="T656" s="27">
        <f>YEAR(U656)</f>
        <v/>
      </c>
      <c r="U656" s="97" t="n">
        <v>45288</v>
      </c>
      <c r="V656" s="98" t="n">
        <v>0.0839</v>
      </c>
    </row>
    <row r="657">
      <c r="P657" s="27">
        <f>YEAR(Q657)</f>
        <v/>
      </c>
      <c r="Q657" s="95" t="n">
        <v>45244</v>
      </c>
      <c r="R657" s="96" t="n">
        <v>0.07486</v>
      </c>
      <c r="T657" s="27">
        <f>YEAR(U657)</f>
        <v/>
      </c>
      <c r="U657" s="95" t="n">
        <v>45289</v>
      </c>
      <c r="V657" s="96" t="n">
        <v>0.0839</v>
      </c>
    </row>
    <row r="658">
      <c r="P658" s="27">
        <f>YEAR(Q658)</f>
        <v/>
      </c>
      <c r="Q658" s="97" t="n">
        <v>45246</v>
      </c>
      <c r="R658" s="98" t="n">
        <v>0.07486</v>
      </c>
      <c r="T658" s="27">
        <f>YEAR(U658)</f>
        <v/>
      </c>
      <c r="U658" s="97" t="n">
        <v>45293</v>
      </c>
      <c r="V658" s="98" t="n">
        <v>0.0834</v>
      </c>
    </row>
    <row r="659">
      <c r="P659" s="27">
        <f>YEAR(Q659)</f>
        <v/>
      </c>
      <c r="Q659" s="95" t="n">
        <v>45247</v>
      </c>
      <c r="R659" s="96" t="n">
        <v>0.07374</v>
      </c>
      <c r="T659" s="27">
        <f>YEAR(U659)</f>
        <v/>
      </c>
      <c r="U659" s="95" t="n">
        <v>45294</v>
      </c>
      <c r="V659" s="96" t="n">
        <v>0.0834</v>
      </c>
    </row>
    <row r="660">
      <c r="P660" s="27">
        <f>YEAR(Q660)</f>
        <v/>
      </c>
      <c r="Q660" s="97" t="n">
        <v>45250</v>
      </c>
      <c r="R660" s="98" t="n">
        <v>0.0733</v>
      </c>
      <c r="T660" s="27">
        <f>YEAR(U660)</f>
        <v/>
      </c>
      <c r="U660" s="97" t="n">
        <v>45295</v>
      </c>
      <c r="V660" s="98" t="n">
        <v>0.0834</v>
      </c>
    </row>
    <row r="661">
      <c r="P661" s="27">
        <f>YEAR(Q661)</f>
        <v/>
      </c>
      <c r="Q661" s="95" t="n">
        <v>45251</v>
      </c>
      <c r="R661" s="96" t="n">
        <v>0.0733</v>
      </c>
      <c r="T661" s="27">
        <f>YEAR(U661)</f>
        <v/>
      </c>
      <c r="U661" s="95" t="n">
        <v>45296</v>
      </c>
      <c r="V661" s="96" t="n">
        <v>0.0834</v>
      </c>
    </row>
    <row r="662">
      <c r="P662" s="27">
        <f>YEAR(Q662)</f>
        <v/>
      </c>
      <c r="Q662" s="97" t="n">
        <v>45252</v>
      </c>
      <c r="R662" s="98" t="n">
        <v>0.0751</v>
      </c>
      <c r="T662" s="27">
        <f>YEAR(U662)</f>
        <v/>
      </c>
      <c r="U662" s="97" t="n">
        <v>45299</v>
      </c>
      <c r="V662" s="98" t="n">
        <v>0.0834</v>
      </c>
    </row>
    <row r="663">
      <c r="P663" s="27">
        <f>YEAR(Q663)</f>
        <v/>
      </c>
      <c r="Q663" s="95" t="n">
        <v>45253</v>
      </c>
      <c r="R663" s="96" t="n">
        <v>0.07572</v>
      </c>
      <c r="T663" s="27">
        <f>YEAR(U663)</f>
        <v/>
      </c>
      <c r="U663" s="95" t="n">
        <v>45300</v>
      </c>
      <c r="V663" s="96" t="n">
        <v>0.0834</v>
      </c>
    </row>
    <row r="664">
      <c r="P664" s="27">
        <f>YEAR(Q664)</f>
        <v/>
      </c>
      <c r="Q664" s="97" t="n">
        <v>45254</v>
      </c>
      <c r="R664" s="98" t="n">
        <v>0.0756</v>
      </c>
      <c r="T664" s="27">
        <f>YEAR(U664)</f>
        <v/>
      </c>
      <c r="U664" s="97" t="n">
        <v>45301</v>
      </c>
      <c r="V664" s="98" t="n">
        <v>0.0834</v>
      </c>
    </row>
    <row r="665">
      <c r="P665" s="27">
        <f>YEAR(Q665)</f>
        <v/>
      </c>
      <c r="Q665" s="95" t="n">
        <v>45257</v>
      </c>
      <c r="R665" s="96" t="n">
        <v>0.07571</v>
      </c>
      <c r="T665" s="27">
        <f>YEAR(U665)</f>
        <v/>
      </c>
      <c r="U665" s="95" t="n">
        <v>45302</v>
      </c>
      <c r="V665" s="96" t="n">
        <v>0.0834</v>
      </c>
    </row>
    <row r="666">
      <c r="P666" s="27">
        <f>YEAR(Q666)</f>
        <v/>
      </c>
      <c r="Q666" s="97" t="n">
        <v>45258</v>
      </c>
      <c r="R666" s="98" t="n">
        <v>0.07571</v>
      </c>
      <c r="T666" s="27">
        <f>YEAR(U666)</f>
        <v/>
      </c>
      <c r="U666" s="97" t="n">
        <v>45303</v>
      </c>
      <c r="V666" s="98" t="n">
        <v>0.0834</v>
      </c>
    </row>
    <row r="667">
      <c r="P667" s="27">
        <f>YEAR(Q667)</f>
        <v/>
      </c>
      <c r="Q667" s="95" t="n">
        <v>45259</v>
      </c>
      <c r="R667" s="96" t="n">
        <v>0.0756</v>
      </c>
      <c r="T667" s="27">
        <f>YEAR(U667)</f>
        <v/>
      </c>
      <c r="U667" s="95" t="n">
        <v>45306</v>
      </c>
      <c r="V667" s="96" t="n">
        <v>0.0834</v>
      </c>
    </row>
    <row r="668">
      <c r="P668" s="27">
        <f>YEAR(Q668)</f>
        <v/>
      </c>
      <c r="Q668" s="97" t="n">
        <v>45260</v>
      </c>
      <c r="R668" s="98" t="n">
        <v>0.0756</v>
      </c>
      <c r="T668" s="27">
        <f>YEAR(U668)</f>
        <v/>
      </c>
      <c r="U668" s="97" t="n">
        <v>45307</v>
      </c>
      <c r="V668" s="98" t="n">
        <v>0.0834</v>
      </c>
    </row>
    <row r="669">
      <c r="P669" s="27">
        <f>YEAR(Q669)</f>
        <v/>
      </c>
      <c r="Q669" s="95" t="n">
        <v>45261</v>
      </c>
      <c r="R669" s="96" t="n">
        <v>0.0757</v>
      </c>
      <c r="T669" s="27">
        <f>YEAR(U669)</f>
        <v/>
      </c>
      <c r="U669" s="95" t="n">
        <v>45308</v>
      </c>
      <c r="V669" s="96" t="n">
        <v>0.0834</v>
      </c>
    </row>
    <row r="670">
      <c r="P670" s="27">
        <f>YEAR(Q670)</f>
        <v/>
      </c>
      <c r="Q670" s="97" t="n">
        <v>45264</v>
      </c>
      <c r="R670" s="98" t="n">
        <v>0.0756</v>
      </c>
      <c r="T670" s="27">
        <f>YEAR(U670)</f>
        <v/>
      </c>
      <c r="U670" s="97" t="n">
        <v>45309</v>
      </c>
      <c r="V670" s="98" t="n">
        <v>0.0834</v>
      </c>
    </row>
    <row r="671">
      <c r="P671" s="27">
        <f>YEAR(Q671)</f>
        <v/>
      </c>
      <c r="Q671" s="95" t="n">
        <v>45265</v>
      </c>
      <c r="R671" s="96" t="n">
        <v>0.0756</v>
      </c>
      <c r="T671" s="27">
        <f>YEAR(U671)</f>
        <v/>
      </c>
      <c r="U671" s="95" t="n">
        <v>45310</v>
      </c>
      <c r="V671" s="96" t="n">
        <v>0.0834</v>
      </c>
    </row>
    <row r="672">
      <c r="P672" s="27">
        <f>YEAR(Q672)</f>
        <v/>
      </c>
      <c r="Q672" s="97" t="n">
        <v>45266</v>
      </c>
      <c r="R672" s="98" t="n">
        <v>0.0756</v>
      </c>
      <c r="T672" s="27">
        <f>YEAR(U672)</f>
        <v/>
      </c>
      <c r="U672" s="97" t="n">
        <v>45313</v>
      </c>
      <c r="V672" s="98" t="n">
        <v>0.0834</v>
      </c>
    </row>
    <row r="673">
      <c r="P673" s="27">
        <f>YEAR(Q673)</f>
        <v/>
      </c>
      <c r="Q673" s="95" t="n">
        <v>45267</v>
      </c>
      <c r="R673" s="96" t="n">
        <v>0.07355</v>
      </c>
      <c r="T673" s="27">
        <f>YEAR(U673)</f>
        <v/>
      </c>
      <c r="U673" s="95" t="n">
        <v>45314</v>
      </c>
      <c r="V673" s="96" t="n">
        <v>0.0834</v>
      </c>
    </row>
    <row r="674">
      <c r="P674" s="27">
        <f>YEAR(Q674)</f>
        <v/>
      </c>
      <c r="Q674" s="97" t="n">
        <v>45268</v>
      </c>
      <c r="R674" s="98" t="n">
        <v>0.07355</v>
      </c>
      <c r="T674" s="27">
        <f>YEAR(U674)</f>
        <v/>
      </c>
      <c r="U674" s="97" t="n">
        <v>45315</v>
      </c>
      <c r="V674" s="98" t="n">
        <v>0.0834</v>
      </c>
    </row>
    <row r="675">
      <c r="P675" s="27">
        <f>YEAR(Q675)</f>
        <v/>
      </c>
      <c r="Q675" s="95" t="n">
        <v>45271</v>
      </c>
      <c r="R675" s="96" t="n">
        <v>0.0756</v>
      </c>
      <c r="T675" s="27">
        <f>YEAR(U675)</f>
        <v/>
      </c>
      <c r="U675" s="95" t="n">
        <v>45316</v>
      </c>
      <c r="V675" s="96" t="n">
        <v>0.0834</v>
      </c>
    </row>
    <row r="676">
      <c r="P676" s="27">
        <f>YEAR(Q676)</f>
        <v/>
      </c>
      <c r="Q676" s="97" t="n">
        <v>45272</v>
      </c>
      <c r="R676" s="98" t="n">
        <v>0.0756</v>
      </c>
      <c r="T676" s="27">
        <f>YEAR(U676)</f>
        <v/>
      </c>
      <c r="U676" s="97" t="n">
        <v>45317</v>
      </c>
      <c r="V676" s="98" t="n">
        <v>0.0834</v>
      </c>
    </row>
    <row r="677">
      <c r="P677" s="27">
        <f>YEAR(Q677)</f>
        <v/>
      </c>
      <c r="Q677" s="95" t="n">
        <v>45273</v>
      </c>
      <c r="R677" s="96" t="n">
        <v>0.0756</v>
      </c>
      <c r="T677" s="27">
        <f>YEAR(U677)</f>
        <v/>
      </c>
      <c r="U677" s="95" t="n">
        <v>45320</v>
      </c>
      <c r="V677" s="96" t="n">
        <v>0.0834</v>
      </c>
    </row>
    <row r="678">
      <c r="P678" s="27">
        <f>YEAR(Q678)</f>
        <v/>
      </c>
      <c r="Q678" s="97" t="n">
        <v>45274</v>
      </c>
      <c r="R678" s="98" t="n">
        <v>0.0756</v>
      </c>
      <c r="T678" s="27">
        <f>YEAR(U678)</f>
        <v/>
      </c>
      <c r="U678" s="97" t="n">
        <v>45321</v>
      </c>
      <c r="V678" s="98" t="n">
        <v>0.0834</v>
      </c>
    </row>
    <row r="679">
      <c r="P679" s="27">
        <f>YEAR(Q679)</f>
        <v/>
      </c>
      <c r="Q679" s="95" t="n">
        <v>45275</v>
      </c>
      <c r="R679" s="96" t="n">
        <v>0.0756</v>
      </c>
      <c r="T679" s="27">
        <f>YEAR(U679)</f>
        <v/>
      </c>
      <c r="U679" s="95" t="n">
        <v>45322</v>
      </c>
      <c r="V679" s="96" t="n">
        <v>0.0834</v>
      </c>
    </row>
    <row r="680">
      <c r="P680" s="27">
        <f>YEAR(Q680)</f>
        <v/>
      </c>
      <c r="Q680" s="97" t="n">
        <v>45278</v>
      </c>
      <c r="R680" s="98" t="n">
        <v>0.07352</v>
      </c>
      <c r="T680" s="27">
        <f>YEAR(U680)</f>
        <v/>
      </c>
      <c r="U680" s="97" t="n">
        <v>45323</v>
      </c>
      <c r="V680" s="98" t="n">
        <v>0.0834</v>
      </c>
    </row>
    <row r="681">
      <c r="P681" s="27">
        <f>YEAR(Q681)</f>
        <v/>
      </c>
      <c r="Q681" s="95" t="n">
        <v>45279</v>
      </c>
      <c r="R681" s="96" t="n">
        <v>0.07352</v>
      </c>
      <c r="T681" s="27">
        <f>YEAR(U681)</f>
        <v/>
      </c>
      <c r="U681" s="95" t="n">
        <v>45324</v>
      </c>
      <c r="V681" s="96" t="n">
        <v>0.0834</v>
      </c>
    </row>
    <row r="682">
      <c r="P682" s="27">
        <f>YEAR(Q682)</f>
        <v/>
      </c>
      <c r="Q682" s="97" t="n">
        <v>45280</v>
      </c>
      <c r="R682" s="98" t="n">
        <v>0.07565000000000001</v>
      </c>
      <c r="T682" s="27">
        <f>YEAR(U682)</f>
        <v/>
      </c>
      <c r="U682" s="97" t="n">
        <v>45327</v>
      </c>
      <c r="V682" s="98" t="n">
        <v>0.0834</v>
      </c>
    </row>
    <row r="683">
      <c r="P683" s="27">
        <f>YEAR(Q683)</f>
        <v/>
      </c>
      <c r="Q683" s="95" t="n">
        <v>45281</v>
      </c>
      <c r="R683" s="96" t="n">
        <v>0.0756</v>
      </c>
      <c r="T683" s="27">
        <f>YEAR(U683)</f>
        <v/>
      </c>
      <c r="U683" s="95" t="n">
        <v>45328</v>
      </c>
      <c r="V683" s="96" t="n">
        <v>0.0834</v>
      </c>
    </row>
    <row r="684">
      <c r="P684" s="27">
        <f>YEAR(Q684)</f>
        <v/>
      </c>
      <c r="Q684" s="97" t="n">
        <v>45282</v>
      </c>
      <c r="R684" s="98" t="n">
        <v>0.0755</v>
      </c>
      <c r="T684" s="27">
        <f>YEAR(U684)</f>
        <v/>
      </c>
      <c r="U684" s="97" t="n">
        <v>45329</v>
      </c>
      <c r="V684" s="98" t="n">
        <v>0.0834</v>
      </c>
    </row>
    <row r="685">
      <c r="P685" s="27">
        <f>YEAR(Q685)</f>
        <v/>
      </c>
      <c r="Q685" s="95" t="n">
        <v>45286</v>
      </c>
      <c r="R685" s="96" t="n">
        <v>0.0755</v>
      </c>
      <c r="T685" s="27">
        <f>YEAR(U685)</f>
        <v/>
      </c>
      <c r="U685" s="95" t="n">
        <v>45330</v>
      </c>
      <c r="V685" s="96" t="n">
        <v>0.0824</v>
      </c>
    </row>
    <row r="686">
      <c r="P686" s="27">
        <f>YEAR(Q686)</f>
        <v/>
      </c>
      <c r="Q686" s="97" t="n">
        <v>45287</v>
      </c>
      <c r="R686" s="98" t="n">
        <v>0.0755</v>
      </c>
      <c r="T686" s="27">
        <f>YEAR(U686)</f>
        <v/>
      </c>
      <c r="U686" s="97" t="n">
        <v>45331</v>
      </c>
      <c r="V686" s="98" t="n">
        <v>0.0824</v>
      </c>
    </row>
    <row r="687">
      <c r="P687" s="27">
        <f>YEAR(Q687)</f>
        <v/>
      </c>
      <c r="Q687" s="95" t="n">
        <v>45288</v>
      </c>
      <c r="R687" s="96" t="n">
        <v>0.07557999999999999</v>
      </c>
      <c r="T687" s="27">
        <f>YEAR(U687)</f>
        <v/>
      </c>
      <c r="U687" s="95" t="n">
        <v>45334</v>
      </c>
      <c r="V687" s="96" t="n">
        <v>0.0824</v>
      </c>
    </row>
    <row r="688">
      <c r="P688" s="27">
        <f>YEAR(Q688)</f>
        <v/>
      </c>
      <c r="Q688" s="97" t="n">
        <v>45289</v>
      </c>
      <c r="R688" s="98" t="n">
        <v>0.07557999999999999</v>
      </c>
      <c r="T688" s="27">
        <f>YEAR(U688)</f>
        <v/>
      </c>
      <c r="U688" s="97" t="n">
        <v>45335</v>
      </c>
      <c r="V688" s="98" t="n">
        <v>0.0824</v>
      </c>
    </row>
    <row r="689">
      <c r="P689" s="27">
        <f>YEAR(Q689)</f>
        <v/>
      </c>
      <c r="Q689" s="95" t="n">
        <v>45293</v>
      </c>
      <c r="R689" s="96" t="n">
        <v>0.0755</v>
      </c>
      <c r="T689" s="27">
        <f>YEAR(U689)</f>
        <v/>
      </c>
      <c r="U689" s="95" t="n">
        <v>45336</v>
      </c>
      <c r="V689" s="96" t="n">
        <v>0.0824</v>
      </c>
    </row>
    <row r="690">
      <c r="P690" s="27">
        <f>YEAR(Q690)</f>
        <v/>
      </c>
      <c r="Q690" s="97" t="n">
        <v>45294</v>
      </c>
      <c r="R690" s="98" t="n">
        <v>0.07556</v>
      </c>
      <c r="T690" s="27">
        <f>YEAR(U690)</f>
        <v/>
      </c>
      <c r="U690" s="97" t="n">
        <v>45337</v>
      </c>
      <c r="V690" s="98" t="n">
        <v>0.0824</v>
      </c>
    </row>
    <row r="691">
      <c r="P691" s="27">
        <f>YEAR(Q691)</f>
        <v/>
      </c>
      <c r="Q691" s="95" t="n">
        <v>45295</v>
      </c>
      <c r="R691" s="96" t="n">
        <v>0.07556</v>
      </c>
      <c r="T691" s="27">
        <f>YEAR(U691)</f>
        <v/>
      </c>
      <c r="U691" s="95" t="n">
        <v>45338</v>
      </c>
      <c r="V691" s="96" t="n">
        <v>0.0824</v>
      </c>
    </row>
    <row r="692">
      <c r="P692" s="27">
        <f>YEAR(Q692)</f>
        <v/>
      </c>
      <c r="Q692" s="97" t="n">
        <v>45296</v>
      </c>
      <c r="R692" s="98" t="n">
        <v>0.0755</v>
      </c>
      <c r="T692" s="27">
        <f>YEAR(U692)</f>
        <v/>
      </c>
      <c r="U692" s="97" t="n">
        <v>45341</v>
      </c>
      <c r="V692" s="98" t="n">
        <v>0.0824</v>
      </c>
    </row>
    <row r="693">
      <c r="P693" s="27">
        <f>YEAR(Q693)</f>
        <v/>
      </c>
      <c r="Q693" s="95" t="n">
        <v>45299</v>
      </c>
      <c r="R693" s="96" t="n">
        <v>0.0735</v>
      </c>
      <c r="T693" s="27">
        <f>YEAR(U693)</f>
        <v/>
      </c>
      <c r="U693" s="95" t="n">
        <v>45342</v>
      </c>
      <c r="V693" s="96" t="n">
        <v>0.0819</v>
      </c>
    </row>
    <row r="694">
      <c r="P694" s="27">
        <f>YEAR(Q694)</f>
        <v/>
      </c>
      <c r="Q694" s="97" t="n">
        <v>45300</v>
      </c>
      <c r="R694" s="98" t="n">
        <v>0.0735</v>
      </c>
      <c r="T694" s="27">
        <f>YEAR(U694)</f>
        <v/>
      </c>
      <c r="U694" s="97" t="n">
        <v>45343</v>
      </c>
      <c r="V694" s="98" t="n">
        <v>0.0819</v>
      </c>
    </row>
    <row r="695">
      <c r="P695" s="27">
        <f>YEAR(Q695)</f>
        <v/>
      </c>
      <c r="Q695" s="95" t="n">
        <v>45301</v>
      </c>
      <c r="R695" s="96" t="n">
        <v>0.0755</v>
      </c>
      <c r="T695" s="27">
        <f>YEAR(U695)</f>
        <v/>
      </c>
      <c r="U695" s="95" t="n">
        <v>45344</v>
      </c>
      <c r="V695" s="96" t="n">
        <v>0.0819</v>
      </c>
    </row>
    <row r="696">
      <c r="P696" s="27">
        <f>YEAR(Q696)</f>
        <v/>
      </c>
      <c r="Q696" s="97" t="n">
        <v>45302</v>
      </c>
      <c r="R696" s="98" t="n">
        <v>0.0755</v>
      </c>
      <c r="T696" s="27">
        <f>YEAR(U696)</f>
        <v/>
      </c>
      <c r="U696" s="97" t="n">
        <v>45345</v>
      </c>
      <c r="V696" s="98" t="n">
        <v>0.0819</v>
      </c>
    </row>
    <row r="697">
      <c r="P697" s="27">
        <f>YEAR(Q697)</f>
        <v/>
      </c>
      <c r="Q697" s="95" t="n">
        <v>45303</v>
      </c>
      <c r="R697" s="96" t="n">
        <v>0.0755</v>
      </c>
      <c r="T697" s="27">
        <f>YEAR(U697)</f>
        <v/>
      </c>
      <c r="U697" s="95" t="n">
        <v>45348</v>
      </c>
      <c r="V697" s="96" t="n">
        <v>0.0819</v>
      </c>
    </row>
    <row r="698">
      <c r="P698" s="27">
        <f>YEAR(Q698)</f>
        <v/>
      </c>
      <c r="Q698" s="97" t="n">
        <v>45306</v>
      </c>
      <c r="R698" s="98" t="n">
        <v>0.07553</v>
      </c>
      <c r="T698" s="27">
        <f>YEAR(U698)</f>
        <v/>
      </c>
      <c r="U698" s="97" t="n">
        <v>45349</v>
      </c>
      <c r="V698" s="98" t="n">
        <v>0.0819</v>
      </c>
    </row>
    <row r="699">
      <c r="P699" s="27">
        <f>YEAR(Q699)</f>
        <v/>
      </c>
      <c r="Q699" s="95" t="n">
        <v>45307</v>
      </c>
      <c r="R699" s="96" t="n">
        <v>0.07553</v>
      </c>
      <c r="T699" s="27">
        <f>YEAR(U699)</f>
        <v/>
      </c>
      <c r="U699" s="95" t="n">
        <v>45350</v>
      </c>
      <c r="V699" s="96" t="n">
        <v>0.0819</v>
      </c>
    </row>
    <row r="700">
      <c r="P700" s="27">
        <f>YEAR(Q700)</f>
        <v/>
      </c>
      <c r="Q700" s="97" t="n">
        <v>45308</v>
      </c>
      <c r="R700" s="98" t="n">
        <v>0.0755</v>
      </c>
      <c r="T700" s="27">
        <f>YEAR(U700)</f>
        <v/>
      </c>
      <c r="U700" s="97" t="n">
        <v>45351</v>
      </c>
      <c r="V700" s="98" t="n">
        <v>0.0819</v>
      </c>
    </row>
    <row r="701">
      <c r="P701" s="27">
        <f>YEAR(Q701)</f>
        <v/>
      </c>
      <c r="Q701" s="95" t="n">
        <v>45309</v>
      </c>
      <c r="R701" s="96" t="n">
        <v>0.0755</v>
      </c>
      <c r="T701" s="27">
        <f>YEAR(U701)</f>
        <v/>
      </c>
      <c r="U701" s="95" t="n">
        <v>45352</v>
      </c>
      <c r="V701" s="96" t="n">
        <v>0.07580000000000001</v>
      </c>
    </row>
    <row r="702">
      <c r="P702" s="27">
        <f>YEAR(Q702)</f>
        <v/>
      </c>
      <c r="Q702" s="97" t="n">
        <v>45310</v>
      </c>
      <c r="R702" s="98" t="n">
        <v>0.0755</v>
      </c>
      <c r="T702" s="27">
        <f>YEAR(U702)</f>
        <v/>
      </c>
      <c r="U702" s="97" t="n">
        <v>45355</v>
      </c>
      <c r="V702" s="98" t="n">
        <v>0.0738</v>
      </c>
    </row>
    <row r="703">
      <c r="P703" s="27">
        <f>YEAR(Q703)</f>
        <v/>
      </c>
      <c r="Q703" s="95" t="n">
        <v>45313</v>
      </c>
      <c r="R703" s="96" t="n">
        <v>0.0755</v>
      </c>
      <c r="T703" s="27">
        <f>YEAR(U703)</f>
        <v/>
      </c>
      <c r="U703" s="95" t="n">
        <v>45356</v>
      </c>
      <c r="V703" s="96" t="n">
        <v>0.0738</v>
      </c>
    </row>
    <row r="704">
      <c r="P704" s="27">
        <f>YEAR(Q704)</f>
        <v/>
      </c>
      <c r="Q704" s="97" t="n">
        <v>45314</v>
      </c>
      <c r="R704" s="98" t="n">
        <v>0.0755</v>
      </c>
      <c r="T704" s="27">
        <f>YEAR(U704)</f>
        <v/>
      </c>
      <c r="U704" s="97" t="n">
        <v>45357</v>
      </c>
      <c r="V704" s="98" t="n">
        <v>0.0738</v>
      </c>
    </row>
    <row r="705">
      <c r="P705" s="27">
        <f>YEAR(Q705)</f>
        <v/>
      </c>
      <c r="Q705" s="95" t="n">
        <v>45315</v>
      </c>
      <c r="R705" s="96" t="n">
        <v>0.0755</v>
      </c>
      <c r="T705" s="27">
        <f>YEAR(U705)</f>
        <v/>
      </c>
      <c r="U705" s="95" t="n">
        <v>45358</v>
      </c>
      <c r="V705" s="96" t="n">
        <v>0.0803</v>
      </c>
    </row>
    <row r="706">
      <c r="P706" s="27">
        <f>YEAR(Q706)</f>
        <v/>
      </c>
      <c r="Q706" s="97" t="n">
        <v>45316</v>
      </c>
      <c r="R706" s="98" t="n">
        <v>0.0755</v>
      </c>
      <c r="T706" s="27">
        <f>YEAR(U706)</f>
        <v/>
      </c>
      <c r="U706" s="97" t="n">
        <v>45359</v>
      </c>
      <c r="V706" s="98" t="n">
        <v>0.0803</v>
      </c>
    </row>
    <row r="707">
      <c r="P707" s="27">
        <f>YEAR(Q707)</f>
        <v/>
      </c>
      <c r="Q707" s="95" t="n">
        <v>45317</v>
      </c>
      <c r="R707" s="96" t="n">
        <v>0.0755</v>
      </c>
      <c r="T707" s="27">
        <f>YEAR(U707)</f>
        <v/>
      </c>
      <c r="U707" s="95" t="n">
        <v>45362</v>
      </c>
      <c r="V707" s="96" t="n">
        <v>0.0803</v>
      </c>
    </row>
    <row r="708">
      <c r="P708" s="27">
        <f>YEAR(Q708)</f>
        <v/>
      </c>
      <c r="Q708" s="97" t="n">
        <v>45320</v>
      </c>
      <c r="R708" s="98" t="n">
        <v>0.0755</v>
      </c>
      <c r="T708" s="27">
        <f>YEAR(U708)</f>
        <v/>
      </c>
      <c r="U708" s="97" t="n">
        <v>45363</v>
      </c>
      <c r="V708" s="98" t="n">
        <v>0.0803</v>
      </c>
    </row>
    <row r="709">
      <c r="P709" s="27">
        <f>YEAR(Q709)</f>
        <v/>
      </c>
      <c r="Q709" s="95" t="n">
        <v>45321</v>
      </c>
      <c r="R709" s="96" t="n">
        <v>0.0755</v>
      </c>
      <c r="T709" s="27">
        <f>YEAR(U709)</f>
        <v/>
      </c>
      <c r="U709" s="95" t="n">
        <v>45364</v>
      </c>
      <c r="V709" s="96" t="n">
        <v>0.0726</v>
      </c>
    </row>
    <row r="710">
      <c r="P710" s="27">
        <f>YEAR(Q710)</f>
        <v/>
      </c>
      <c r="Q710" s="97" t="n">
        <v>45322</v>
      </c>
      <c r="R710" s="98" t="n">
        <v>0.07548000000000001</v>
      </c>
      <c r="T710" s="27">
        <f>YEAR(U710)</f>
        <v/>
      </c>
      <c r="U710" s="97" t="n">
        <v>45365</v>
      </c>
      <c r="V710" s="98" t="n">
        <v>0.0726</v>
      </c>
    </row>
    <row r="711">
      <c r="P711" s="27">
        <f>YEAR(Q711)</f>
        <v/>
      </c>
      <c r="Q711" s="95" t="n">
        <v>45323</v>
      </c>
      <c r="R711" s="96" t="n">
        <v>0.07543</v>
      </c>
      <c r="T711" s="27">
        <f>YEAR(U711)</f>
        <v/>
      </c>
      <c r="U711" s="95" t="n">
        <v>45366</v>
      </c>
      <c r="V711" s="96" t="n">
        <v>0.0726</v>
      </c>
    </row>
    <row r="712">
      <c r="P712" s="27">
        <f>YEAR(Q712)</f>
        <v/>
      </c>
      <c r="Q712" s="97" t="n">
        <v>45324</v>
      </c>
      <c r="R712" s="98" t="n">
        <v>0.07539999999999999</v>
      </c>
      <c r="T712" s="27">
        <f>YEAR(U712)</f>
        <v/>
      </c>
      <c r="U712" s="97" t="n">
        <v>45369</v>
      </c>
      <c r="V712" s="98" t="n">
        <v>0.0726</v>
      </c>
    </row>
    <row r="713">
      <c r="P713" s="27">
        <f>YEAR(Q713)</f>
        <v/>
      </c>
      <c r="Q713" s="95" t="n">
        <v>45327</v>
      </c>
      <c r="R713" s="96" t="n">
        <v>0.07539999999999999</v>
      </c>
      <c r="T713" s="27">
        <f>YEAR(U713)</f>
        <v/>
      </c>
      <c r="U713" s="95" t="n">
        <v>45370</v>
      </c>
      <c r="V713" s="96" t="n">
        <v>0.0774</v>
      </c>
    </row>
    <row r="714">
      <c r="P714" s="27">
        <f>YEAR(Q714)</f>
        <v/>
      </c>
      <c r="Q714" s="97" t="n">
        <v>45328</v>
      </c>
      <c r="R714" s="98" t="n">
        <v>0.07539999999999999</v>
      </c>
      <c r="T714" s="27">
        <f>YEAR(U714)</f>
        <v/>
      </c>
      <c r="U714" s="97" t="n">
        <v>45371</v>
      </c>
      <c r="V714" s="98" t="n">
        <v>0.0774</v>
      </c>
    </row>
    <row r="715">
      <c r="P715" s="27">
        <f>YEAR(Q715)</f>
        <v/>
      </c>
      <c r="Q715" s="95" t="n">
        <v>45329</v>
      </c>
      <c r="R715" s="96" t="n">
        <v>0.07539999999999999</v>
      </c>
      <c r="T715" s="27">
        <f>YEAR(U715)</f>
        <v/>
      </c>
      <c r="U715" s="95" t="n">
        <v>45372</v>
      </c>
      <c r="V715" s="96" t="n">
        <v>0.0774</v>
      </c>
    </row>
    <row r="716">
      <c r="P716" s="27">
        <f>YEAR(Q716)</f>
        <v/>
      </c>
      <c r="Q716" s="97" t="n">
        <v>45330</v>
      </c>
      <c r="R716" s="98" t="n">
        <v>0.07539999999999999</v>
      </c>
      <c r="T716" s="27">
        <f>YEAR(U716)</f>
        <v/>
      </c>
      <c r="U716" s="97" t="n">
        <v>45373</v>
      </c>
      <c r="V716" s="98" t="n">
        <v>0.0774</v>
      </c>
    </row>
    <row r="717">
      <c r="P717" s="27">
        <f>YEAR(Q717)</f>
        <v/>
      </c>
      <c r="Q717" s="95" t="n">
        <v>45331</v>
      </c>
      <c r="R717" s="96" t="n">
        <v>0.076</v>
      </c>
      <c r="T717" s="27">
        <f>YEAR(U717)</f>
        <v/>
      </c>
      <c r="U717" s="95" t="n">
        <v>45376</v>
      </c>
      <c r="V717" s="96" t="n">
        <v>0.0774</v>
      </c>
    </row>
    <row r="718">
      <c r="P718" s="27">
        <f>YEAR(Q718)</f>
        <v/>
      </c>
      <c r="Q718" s="97" t="n">
        <v>45334</v>
      </c>
      <c r="R718" s="98" t="n">
        <v>0.076</v>
      </c>
      <c r="T718" s="27">
        <f>YEAR(U718)</f>
        <v/>
      </c>
      <c r="U718" s="97" t="n">
        <v>45377</v>
      </c>
      <c r="V718" s="98" t="n">
        <v>0.0774</v>
      </c>
    </row>
    <row r="719">
      <c r="P719" s="27">
        <f>YEAR(Q719)</f>
        <v/>
      </c>
      <c r="Q719" s="95" t="n">
        <v>45335</v>
      </c>
      <c r="R719" s="96" t="n">
        <v>0.076</v>
      </c>
      <c r="T719" s="27">
        <f>YEAR(U719)</f>
        <v/>
      </c>
      <c r="U719" s="95" t="n">
        <v>45378</v>
      </c>
      <c r="V719" s="96" t="n">
        <v>0.0774</v>
      </c>
    </row>
    <row r="720">
      <c r="P720" s="27">
        <f>YEAR(Q720)</f>
        <v/>
      </c>
      <c r="Q720" s="97" t="n">
        <v>45336</v>
      </c>
      <c r="R720" s="98" t="n">
        <v>0.076</v>
      </c>
      <c r="T720" s="27">
        <f>YEAR(U720)</f>
        <v/>
      </c>
      <c r="U720" s="97" t="n">
        <v>45379</v>
      </c>
      <c r="V720" s="98" t="n">
        <v>0.0774</v>
      </c>
    </row>
    <row r="721">
      <c r="P721" s="27">
        <f>YEAR(Q721)</f>
        <v/>
      </c>
      <c r="Q721" s="95" t="n">
        <v>45337</v>
      </c>
      <c r="R721" s="96" t="n">
        <v>0.076</v>
      </c>
      <c r="T721" s="27">
        <f>YEAR(U721)</f>
        <v/>
      </c>
      <c r="U721" s="95" t="n">
        <v>45380</v>
      </c>
      <c r="V721" s="96" t="n">
        <v>0.0774</v>
      </c>
    </row>
    <row r="722">
      <c r="P722" s="27">
        <f>YEAR(Q722)</f>
        <v/>
      </c>
      <c r="Q722" s="97" t="n">
        <v>45338</v>
      </c>
      <c r="R722" s="98" t="n">
        <v>0.076</v>
      </c>
      <c r="T722" s="27">
        <f>YEAR(U722)</f>
        <v/>
      </c>
      <c r="U722" s="97" t="n">
        <v>45384</v>
      </c>
      <c r="V722" s="98" t="n">
        <v>0.0774</v>
      </c>
    </row>
    <row r="723">
      <c r="P723" s="27">
        <f>YEAR(Q723)</f>
        <v/>
      </c>
      <c r="Q723" s="95" t="n">
        <v>45341</v>
      </c>
      <c r="R723" s="96" t="n">
        <v>0.076</v>
      </c>
      <c r="T723" s="27">
        <f>YEAR(U723)</f>
        <v/>
      </c>
      <c r="U723" s="95" t="n">
        <v>45385</v>
      </c>
      <c r="V723" s="96" t="n">
        <v>0.0774</v>
      </c>
    </row>
    <row r="724">
      <c r="P724" s="27">
        <f>YEAR(Q724)</f>
        <v/>
      </c>
      <c r="Q724" s="97" t="n">
        <v>45342</v>
      </c>
      <c r="R724" s="98" t="n">
        <v>0.07629999999999999</v>
      </c>
      <c r="T724" s="27">
        <f>YEAR(U724)</f>
        <v/>
      </c>
      <c r="U724" s="97" t="n">
        <v>45386</v>
      </c>
      <c r="V724" s="98" t="n">
        <v>0.0794</v>
      </c>
    </row>
    <row r="725">
      <c r="P725" s="27">
        <f>YEAR(Q725)</f>
        <v/>
      </c>
      <c r="Q725" s="95" t="n">
        <v>45343</v>
      </c>
      <c r="R725" s="96" t="n">
        <v>0.07629999999999999</v>
      </c>
      <c r="T725" s="27">
        <f>YEAR(U725)</f>
        <v/>
      </c>
      <c r="U725" s="95" t="n">
        <v>45387</v>
      </c>
      <c r="V725" s="96" t="n">
        <v>0.0814</v>
      </c>
    </row>
    <row r="726">
      <c r="P726" s="27">
        <f>YEAR(Q726)</f>
        <v/>
      </c>
      <c r="Q726" s="97" t="n">
        <v>45344</v>
      </c>
      <c r="R726" s="98" t="n">
        <v>0.07629999999999999</v>
      </c>
      <c r="T726" s="27">
        <f>YEAR(U726)</f>
        <v/>
      </c>
      <c r="U726" s="97" t="n">
        <v>45390</v>
      </c>
      <c r="V726" s="98" t="n">
        <v>0.0814</v>
      </c>
    </row>
    <row r="727">
      <c r="P727" s="27">
        <f>YEAR(Q727)</f>
        <v/>
      </c>
      <c r="Q727" s="95" t="n">
        <v>45345</v>
      </c>
      <c r="R727" s="96" t="n">
        <v>0.07629999999999999</v>
      </c>
      <c r="T727" s="27">
        <f>YEAR(U727)</f>
        <v/>
      </c>
      <c r="U727" s="95" t="n">
        <v>45391</v>
      </c>
      <c r="V727" s="96" t="n">
        <v>0.0814</v>
      </c>
    </row>
    <row r="728">
      <c r="P728" s="27">
        <f>YEAR(Q728)</f>
        <v/>
      </c>
      <c r="Q728" s="97" t="n">
        <v>45348</v>
      </c>
      <c r="R728" s="98" t="n">
        <v>0.07629999999999999</v>
      </c>
      <c r="T728" s="27">
        <f>YEAR(U728)</f>
        <v/>
      </c>
      <c r="U728" s="97" t="n">
        <v>45393</v>
      </c>
      <c r="V728" s="98" t="n">
        <v>0.0814</v>
      </c>
    </row>
    <row r="729">
      <c r="P729" s="27">
        <f>YEAR(Q729)</f>
        <v/>
      </c>
      <c r="Q729" s="95" t="n">
        <v>45349</v>
      </c>
      <c r="R729" s="96" t="n">
        <v>0.07629999999999999</v>
      </c>
      <c r="T729" s="27">
        <f>YEAR(U729)</f>
        <v/>
      </c>
      <c r="U729" s="95" t="n">
        <v>45394</v>
      </c>
      <c r="V729" s="96" t="n">
        <v>0.0814</v>
      </c>
    </row>
    <row r="730">
      <c r="P730" s="27">
        <f>YEAR(Q730)</f>
        <v/>
      </c>
      <c r="Q730" s="97" t="n">
        <v>45350</v>
      </c>
      <c r="R730" s="98" t="n">
        <v>0.07629999999999999</v>
      </c>
      <c r="T730" s="27">
        <f>YEAR(U730)</f>
        <v/>
      </c>
      <c r="U730" s="97" t="n">
        <v>45397</v>
      </c>
      <c r="V730" s="98" t="n">
        <v>0.0814</v>
      </c>
    </row>
    <row r="731">
      <c r="P731" s="27">
        <f>YEAR(Q731)</f>
        <v/>
      </c>
      <c r="Q731" s="95" t="n">
        <v>45351</v>
      </c>
      <c r="R731" s="96" t="n">
        <v>0.07649</v>
      </c>
      <c r="T731" s="27">
        <f>YEAR(U731)</f>
        <v/>
      </c>
      <c r="U731" s="95" t="n">
        <v>45398</v>
      </c>
      <c r="V731" s="96" t="n">
        <v>0.0814</v>
      </c>
    </row>
    <row r="732">
      <c r="P732" s="27">
        <f>YEAR(Q732)</f>
        <v/>
      </c>
      <c r="Q732" s="97" t="n">
        <v>45352</v>
      </c>
      <c r="R732" s="98" t="n">
        <v>0.07649</v>
      </c>
      <c r="T732" s="27">
        <f>YEAR(U732)</f>
        <v/>
      </c>
      <c r="U732" s="97" t="n">
        <v>45399</v>
      </c>
      <c r="V732" s="98" t="n">
        <v>0.0814</v>
      </c>
    </row>
    <row r="733">
      <c r="P733" s="27">
        <f>YEAR(Q733)</f>
        <v/>
      </c>
      <c r="Q733" s="95" t="n">
        <v>45355</v>
      </c>
      <c r="R733" s="96" t="n">
        <v>0.077</v>
      </c>
      <c r="T733" s="27">
        <f>YEAR(U733)</f>
        <v/>
      </c>
      <c r="U733" s="95" t="n">
        <v>45400</v>
      </c>
      <c r="V733" s="96" t="n">
        <v>0.0814</v>
      </c>
    </row>
    <row r="734">
      <c r="P734" s="27">
        <f>YEAR(Q734)</f>
        <v/>
      </c>
      <c r="Q734" s="97" t="n">
        <v>45356</v>
      </c>
      <c r="R734" s="98" t="n">
        <v>0.07647999999999999</v>
      </c>
      <c r="T734" s="27">
        <f>YEAR(U734)</f>
        <v/>
      </c>
      <c r="U734" s="97" t="n">
        <v>45401</v>
      </c>
      <c r="V734" s="98" t="n">
        <v>0.0814</v>
      </c>
    </row>
    <row r="735">
      <c r="P735" s="27">
        <f>YEAR(Q735)</f>
        <v/>
      </c>
      <c r="Q735" s="95" t="n">
        <v>45357</v>
      </c>
      <c r="R735" s="96" t="n">
        <v>0.07482</v>
      </c>
      <c r="T735" s="27">
        <f>YEAR(U735)</f>
        <v/>
      </c>
      <c r="U735" s="95" t="n">
        <v>45404</v>
      </c>
      <c r="V735" s="96" t="n">
        <v>0.0814</v>
      </c>
    </row>
    <row r="736">
      <c r="P736" s="27">
        <f>YEAR(Q736)</f>
        <v/>
      </c>
      <c r="Q736" s="97" t="n">
        <v>45358</v>
      </c>
      <c r="R736" s="98" t="n">
        <v>0.07339999999999999</v>
      </c>
      <c r="T736" s="27">
        <f>YEAR(U736)</f>
        <v/>
      </c>
      <c r="U736" s="97" t="n">
        <v>45405</v>
      </c>
      <c r="V736" s="98" t="n">
        <v>0.0814</v>
      </c>
    </row>
    <row r="737">
      <c r="P737" s="27">
        <f>YEAR(Q737)</f>
        <v/>
      </c>
      <c r="Q737" s="95" t="n">
        <v>45359</v>
      </c>
      <c r="R737" s="96" t="n">
        <v>0.07530000000000001</v>
      </c>
      <c r="T737" s="27">
        <f>YEAR(U737)</f>
        <v/>
      </c>
      <c r="U737" s="95" t="n">
        <v>45406</v>
      </c>
      <c r="V737" s="96" t="n">
        <v>0.0814</v>
      </c>
    </row>
    <row r="738">
      <c r="P738" s="27">
        <f>YEAR(Q738)</f>
        <v/>
      </c>
      <c r="Q738" s="97" t="n">
        <v>45362</v>
      </c>
      <c r="R738" s="98" t="n">
        <v>0.07530000000000001</v>
      </c>
      <c r="T738" s="27">
        <f>YEAR(U738)</f>
        <v/>
      </c>
      <c r="U738" s="97" t="n">
        <v>45407</v>
      </c>
      <c r="V738" s="98" t="n">
        <v>0.0814</v>
      </c>
    </row>
    <row r="739">
      <c r="P739" s="27">
        <f>YEAR(Q739)</f>
        <v/>
      </c>
      <c r="Q739" s="95" t="n">
        <v>45363</v>
      </c>
      <c r="R739" s="96" t="n">
        <v>0.07530000000000001</v>
      </c>
      <c r="T739" s="27">
        <f>YEAR(U739)</f>
        <v/>
      </c>
      <c r="U739" s="95" t="n">
        <v>45408</v>
      </c>
      <c r="V739" s="96" t="n">
        <v>0.0814</v>
      </c>
    </row>
    <row r="740">
      <c r="P740" s="27">
        <f>YEAR(Q740)</f>
        <v/>
      </c>
      <c r="Q740" s="97" t="n">
        <v>45364</v>
      </c>
      <c r="R740" s="98" t="n">
        <v>0.0737</v>
      </c>
      <c r="T740" s="27">
        <f>YEAR(U740)</f>
        <v/>
      </c>
      <c r="U740" s="97" t="n">
        <v>45411</v>
      </c>
      <c r="V740" s="98" t="n">
        <v>0.0814</v>
      </c>
    </row>
    <row r="741">
      <c r="P741" s="27">
        <f>YEAR(Q741)</f>
        <v/>
      </c>
      <c r="Q741" s="95" t="n">
        <v>45365</v>
      </c>
      <c r="R741" s="96" t="n">
        <v>0.0737</v>
      </c>
      <c r="T741" s="27">
        <f>YEAR(U741)</f>
        <v/>
      </c>
      <c r="U741" s="95" t="n">
        <v>45412</v>
      </c>
      <c r="V741" s="96" t="n">
        <v>0.0771</v>
      </c>
    </row>
    <row r="742">
      <c r="P742" s="27">
        <f>YEAR(Q742)</f>
        <v/>
      </c>
      <c r="Q742" s="97" t="n">
        <v>45366</v>
      </c>
      <c r="R742" s="98" t="n">
        <v>0.0737</v>
      </c>
      <c r="T742" s="27">
        <f>YEAR(U742)</f>
        <v/>
      </c>
      <c r="U742" s="97" t="n">
        <v>45414</v>
      </c>
      <c r="V742" s="98" t="n">
        <v>0.0771</v>
      </c>
    </row>
    <row r="743">
      <c r="P743" s="27">
        <f>YEAR(Q743)</f>
        <v/>
      </c>
      <c r="Q743" s="95" t="n">
        <v>45369</v>
      </c>
      <c r="R743" s="96" t="n">
        <v>0.0737</v>
      </c>
      <c r="T743" s="27">
        <f>YEAR(U743)</f>
        <v/>
      </c>
      <c r="U743" s="95" t="n">
        <v>45415</v>
      </c>
      <c r="V743" s="96" t="n">
        <v>0.0771</v>
      </c>
    </row>
    <row r="744">
      <c r="P744" s="27">
        <f>YEAR(Q744)</f>
        <v/>
      </c>
      <c r="Q744" s="97" t="n">
        <v>45370</v>
      </c>
      <c r="R744" s="98" t="n">
        <v>0.0785</v>
      </c>
      <c r="T744" s="27">
        <f>YEAR(U744)</f>
        <v/>
      </c>
      <c r="U744" s="97" t="n">
        <v>45418</v>
      </c>
      <c r="V744" s="98" t="n">
        <v>0.0771</v>
      </c>
    </row>
    <row r="745">
      <c r="P745" s="27">
        <f>YEAR(Q745)</f>
        <v/>
      </c>
      <c r="Q745" s="95" t="n">
        <v>45371</v>
      </c>
      <c r="R745" s="96" t="n">
        <v>0.0785</v>
      </c>
      <c r="T745" s="27">
        <f>YEAR(U745)</f>
        <v/>
      </c>
      <c r="U745" s="95" t="n">
        <v>45419</v>
      </c>
      <c r="V745" s="96" t="n">
        <v>0.0771</v>
      </c>
    </row>
    <row r="746">
      <c r="P746" s="27">
        <f>YEAR(Q746)</f>
        <v/>
      </c>
      <c r="Q746" s="97" t="n">
        <v>45372</v>
      </c>
      <c r="R746" s="98" t="n">
        <v>0.0785</v>
      </c>
      <c r="T746" s="27">
        <f>YEAR(U746)</f>
        <v/>
      </c>
      <c r="U746" s="97" t="n">
        <v>45420</v>
      </c>
      <c r="V746" s="98" t="n">
        <v>0.0771</v>
      </c>
    </row>
    <row r="747">
      <c r="P747" s="27">
        <f>YEAR(Q747)</f>
        <v/>
      </c>
      <c r="Q747" s="95" t="n">
        <v>45373</v>
      </c>
      <c r="R747" s="96" t="n">
        <v>0.0785</v>
      </c>
      <c r="T747" s="27">
        <f>YEAR(U747)</f>
        <v/>
      </c>
      <c r="U747" s="95" t="n">
        <v>45422</v>
      </c>
      <c r="V747" s="96" t="n">
        <v>0.0771</v>
      </c>
    </row>
    <row r="748">
      <c r="P748" s="27">
        <f>YEAR(Q748)</f>
        <v/>
      </c>
      <c r="Q748" s="97" t="n">
        <v>45376</v>
      </c>
      <c r="R748" s="98" t="n">
        <v>0.0785</v>
      </c>
      <c r="T748" s="27">
        <f>YEAR(U748)</f>
        <v/>
      </c>
      <c r="U748" s="97" t="n">
        <v>45425</v>
      </c>
      <c r="V748" s="98" t="n">
        <v>0.0771</v>
      </c>
    </row>
    <row r="749">
      <c r="P749" s="27">
        <f>YEAR(Q749)</f>
        <v/>
      </c>
      <c r="Q749" s="95" t="n">
        <v>45377</v>
      </c>
      <c r="R749" s="96" t="n">
        <v>0.0785</v>
      </c>
      <c r="T749" s="27">
        <f>YEAR(U749)</f>
        <v/>
      </c>
      <c r="U749" s="95" t="n">
        <v>45426</v>
      </c>
      <c r="V749" s="96" t="n">
        <v>0.0771</v>
      </c>
    </row>
    <row r="750">
      <c r="P750" s="27">
        <f>YEAR(Q750)</f>
        <v/>
      </c>
      <c r="Q750" s="97" t="n">
        <v>45378</v>
      </c>
      <c r="R750" s="98" t="n">
        <v>0.07573000000000001</v>
      </c>
      <c r="T750" s="27">
        <f>YEAR(U750)</f>
        <v/>
      </c>
      <c r="U750" s="97" t="n">
        <v>45427</v>
      </c>
      <c r="V750" s="98" t="n">
        <v>0.07829999999999999</v>
      </c>
    </row>
    <row r="751">
      <c r="P751" s="27">
        <f>YEAR(Q751)</f>
        <v/>
      </c>
      <c r="Q751" s="95" t="n">
        <v>45379</v>
      </c>
      <c r="R751" s="96" t="n">
        <v>0.07573000000000001</v>
      </c>
      <c r="T751" s="27">
        <f>YEAR(U751)</f>
        <v/>
      </c>
      <c r="U751" s="95" t="n">
        <v>45428</v>
      </c>
      <c r="V751" s="96" t="n">
        <v>0.07829999999999999</v>
      </c>
    </row>
    <row r="752">
      <c r="P752" s="27">
        <f>YEAR(Q752)</f>
        <v/>
      </c>
      <c r="Q752" s="97" t="n">
        <v>45380</v>
      </c>
      <c r="R752" s="98" t="n">
        <v>0.0785</v>
      </c>
      <c r="T752" s="27">
        <f>YEAR(U752)</f>
        <v/>
      </c>
      <c r="U752" s="97" t="n">
        <v>45429</v>
      </c>
      <c r="V752" s="98" t="n">
        <v>0.07829999999999999</v>
      </c>
    </row>
    <row r="753">
      <c r="P753" s="27">
        <f>YEAR(Q753)</f>
        <v/>
      </c>
      <c r="Q753" s="95" t="n">
        <v>45384</v>
      </c>
      <c r="R753" s="96" t="n">
        <v>0.0785</v>
      </c>
      <c r="T753" s="27">
        <f>YEAR(U753)</f>
        <v/>
      </c>
      <c r="U753" s="95" t="n">
        <v>45433</v>
      </c>
      <c r="V753" s="96" t="n">
        <v>0.07829999999999999</v>
      </c>
    </row>
    <row r="754">
      <c r="P754" s="27">
        <f>YEAR(Q754)</f>
        <v/>
      </c>
      <c r="Q754" s="97" t="n">
        <v>45385</v>
      </c>
      <c r="R754" s="98" t="n">
        <v>0.0785</v>
      </c>
      <c r="T754" s="27">
        <f>YEAR(U754)</f>
        <v/>
      </c>
      <c r="U754" s="97" t="n">
        <v>45434</v>
      </c>
      <c r="V754" s="98" t="n">
        <v>0.07829999999999999</v>
      </c>
    </row>
    <row r="755">
      <c r="P755" s="27">
        <f>YEAR(Q755)</f>
        <v/>
      </c>
      <c r="Q755" s="95" t="n">
        <v>45386</v>
      </c>
      <c r="R755" s="96" t="n">
        <v>0.078</v>
      </c>
      <c r="T755" s="27">
        <f>YEAR(U755)</f>
        <v/>
      </c>
      <c r="U755" s="95" t="n">
        <v>45435</v>
      </c>
      <c r="V755" s="96" t="n">
        <v>0.07829999999999999</v>
      </c>
    </row>
    <row r="756">
      <c r="P756" s="27">
        <f>YEAR(Q756)</f>
        <v/>
      </c>
      <c r="Q756" s="97" t="n">
        <v>45390</v>
      </c>
      <c r="R756" s="98" t="n">
        <v>0.078</v>
      </c>
      <c r="T756" s="27">
        <f>YEAR(U756)</f>
        <v/>
      </c>
      <c r="U756" s="97" t="n">
        <v>45436</v>
      </c>
      <c r="V756" s="98" t="n">
        <v>0.07829999999999999</v>
      </c>
    </row>
    <row r="757">
      <c r="P757" s="27">
        <f>YEAR(Q757)</f>
        <v/>
      </c>
      <c r="Q757" s="95" t="n">
        <v>45391</v>
      </c>
      <c r="R757" s="96" t="n">
        <v>0.078</v>
      </c>
      <c r="T757" s="27">
        <f>YEAR(U757)</f>
        <v/>
      </c>
      <c r="U757" s="95" t="n">
        <v>45439</v>
      </c>
      <c r="V757" s="96" t="n">
        <v>0.07829999999999999</v>
      </c>
    </row>
    <row r="758">
      <c r="P758" s="27">
        <f>YEAR(Q758)</f>
        <v/>
      </c>
      <c r="Q758" s="97" t="n">
        <v>45393</v>
      </c>
      <c r="R758" s="98" t="n">
        <v>0.078</v>
      </c>
      <c r="T758" s="27">
        <f>YEAR(U758)</f>
        <v/>
      </c>
      <c r="U758" s="97" t="n">
        <v>45440</v>
      </c>
      <c r="V758" s="98" t="n">
        <v>0.07829999999999999</v>
      </c>
    </row>
    <row r="759">
      <c r="P759" s="27">
        <f>YEAR(Q759)</f>
        <v/>
      </c>
      <c r="Q759" s="95" t="n">
        <v>45394</v>
      </c>
      <c r="R759" s="96" t="n">
        <v>0.078</v>
      </c>
      <c r="T759" s="27">
        <f>YEAR(U759)</f>
        <v/>
      </c>
      <c r="U759" s="95" t="n">
        <v>45441</v>
      </c>
      <c r="V759" s="96" t="n">
        <v>0.07829999999999999</v>
      </c>
    </row>
    <row r="760">
      <c r="P760" s="27">
        <f>YEAR(Q760)</f>
        <v/>
      </c>
      <c r="Q760" s="97" t="n">
        <v>45397</v>
      </c>
      <c r="R760" s="98" t="n">
        <v>0.078</v>
      </c>
      <c r="T760" s="27">
        <f>YEAR(U760)</f>
        <v/>
      </c>
      <c r="U760" s="97" t="n">
        <v>45442</v>
      </c>
      <c r="V760" s="98" t="n">
        <v>0.07829999999999999</v>
      </c>
    </row>
    <row r="761">
      <c r="P761" s="27">
        <f>YEAR(Q761)</f>
        <v/>
      </c>
      <c r="Q761" s="95" t="n">
        <v>45398</v>
      </c>
      <c r="R761" s="96" t="n">
        <v>0.078</v>
      </c>
      <c r="T761" s="27">
        <f>YEAR(U761)</f>
        <v/>
      </c>
      <c r="U761" s="95" t="n">
        <v>45443</v>
      </c>
      <c r="V761" s="96" t="n">
        <v>0.07829999999999999</v>
      </c>
    </row>
    <row r="762">
      <c r="P762" s="27">
        <f>YEAR(Q762)</f>
        <v/>
      </c>
      <c r="Q762" s="97" t="n">
        <v>45399</v>
      </c>
      <c r="R762" s="98" t="n">
        <v>0.078</v>
      </c>
      <c r="T762" s="27">
        <f>YEAR(U762)</f>
        <v/>
      </c>
      <c r="U762" s="97" t="n">
        <v>45446</v>
      </c>
      <c r="V762" s="98" t="n">
        <v>0.07829999999999999</v>
      </c>
    </row>
    <row r="763">
      <c r="P763" s="27">
        <f>YEAR(Q763)</f>
        <v/>
      </c>
      <c r="Q763" s="95" t="n">
        <v>45400</v>
      </c>
      <c r="R763" s="96" t="n">
        <v>0.078</v>
      </c>
      <c r="T763" s="27">
        <f>YEAR(U763)</f>
        <v/>
      </c>
      <c r="U763" s="95" t="n">
        <v>45447</v>
      </c>
      <c r="V763" s="96" t="n">
        <v>0.07829999999999999</v>
      </c>
    </row>
    <row r="764">
      <c r="P764" s="27">
        <f>YEAR(Q764)</f>
        <v/>
      </c>
      <c r="Q764" s="97" t="n">
        <v>45401</v>
      </c>
      <c r="R764" s="98" t="n">
        <v>0.078</v>
      </c>
      <c r="T764" s="27">
        <f>YEAR(U764)</f>
        <v/>
      </c>
      <c r="U764" s="97" t="n">
        <v>45448</v>
      </c>
      <c r="V764" s="98" t="n">
        <v>0.07829999999999999</v>
      </c>
    </row>
    <row r="765">
      <c r="P765" s="27">
        <f>YEAR(Q765)</f>
        <v/>
      </c>
      <c r="Q765" s="95" t="n">
        <v>45404</v>
      </c>
      <c r="R765" s="96" t="n">
        <v>0.078</v>
      </c>
      <c r="T765" s="27">
        <f>YEAR(U765)</f>
        <v/>
      </c>
      <c r="U765" s="95" t="n">
        <v>45449</v>
      </c>
      <c r="V765" s="96" t="n">
        <v>0.07829999999999999</v>
      </c>
    </row>
    <row r="766">
      <c r="P766" s="27">
        <f>YEAR(Q766)</f>
        <v/>
      </c>
      <c r="Q766" s="97" t="n">
        <v>45405</v>
      </c>
      <c r="R766" s="98" t="n">
        <v>0.078</v>
      </c>
      <c r="T766" s="27">
        <f>YEAR(U766)</f>
        <v/>
      </c>
      <c r="U766" s="97" t="n">
        <v>45450</v>
      </c>
      <c r="V766" s="98" t="n">
        <v>0.07829999999999999</v>
      </c>
    </row>
    <row r="767">
      <c r="P767" s="27">
        <f>YEAR(Q767)</f>
        <v/>
      </c>
      <c r="Q767" s="95" t="n">
        <v>45406</v>
      </c>
      <c r="R767" s="96" t="n">
        <v>0.078</v>
      </c>
      <c r="T767" s="27">
        <f>YEAR(U767)</f>
        <v/>
      </c>
      <c r="U767" s="95" t="n">
        <v>45453</v>
      </c>
      <c r="V767" s="96" t="n">
        <v>0.07829999999999999</v>
      </c>
    </row>
    <row r="768">
      <c r="P768" s="27">
        <f>YEAR(Q768)</f>
        <v/>
      </c>
      <c r="Q768" s="97" t="n">
        <v>45407</v>
      </c>
      <c r="R768" s="98" t="n">
        <v>0.078</v>
      </c>
      <c r="T768" s="27">
        <f>YEAR(U768)</f>
        <v/>
      </c>
      <c r="U768" s="97" t="n">
        <v>45454</v>
      </c>
      <c r="V768" s="98" t="n">
        <v>0.07829999999999999</v>
      </c>
    </row>
    <row r="769">
      <c r="P769" s="27">
        <f>YEAR(Q769)</f>
        <v/>
      </c>
      <c r="Q769" s="95" t="n">
        <v>45408</v>
      </c>
      <c r="R769" s="96" t="n">
        <v>0.078</v>
      </c>
      <c r="T769" s="27">
        <f>YEAR(U769)</f>
        <v/>
      </c>
      <c r="U769" s="95" t="n">
        <v>45455</v>
      </c>
      <c r="V769" s="96" t="n">
        <v>0.07829999999999999</v>
      </c>
    </row>
    <row r="770">
      <c r="P770" s="27">
        <f>YEAR(Q770)</f>
        <v/>
      </c>
      <c r="Q770" s="97" t="n">
        <v>45411</v>
      </c>
      <c r="R770" s="98" t="n">
        <v>0.078</v>
      </c>
      <c r="T770" s="27">
        <f>YEAR(U770)</f>
        <v/>
      </c>
      <c r="U770" s="97" t="n">
        <v>45456</v>
      </c>
      <c r="V770" s="98" t="n">
        <v>0.07829999999999999</v>
      </c>
    </row>
    <row r="771">
      <c r="P771" s="27">
        <f>YEAR(Q771)</f>
        <v/>
      </c>
      <c r="Q771" s="95" t="n">
        <v>45412</v>
      </c>
      <c r="R771" s="96" t="n">
        <v>0.0779</v>
      </c>
      <c r="T771" s="27">
        <f>YEAR(U771)</f>
        <v/>
      </c>
      <c r="U771" s="95" t="n">
        <v>45457</v>
      </c>
      <c r="V771" s="96" t="n">
        <v>0.07829999999999999</v>
      </c>
    </row>
    <row r="772">
      <c r="P772" s="27">
        <f>YEAR(Q772)</f>
        <v/>
      </c>
      <c r="Q772" s="97" t="n">
        <v>45414</v>
      </c>
      <c r="R772" s="98" t="n">
        <v>0.0779</v>
      </c>
      <c r="T772" s="27">
        <f>YEAR(U772)</f>
        <v/>
      </c>
      <c r="U772" s="97" t="n">
        <v>45461</v>
      </c>
      <c r="V772" s="98" t="n">
        <v>0.07829999999999999</v>
      </c>
    </row>
    <row r="773">
      <c r="P773" s="27">
        <f>YEAR(Q773)</f>
        <v/>
      </c>
      <c r="Q773" s="95" t="n">
        <v>45415</v>
      </c>
      <c r="R773" s="96" t="n">
        <v>0.0779</v>
      </c>
      <c r="T773" s="27">
        <f>YEAR(U773)</f>
        <v/>
      </c>
      <c r="U773" s="95" t="n">
        <v>45462</v>
      </c>
      <c r="V773" s="96" t="n">
        <v>0.07829999999999999</v>
      </c>
    </row>
    <row r="774">
      <c r="P774" s="27">
        <f>YEAR(Q774)</f>
        <v/>
      </c>
      <c r="Q774" s="97" t="n">
        <v>45418</v>
      </c>
      <c r="R774" s="98" t="n">
        <v>0.0779</v>
      </c>
      <c r="T774" s="27">
        <f>YEAR(U774)</f>
        <v/>
      </c>
      <c r="U774" s="97" t="n">
        <v>45463</v>
      </c>
      <c r="V774" s="98" t="n">
        <v>0.07829999999999999</v>
      </c>
    </row>
    <row r="775">
      <c r="P775" s="27">
        <f>YEAR(Q775)</f>
        <v/>
      </c>
      <c r="Q775" s="95" t="n">
        <v>45419</v>
      </c>
      <c r="R775" s="96" t="n">
        <v>0.0779</v>
      </c>
      <c r="T775" s="27">
        <f>YEAR(U775)</f>
        <v/>
      </c>
      <c r="U775" s="95" t="n">
        <v>45464</v>
      </c>
      <c r="V775" s="96" t="n">
        <v>0.07829999999999999</v>
      </c>
    </row>
    <row r="776">
      <c r="P776" s="27">
        <f>YEAR(Q776)</f>
        <v/>
      </c>
      <c r="Q776" s="97" t="n">
        <v>45420</v>
      </c>
      <c r="R776" s="98" t="n">
        <v>0.0779</v>
      </c>
      <c r="T776" s="27">
        <f>YEAR(U776)</f>
        <v/>
      </c>
      <c r="U776" s="97" t="n">
        <v>45467</v>
      </c>
      <c r="V776" s="98" t="n">
        <v>0.07829999999999999</v>
      </c>
    </row>
    <row r="777">
      <c r="P777" s="27">
        <f>YEAR(Q777)</f>
        <v/>
      </c>
      <c r="Q777" s="95" t="n">
        <v>45422</v>
      </c>
      <c r="R777" s="96" t="n">
        <v>0.0779</v>
      </c>
      <c r="T777" s="27">
        <f>YEAR(U777)</f>
        <v/>
      </c>
      <c r="U777" s="95" t="n">
        <v>45468</v>
      </c>
      <c r="V777" s="96" t="n">
        <v>0.07829999999999999</v>
      </c>
    </row>
    <row r="778">
      <c r="P778" s="27">
        <f>YEAR(Q778)</f>
        <v/>
      </c>
      <c r="Q778" s="97" t="n">
        <v>45425</v>
      </c>
      <c r="R778" s="98" t="n">
        <v>0.0779</v>
      </c>
      <c r="T778" s="27">
        <f>YEAR(U778)</f>
        <v/>
      </c>
      <c r="U778" s="97" t="n">
        <v>45469</v>
      </c>
      <c r="V778" s="98" t="n">
        <v>0.07829999999999999</v>
      </c>
    </row>
    <row r="779">
      <c r="P779" s="27">
        <f>YEAR(Q779)</f>
        <v/>
      </c>
      <c r="Q779" s="95" t="n">
        <v>45426</v>
      </c>
      <c r="R779" s="96" t="n">
        <v>0.0779</v>
      </c>
      <c r="T779" s="27">
        <f>YEAR(U779)</f>
        <v/>
      </c>
      <c r="U779" s="95" t="n">
        <v>45470</v>
      </c>
      <c r="V779" s="96" t="n">
        <v>0.07629999999999999</v>
      </c>
    </row>
    <row r="780">
      <c r="P780" s="27">
        <f>YEAR(Q780)</f>
        <v/>
      </c>
      <c r="Q780" s="97" t="n">
        <v>45427</v>
      </c>
      <c r="R780" s="98" t="n">
        <v>0.0774</v>
      </c>
      <c r="T780" s="27">
        <f>YEAR(U780)</f>
        <v/>
      </c>
      <c r="U780" s="97" t="n">
        <v>45471</v>
      </c>
      <c r="V780" s="98" t="n">
        <v>0.07629999999999999</v>
      </c>
    </row>
    <row r="781">
      <c r="P781" s="27">
        <f>YEAR(Q781)</f>
        <v/>
      </c>
      <c r="Q781" s="95" t="n">
        <v>45428</v>
      </c>
      <c r="R781" s="96" t="n">
        <v>0.0775</v>
      </c>
      <c r="T781" s="27">
        <f>YEAR(U781)</f>
        <v/>
      </c>
      <c r="U781" s="95" t="n">
        <v>45474</v>
      </c>
      <c r="V781" s="96" t="n">
        <v>0.07629999999999999</v>
      </c>
    </row>
    <row r="782">
      <c r="P782" s="27">
        <f>YEAR(Q782)</f>
        <v/>
      </c>
      <c r="Q782" s="97" t="n">
        <v>45429</v>
      </c>
      <c r="R782" s="98" t="n">
        <v>0.0775</v>
      </c>
      <c r="T782" s="27">
        <f>YEAR(U782)</f>
        <v/>
      </c>
      <c r="U782" s="97" t="n">
        <v>45475</v>
      </c>
      <c r="V782" s="98" t="n">
        <v>0.07629999999999999</v>
      </c>
    </row>
    <row r="783">
      <c r="P783" s="27">
        <f>YEAR(Q783)</f>
        <v/>
      </c>
      <c r="Q783" s="95" t="n">
        <v>45433</v>
      </c>
      <c r="R783" s="96" t="n">
        <v>0.0775</v>
      </c>
      <c r="T783" s="27">
        <f>YEAR(U783)</f>
        <v/>
      </c>
      <c r="U783" s="95" t="n">
        <v>45476</v>
      </c>
      <c r="V783" s="96" t="n">
        <v>0.07629999999999999</v>
      </c>
    </row>
    <row r="784">
      <c r="P784" s="27">
        <f>YEAR(Q784)</f>
        <v/>
      </c>
      <c r="Q784" s="97" t="n">
        <v>45434</v>
      </c>
      <c r="R784" s="98" t="n">
        <v>0.0775</v>
      </c>
      <c r="T784" s="27">
        <f>YEAR(U784)</f>
        <v/>
      </c>
      <c r="U784" s="97" t="n">
        <v>45477</v>
      </c>
      <c r="V784" s="98" t="n">
        <v>0.07629999999999999</v>
      </c>
    </row>
    <row r="785">
      <c r="P785" s="27">
        <f>YEAR(Q785)</f>
        <v/>
      </c>
      <c r="Q785" s="95" t="n">
        <v>45435</v>
      </c>
      <c r="R785" s="96" t="n">
        <v>0.0775</v>
      </c>
      <c r="T785" s="27">
        <f>YEAR(U785)</f>
        <v/>
      </c>
      <c r="U785" s="95" t="n">
        <v>45478</v>
      </c>
      <c r="V785" s="96" t="n">
        <v>0.07629999999999999</v>
      </c>
    </row>
    <row r="786">
      <c r="P786" s="27">
        <f>YEAR(Q786)</f>
        <v/>
      </c>
      <c r="Q786" s="97" t="n">
        <v>45436</v>
      </c>
      <c r="R786" s="98" t="n">
        <v>0.0775</v>
      </c>
      <c r="T786" s="27">
        <f>YEAR(U786)</f>
        <v/>
      </c>
      <c r="U786" s="97" t="n">
        <v>45481</v>
      </c>
      <c r="V786" s="98" t="n">
        <v>0.07629999999999999</v>
      </c>
    </row>
    <row r="787">
      <c r="P787" s="27">
        <f>YEAR(Q787)</f>
        <v/>
      </c>
      <c r="Q787" s="95" t="n">
        <v>45439</v>
      </c>
      <c r="R787" s="96" t="n">
        <v>0.0775</v>
      </c>
      <c r="T787" s="27">
        <f>YEAR(U787)</f>
        <v/>
      </c>
      <c r="U787" s="95" t="n">
        <v>45482</v>
      </c>
      <c r="V787" s="96" t="n">
        <v>0.07629999999999999</v>
      </c>
    </row>
    <row r="788">
      <c r="P788" s="27">
        <f>YEAR(Q788)</f>
        <v/>
      </c>
      <c r="Q788" s="97" t="n">
        <v>45440</v>
      </c>
      <c r="R788" s="98" t="n">
        <v>0.0775</v>
      </c>
      <c r="T788" s="27">
        <f>YEAR(U788)</f>
        <v/>
      </c>
      <c r="U788" s="97" t="n">
        <v>45483</v>
      </c>
      <c r="V788" s="98" t="n">
        <v>0.07629999999999999</v>
      </c>
    </row>
    <row r="789">
      <c r="P789" s="27">
        <f>YEAR(Q789)</f>
        <v/>
      </c>
      <c r="Q789" s="95" t="n">
        <v>45441</v>
      </c>
      <c r="R789" s="96" t="n">
        <v>0.0775</v>
      </c>
      <c r="T789" s="27">
        <f>YEAR(U789)</f>
        <v/>
      </c>
      <c r="U789" s="95" t="n">
        <v>45484</v>
      </c>
      <c r="V789" s="96" t="n">
        <v>0.07629999999999999</v>
      </c>
    </row>
    <row r="790">
      <c r="P790" s="27">
        <f>YEAR(Q790)</f>
        <v/>
      </c>
      <c r="Q790" s="97" t="n">
        <v>45442</v>
      </c>
      <c r="R790" s="98" t="n">
        <v>0.0775</v>
      </c>
      <c r="T790" s="27">
        <f>YEAR(U790)</f>
        <v/>
      </c>
      <c r="U790" s="97" t="n">
        <v>45485</v>
      </c>
      <c r="V790" s="98" t="n">
        <v>0.07629999999999999</v>
      </c>
    </row>
    <row r="791">
      <c r="P791" s="27">
        <f>YEAR(Q791)</f>
        <v/>
      </c>
      <c r="Q791" s="95" t="n">
        <v>45443</v>
      </c>
      <c r="R791" s="96" t="n">
        <v>0.0775</v>
      </c>
      <c r="T791" s="27">
        <f>YEAR(U791)</f>
        <v/>
      </c>
      <c r="U791" s="95" t="n">
        <v>45488</v>
      </c>
      <c r="V791" s="96" t="n">
        <v>0.07629999999999999</v>
      </c>
    </row>
    <row r="792">
      <c r="P792" s="27">
        <f>YEAR(Q792)</f>
        <v/>
      </c>
      <c r="Q792" s="97" t="n">
        <v>45446</v>
      </c>
      <c r="R792" s="98" t="n">
        <v>0.0776</v>
      </c>
      <c r="T792" s="27">
        <f>YEAR(U792)</f>
        <v/>
      </c>
      <c r="U792" s="97" t="n">
        <v>45489</v>
      </c>
      <c r="V792" s="98" t="n">
        <v>0.07629999999999999</v>
      </c>
    </row>
    <row r="793">
      <c r="P793" s="27">
        <f>YEAR(Q793)</f>
        <v/>
      </c>
      <c r="Q793" s="95" t="n">
        <v>45447</v>
      </c>
      <c r="R793" s="96" t="n">
        <v>0.0776</v>
      </c>
      <c r="T793" s="27">
        <f>YEAR(U793)</f>
        <v/>
      </c>
      <c r="U793" s="95" t="n">
        <v>45490</v>
      </c>
      <c r="V793" s="96" t="n">
        <v>0.07629999999999999</v>
      </c>
    </row>
    <row r="794">
      <c r="P794" s="27">
        <f>YEAR(Q794)</f>
        <v/>
      </c>
      <c r="Q794" s="97" t="n">
        <v>45448</v>
      </c>
      <c r="R794" s="98" t="n">
        <v>0.0776</v>
      </c>
      <c r="T794" s="27">
        <f>YEAR(U794)</f>
        <v/>
      </c>
      <c r="U794" s="97" t="n">
        <v>45491</v>
      </c>
      <c r="V794" s="98" t="n">
        <v>0.07629999999999999</v>
      </c>
    </row>
    <row r="795">
      <c r="P795" s="27">
        <f>YEAR(Q795)</f>
        <v/>
      </c>
      <c r="Q795" s="95" t="n">
        <v>45449</v>
      </c>
      <c r="R795" s="96" t="n">
        <v>0.0776</v>
      </c>
      <c r="T795" s="27">
        <f>YEAR(U795)</f>
        <v/>
      </c>
      <c r="U795" s="95" t="n">
        <v>45492</v>
      </c>
      <c r="V795" s="96" t="n">
        <v>0.0738</v>
      </c>
    </row>
    <row r="796">
      <c r="P796" s="27">
        <f>YEAR(Q796)</f>
        <v/>
      </c>
      <c r="Q796" s="97" t="n">
        <v>45450</v>
      </c>
      <c r="R796" s="98" t="n">
        <v>0.0776</v>
      </c>
      <c r="T796" s="27">
        <f>YEAR(U796)</f>
        <v/>
      </c>
      <c r="U796" s="97" t="n">
        <v>45495</v>
      </c>
      <c r="V796" s="98" t="n">
        <v>0.07629999999999999</v>
      </c>
    </row>
    <row r="797">
      <c r="P797" s="27">
        <f>YEAR(Q797)</f>
        <v/>
      </c>
      <c r="Q797" s="95" t="n">
        <v>45453</v>
      </c>
      <c r="R797" s="96" t="n">
        <v>0.0776</v>
      </c>
      <c r="T797" s="27">
        <f>YEAR(U797)</f>
        <v/>
      </c>
      <c r="U797" s="95" t="n">
        <v>45496</v>
      </c>
      <c r="V797" s="96" t="n">
        <v>0.07629999999999999</v>
      </c>
    </row>
    <row r="798">
      <c r="P798" s="27">
        <f>YEAR(Q798)</f>
        <v/>
      </c>
      <c r="Q798" s="97" t="n">
        <v>45454</v>
      </c>
      <c r="R798" s="98" t="n">
        <v>0.0776</v>
      </c>
      <c r="T798" s="27">
        <f>YEAR(U798)</f>
        <v/>
      </c>
      <c r="U798" s="97" t="n">
        <v>45497</v>
      </c>
      <c r="V798" s="98" t="n">
        <v>0.07629999999999999</v>
      </c>
    </row>
    <row r="799">
      <c r="P799" s="27">
        <f>YEAR(Q799)</f>
        <v/>
      </c>
      <c r="Q799" s="95" t="n">
        <v>45455</v>
      </c>
      <c r="R799" s="96" t="n">
        <v>0.07588</v>
      </c>
      <c r="T799" s="27">
        <f>YEAR(U799)</f>
        <v/>
      </c>
      <c r="U799" s="95" t="n">
        <v>45498</v>
      </c>
      <c r="V799" s="96" t="n">
        <v>0.0738</v>
      </c>
    </row>
    <row r="800">
      <c r="P800" s="27">
        <f>YEAR(Q800)</f>
        <v/>
      </c>
      <c r="Q800" s="97" t="n">
        <v>45456</v>
      </c>
      <c r="R800" s="98" t="n">
        <v>0.07588</v>
      </c>
      <c r="T800" s="27">
        <f>YEAR(U800)</f>
        <v/>
      </c>
      <c r="U800" s="97" t="n">
        <v>45499</v>
      </c>
      <c r="V800" s="98" t="n">
        <v>0.07629999999999999</v>
      </c>
    </row>
    <row r="801">
      <c r="P801" s="27">
        <f>YEAR(Q801)</f>
        <v/>
      </c>
      <c r="Q801" s="95" t="n">
        <v>45457</v>
      </c>
      <c r="R801" s="96" t="n">
        <v>0.0776</v>
      </c>
      <c r="T801" s="27">
        <f>YEAR(U801)</f>
        <v/>
      </c>
      <c r="U801" s="95" t="n">
        <v>45502</v>
      </c>
      <c r="V801" s="96" t="n">
        <v>0.07629999999999999</v>
      </c>
    </row>
    <row r="802">
      <c r="P802" s="27">
        <f>YEAR(Q802)</f>
        <v/>
      </c>
      <c r="Q802" s="97" t="n">
        <v>45461</v>
      </c>
      <c r="R802" s="98" t="n">
        <v>0.0776</v>
      </c>
      <c r="T802" s="27">
        <f>YEAR(U802)</f>
        <v/>
      </c>
      <c r="U802" s="97" t="n">
        <v>45503</v>
      </c>
      <c r="V802" s="98" t="n">
        <v>0.07629999999999999</v>
      </c>
    </row>
    <row r="803">
      <c r="P803" s="27">
        <f>YEAR(Q803)</f>
        <v/>
      </c>
      <c r="Q803" s="95" t="n">
        <v>45462</v>
      </c>
      <c r="R803" s="96" t="n">
        <v>0.0776</v>
      </c>
      <c r="T803" s="27">
        <f>YEAR(U803)</f>
        <v/>
      </c>
      <c r="U803" s="95" t="n">
        <v>45504</v>
      </c>
      <c r="V803" s="96" t="n">
        <v>0.07629999999999999</v>
      </c>
    </row>
    <row r="804">
      <c r="P804" s="27">
        <f>YEAR(Q804)</f>
        <v/>
      </c>
      <c r="Q804" s="97" t="n">
        <v>45463</v>
      </c>
      <c r="R804" s="98" t="n">
        <v>0.0776</v>
      </c>
      <c r="T804" s="27">
        <f>YEAR(U804)</f>
        <v/>
      </c>
      <c r="U804" s="97" t="n">
        <v>45505</v>
      </c>
      <c r="V804" s="98" t="n">
        <v>0.07629999999999999</v>
      </c>
    </row>
    <row r="805">
      <c r="P805" s="27">
        <f>YEAR(Q805)</f>
        <v/>
      </c>
      <c r="Q805" s="95" t="n">
        <v>45464</v>
      </c>
      <c r="R805" s="96" t="n">
        <v>0.07769999999999999</v>
      </c>
      <c r="T805" s="27">
        <f>YEAR(U805)</f>
        <v/>
      </c>
      <c r="U805" s="95" t="n">
        <v>45506</v>
      </c>
      <c r="V805" s="96" t="n">
        <v>0.07629999999999999</v>
      </c>
    </row>
    <row r="806">
      <c r="P806" s="27">
        <f>YEAR(Q806)</f>
        <v/>
      </c>
      <c r="Q806" s="97" t="n">
        <v>45467</v>
      </c>
      <c r="R806" s="98" t="n">
        <v>0.07769999999999999</v>
      </c>
      <c r="T806" s="27">
        <f>YEAR(U806)</f>
        <v/>
      </c>
      <c r="U806" s="97" t="n">
        <v>45510</v>
      </c>
      <c r="V806" s="98" t="n">
        <v>0.07629999999999999</v>
      </c>
    </row>
    <row r="807">
      <c r="P807" s="27">
        <f>YEAR(Q807)</f>
        <v/>
      </c>
      <c r="Q807" s="95" t="n">
        <v>45468</v>
      </c>
      <c r="R807" s="96" t="n">
        <v>0.07769999999999999</v>
      </c>
      <c r="T807" s="27">
        <f>YEAR(U807)</f>
        <v/>
      </c>
      <c r="U807" s="95" t="n">
        <v>45512</v>
      </c>
      <c r="V807" s="96" t="n">
        <v>0.07629999999999999</v>
      </c>
    </row>
    <row r="808">
      <c r="P808" s="27">
        <f>YEAR(Q808)</f>
        <v/>
      </c>
      <c r="Q808" s="97" t="n">
        <v>45469</v>
      </c>
      <c r="R808" s="98" t="n">
        <v>0.07769999999999999</v>
      </c>
      <c r="T808" s="27">
        <f>YEAR(U808)</f>
        <v/>
      </c>
      <c r="U808" s="97" t="n">
        <v>45513</v>
      </c>
      <c r="V808" s="98" t="n">
        <v>0.07629999999999999</v>
      </c>
    </row>
    <row r="809">
      <c r="P809" s="27">
        <f>YEAR(Q809)</f>
        <v/>
      </c>
      <c r="Q809" s="95" t="n">
        <v>45470</v>
      </c>
      <c r="R809" s="96" t="n">
        <v>0.0795</v>
      </c>
      <c r="T809" s="27">
        <f>YEAR(U809)</f>
        <v/>
      </c>
      <c r="U809" s="95" t="n">
        <v>45516</v>
      </c>
      <c r="V809" s="96" t="n">
        <v>0.07629999999999999</v>
      </c>
    </row>
    <row r="810">
      <c r="P810" s="27">
        <f>YEAR(Q810)</f>
        <v/>
      </c>
      <c r="Q810" s="97" t="n">
        <v>45471</v>
      </c>
      <c r="R810" s="98" t="n">
        <v>0.0795</v>
      </c>
      <c r="T810" s="27">
        <f>YEAR(U810)</f>
        <v/>
      </c>
      <c r="U810" s="97" t="n">
        <v>45517</v>
      </c>
      <c r="V810" s="98" t="n">
        <v>0.07629999999999999</v>
      </c>
    </row>
    <row r="811">
      <c r="P811" s="27">
        <f>YEAR(Q811)</f>
        <v/>
      </c>
      <c r="Q811" s="95" t="n">
        <v>45474</v>
      </c>
      <c r="R811" s="96" t="n">
        <v>0.0795</v>
      </c>
      <c r="T811" s="27">
        <f>YEAR(U811)</f>
        <v/>
      </c>
      <c r="U811" s="95" t="n">
        <v>45518</v>
      </c>
      <c r="V811" s="96" t="n">
        <v>0.0789</v>
      </c>
    </row>
    <row r="812">
      <c r="P812" s="27">
        <f>YEAR(Q812)</f>
        <v/>
      </c>
      <c r="Q812" s="97" t="n">
        <v>45475</v>
      </c>
      <c r="R812" s="98" t="n">
        <v>0.07675</v>
      </c>
      <c r="T812" s="27">
        <f>YEAR(U812)</f>
        <v/>
      </c>
      <c r="U812" s="97" t="n">
        <v>45520</v>
      </c>
      <c r="V812" s="98" t="n">
        <v>0.0789</v>
      </c>
    </row>
    <row r="813">
      <c r="P813" s="27">
        <f>YEAR(Q813)</f>
        <v/>
      </c>
      <c r="Q813" s="95" t="n">
        <v>45476</v>
      </c>
      <c r="R813" s="96" t="n">
        <v>0.07675</v>
      </c>
      <c r="T813" s="27">
        <f>YEAR(U813)</f>
        <v/>
      </c>
      <c r="U813" s="95" t="n">
        <v>45523</v>
      </c>
      <c r="V813" s="96" t="n">
        <v>0.07629999999999999</v>
      </c>
    </row>
    <row r="814">
      <c r="P814" s="27">
        <f>YEAR(Q814)</f>
        <v/>
      </c>
      <c r="Q814" s="97" t="n">
        <v>45477</v>
      </c>
      <c r="R814" s="98" t="n">
        <v>0.0795</v>
      </c>
      <c r="T814" s="27">
        <f>YEAR(U814)</f>
        <v/>
      </c>
      <c r="U814" s="97" t="n">
        <v>45524</v>
      </c>
      <c r="V814" s="98" t="n">
        <v>0.07629999999999999</v>
      </c>
    </row>
    <row r="815">
      <c r="P815" s="27">
        <f>YEAR(Q815)</f>
        <v/>
      </c>
      <c r="Q815" s="95" t="n">
        <v>45478</v>
      </c>
      <c r="R815" s="96" t="n">
        <v>0.0795</v>
      </c>
      <c r="T815" s="27">
        <f>YEAR(U815)</f>
        <v/>
      </c>
      <c r="U815" s="95" t="n">
        <v>45525</v>
      </c>
      <c r="V815" s="96" t="n">
        <v>0.07629999999999999</v>
      </c>
    </row>
    <row r="816">
      <c r="P816" s="27">
        <f>YEAR(Q816)</f>
        <v/>
      </c>
      <c r="Q816" s="97" t="n">
        <v>45481</v>
      </c>
      <c r="R816" s="98" t="n">
        <v>0.0795</v>
      </c>
      <c r="T816" s="27">
        <f>YEAR(U816)</f>
        <v/>
      </c>
      <c r="U816" s="97" t="n">
        <v>45526</v>
      </c>
      <c r="V816" s="98" t="n">
        <v>0.07629999999999999</v>
      </c>
    </row>
    <row r="817">
      <c r="P817" s="27">
        <f>YEAR(Q817)</f>
        <v/>
      </c>
      <c r="Q817" s="95" t="n">
        <v>45482</v>
      </c>
      <c r="R817" s="96" t="n">
        <v>0.0795</v>
      </c>
      <c r="T817" s="27">
        <f>YEAR(U817)</f>
        <v/>
      </c>
      <c r="U817" s="95" t="n">
        <v>45527</v>
      </c>
      <c r="V817" s="96" t="n">
        <v>0.07629999999999999</v>
      </c>
    </row>
    <row r="818">
      <c r="P818" s="27">
        <f>YEAR(Q818)</f>
        <v/>
      </c>
      <c r="Q818" s="97" t="n">
        <v>45483</v>
      </c>
      <c r="R818" s="98" t="n">
        <v>0.0795</v>
      </c>
      <c r="T818" s="27">
        <f>YEAR(U818)</f>
        <v/>
      </c>
      <c r="U818" s="97" t="n">
        <v>45530</v>
      </c>
      <c r="V818" s="98" t="n">
        <v>0.07629999999999999</v>
      </c>
    </row>
    <row r="819">
      <c r="P819" s="27">
        <f>YEAR(Q819)</f>
        <v/>
      </c>
      <c r="Q819" s="95" t="n">
        <v>45484</v>
      </c>
      <c r="R819" s="96" t="n">
        <v>0.0795</v>
      </c>
      <c r="T819" s="27">
        <f>YEAR(U819)</f>
        <v/>
      </c>
      <c r="U819" s="95" t="n">
        <v>45531</v>
      </c>
      <c r="V819" s="96" t="n">
        <v>0.07629999999999999</v>
      </c>
    </row>
    <row r="820">
      <c r="P820" s="27">
        <f>YEAR(Q820)</f>
        <v/>
      </c>
      <c r="Q820" s="97" t="n">
        <v>45485</v>
      </c>
      <c r="R820" s="98" t="n">
        <v>0.0795</v>
      </c>
      <c r="T820" s="27">
        <f>YEAR(U820)</f>
        <v/>
      </c>
      <c r="U820" s="97" t="n">
        <v>45532</v>
      </c>
      <c r="V820" s="98" t="n">
        <v>0.07629999999999999</v>
      </c>
    </row>
    <row r="821">
      <c r="P821" s="27">
        <f>YEAR(Q821)</f>
        <v/>
      </c>
      <c r="Q821" s="95" t="n">
        <v>45488</v>
      </c>
      <c r="R821" s="96" t="n">
        <v>0.0795</v>
      </c>
      <c r="T821" s="27">
        <f>YEAR(U821)</f>
        <v/>
      </c>
      <c r="U821" s="95" t="n">
        <v>45533</v>
      </c>
      <c r="V821" s="96" t="n">
        <v>0.0788</v>
      </c>
    </row>
    <row r="822">
      <c r="P822" s="27">
        <f>YEAR(Q822)</f>
        <v/>
      </c>
      <c r="Q822" s="97" t="n">
        <v>45489</v>
      </c>
      <c r="R822" s="98" t="n">
        <v>0.0795</v>
      </c>
      <c r="T822" s="27">
        <f>YEAR(U822)</f>
        <v/>
      </c>
      <c r="U822" s="97" t="n">
        <v>45534</v>
      </c>
      <c r="V822" s="98" t="n">
        <v>0.0788</v>
      </c>
    </row>
    <row r="823">
      <c r="P823" s="27">
        <f>YEAR(Q823)</f>
        <v/>
      </c>
      <c r="Q823" s="95" t="n">
        <v>45490</v>
      </c>
      <c r="R823" s="96" t="n">
        <v>0.0795</v>
      </c>
      <c r="T823" s="27">
        <f>YEAR(U823)</f>
        <v/>
      </c>
      <c r="U823" s="95" t="n">
        <v>45537</v>
      </c>
      <c r="V823" s="96" t="n">
        <v>0.0788</v>
      </c>
    </row>
    <row r="824">
      <c r="P824" s="27">
        <f>YEAR(Q824)</f>
        <v/>
      </c>
      <c r="Q824" s="97" t="n">
        <v>45491</v>
      </c>
      <c r="R824" s="98" t="n">
        <v>0.0795</v>
      </c>
      <c r="T824" s="27">
        <f>YEAR(U824)</f>
        <v/>
      </c>
      <c r="U824" s="97" t="n">
        <v>45538</v>
      </c>
      <c r="V824" s="98" t="n">
        <v>0.0788</v>
      </c>
    </row>
    <row r="825">
      <c r="P825" s="27">
        <f>YEAR(Q825)</f>
        <v/>
      </c>
      <c r="Q825" s="95" t="n">
        <v>45492</v>
      </c>
      <c r="R825" s="96" t="n">
        <v>0.077</v>
      </c>
      <c r="T825" s="27">
        <f>YEAR(U825)</f>
        <v/>
      </c>
      <c r="U825" s="95" t="n">
        <v>45539</v>
      </c>
      <c r="V825" s="96" t="n">
        <v>0.0788</v>
      </c>
    </row>
    <row r="826">
      <c r="P826" s="27">
        <f>YEAR(Q826)</f>
        <v/>
      </c>
      <c r="Q826" s="97" t="n">
        <v>45495</v>
      </c>
      <c r="R826" s="98" t="n">
        <v>0.0795</v>
      </c>
      <c r="T826" s="27">
        <f>YEAR(U826)</f>
        <v/>
      </c>
      <c r="U826" s="97" t="n">
        <v>45540</v>
      </c>
      <c r="V826" s="98" t="n">
        <v>0.0788</v>
      </c>
    </row>
    <row r="827">
      <c r="P827" s="27">
        <f>YEAR(Q827)</f>
        <v/>
      </c>
      <c r="Q827" s="95" t="n">
        <v>45496</v>
      </c>
      <c r="R827" s="96" t="n">
        <v>0.0795</v>
      </c>
      <c r="T827" s="27">
        <f>YEAR(U827)</f>
        <v/>
      </c>
      <c r="U827" s="95" t="n">
        <v>45541</v>
      </c>
      <c r="V827" s="96" t="n">
        <v>0.0776</v>
      </c>
    </row>
    <row r="828">
      <c r="P828" s="27">
        <f>YEAR(Q828)</f>
        <v/>
      </c>
      <c r="Q828" s="97" t="n">
        <v>45497</v>
      </c>
      <c r="R828" s="98" t="n">
        <v>0.0795</v>
      </c>
      <c r="T828" s="27">
        <f>YEAR(U828)</f>
        <v/>
      </c>
      <c r="U828" s="97" t="n">
        <v>45544</v>
      </c>
      <c r="V828" s="98" t="n">
        <v>0.0776</v>
      </c>
    </row>
    <row r="829">
      <c r="P829" s="27">
        <f>YEAR(Q829)</f>
        <v/>
      </c>
      <c r="Q829" s="95" t="n">
        <v>45498</v>
      </c>
      <c r="R829" s="96" t="n">
        <v>0.077</v>
      </c>
      <c r="T829" s="27">
        <f>YEAR(U829)</f>
        <v/>
      </c>
      <c r="U829" s="95" t="n">
        <v>45545</v>
      </c>
      <c r="V829" s="96" t="n">
        <v>0.0776</v>
      </c>
    </row>
    <row r="830">
      <c r="P830" s="27">
        <f>YEAR(Q830)</f>
        <v/>
      </c>
      <c r="Q830" s="97" t="n">
        <v>45499</v>
      </c>
      <c r="R830" s="98" t="n">
        <v>0.0795</v>
      </c>
      <c r="T830" s="27">
        <f>YEAR(U830)</f>
        <v/>
      </c>
      <c r="U830" s="97" t="n">
        <v>45546</v>
      </c>
      <c r="V830" s="98" t="n">
        <v>0.0776</v>
      </c>
    </row>
    <row r="831">
      <c r="P831" s="27">
        <f>YEAR(Q831)</f>
        <v/>
      </c>
      <c r="Q831" s="95" t="n">
        <v>45502</v>
      </c>
      <c r="R831" s="96" t="n">
        <v>0.0795</v>
      </c>
      <c r="T831" s="27">
        <f>YEAR(U831)</f>
        <v/>
      </c>
      <c r="U831" s="95" t="n">
        <v>45547</v>
      </c>
      <c r="V831" s="96" t="n">
        <v>0.0776</v>
      </c>
    </row>
    <row r="832">
      <c r="P832" s="27">
        <f>YEAR(Q832)</f>
        <v/>
      </c>
      <c r="Q832" s="97" t="n">
        <v>45503</v>
      </c>
      <c r="R832" s="98" t="n">
        <v>0.0795</v>
      </c>
      <c r="T832" s="27">
        <f>YEAR(U832)</f>
        <v/>
      </c>
      <c r="U832" s="97" t="n">
        <v>45548</v>
      </c>
      <c r="V832" s="98" t="n">
        <v>0.0776</v>
      </c>
    </row>
    <row r="833">
      <c r="P833" s="27">
        <f>YEAR(Q833)</f>
        <v/>
      </c>
      <c r="Q833" s="95" t="n">
        <v>45504</v>
      </c>
      <c r="R833" s="96" t="n">
        <v>0.0795</v>
      </c>
      <c r="T833" s="27">
        <f>YEAR(U833)</f>
        <v/>
      </c>
      <c r="U833" s="95" t="n">
        <v>45551</v>
      </c>
      <c r="V833" s="96" t="n">
        <v>0.0776</v>
      </c>
    </row>
    <row r="834">
      <c r="P834" s="27">
        <f>YEAR(Q834)</f>
        <v/>
      </c>
      <c r="Q834" s="97" t="n">
        <v>45505</v>
      </c>
      <c r="R834" s="98" t="n">
        <v>0.0795</v>
      </c>
      <c r="T834" s="27">
        <f>YEAR(U834)</f>
        <v/>
      </c>
      <c r="U834" s="97" t="n">
        <v>45552</v>
      </c>
      <c r="V834" s="98" t="n">
        <v>0.0776</v>
      </c>
    </row>
    <row r="835">
      <c r="P835" s="27">
        <f>YEAR(Q835)</f>
        <v/>
      </c>
      <c r="Q835" s="95" t="n">
        <v>45506</v>
      </c>
      <c r="R835" s="96" t="n">
        <v>0.0795</v>
      </c>
      <c r="T835" s="27">
        <f>YEAR(U835)</f>
        <v/>
      </c>
      <c r="U835" s="95" t="n">
        <v>45553</v>
      </c>
      <c r="V835" s="96" t="n">
        <v>0.0776</v>
      </c>
    </row>
    <row r="836">
      <c r="P836" s="27">
        <f>YEAR(Q836)</f>
        <v/>
      </c>
      <c r="Q836" s="97" t="n">
        <v>45509</v>
      </c>
      <c r="R836" s="98" t="n">
        <v>0.0794</v>
      </c>
      <c r="T836" s="27">
        <f>YEAR(U836)</f>
        <v/>
      </c>
      <c r="U836" s="97" t="n">
        <v>45554</v>
      </c>
      <c r="V836" s="98" t="n">
        <v>0.0776</v>
      </c>
    </row>
    <row r="837">
      <c r="P837" s="27">
        <f>YEAR(Q837)</f>
        <v/>
      </c>
      <c r="Q837" s="95" t="n">
        <v>45510</v>
      </c>
      <c r="R837" s="96" t="n">
        <v>0.0794</v>
      </c>
      <c r="T837" s="27">
        <f>YEAR(U837)</f>
        <v/>
      </c>
      <c r="U837" s="95" t="n">
        <v>45555</v>
      </c>
      <c r="V837" s="96" t="n">
        <v>0.0774</v>
      </c>
    </row>
    <row r="838">
      <c r="P838" s="27">
        <f>YEAR(Q838)</f>
        <v/>
      </c>
      <c r="Q838" s="97" t="n">
        <v>45512</v>
      </c>
      <c r="R838" s="98" t="n">
        <v>0.0794</v>
      </c>
      <c r="T838" s="27">
        <f>YEAR(U838)</f>
        <v/>
      </c>
      <c r="U838" s="97" t="n">
        <v>45558</v>
      </c>
      <c r="V838" s="98" t="n">
        <v>0.07730000000000001</v>
      </c>
    </row>
    <row r="839">
      <c r="P839" s="27">
        <f>YEAR(Q839)</f>
        <v/>
      </c>
      <c r="Q839" s="95" t="n">
        <v>45513</v>
      </c>
      <c r="R839" s="96" t="n">
        <v>0.0794</v>
      </c>
      <c r="T839" s="27">
        <f>YEAR(U839)</f>
        <v/>
      </c>
      <c r="U839" s="95" t="n">
        <v>45559</v>
      </c>
      <c r="V839" s="96" t="n">
        <v>0.0725</v>
      </c>
    </row>
    <row r="840">
      <c r="P840" s="27">
        <f>YEAR(Q840)</f>
        <v/>
      </c>
      <c r="Q840" s="97" t="n">
        <v>45516</v>
      </c>
      <c r="R840" s="98" t="n">
        <v>0.0794</v>
      </c>
      <c r="T840" s="27">
        <f>YEAR(U840)</f>
        <v/>
      </c>
      <c r="U840" s="97" t="n">
        <v>45560</v>
      </c>
      <c r="V840" s="98" t="n">
        <v>0.06849999999999999</v>
      </c>
    </row>
    <row r="841">
      <c r="P841" s="27">
        <f>YEAR(Q841)</f>
        <v/>
      </c>
      <c r="Q841" s="95" t="n">
        <v>45517</v>
      </c>
      <c r="R841" s="96" t="n">
        <v>0.0794</v>
      </c>
      <c r="T841" s="27">
        <f>YEAR(U841)</f>
        <v/>
      </c>
      <c r="U841" s="95" t="n">
        <v>45561</v>
      </c>
      <c r="V841" s="96" t="n">
        <v>0.06849999999999999</v>
      </c>
    </row>
    <row r="842">
      <c r="P842" s="27">
        <f>YEAR(Q842)</f>
        <v/>
      </c>
      <c r="Q842" s="97" t="n">
        <v>45518</v>
      </c>
      <c r="R842" s="98" t="n">
        <v>0.0779</v>
      </c>
      <c r="T842" s="27">
        <f>YEAR(U842)</f>
        <v/>
      </c>
      <c r="U842" s="97" t="n">
        <v>45562</v>
      </c>
      <c r="V842" s="98" t="n">
        <v>0.06849999999999999</v>
      </c>
    </row>
    <row r="843">
      <c r="P843" s="27">
        <f>YEAR(Q843)</f>
        <v/>
      </c>
      <c r="Q843" s="95" t="n">
        <v>45520</v>
      </c>
      <c r="R843" s="96" t="n">
        <v>0.078</v>
      </c>
      <c r="T843" s="27">
        <f>YEAR(U843)</f>
        <v/>
      </c>
      <c r="U843" s="95" t="n">
        <v>45565</v>
      </c>
      <c r="V843" s="96" t="n">
        <v>0.06849999999999999</v>
      </c>
    </row>
    <row r="844">
      <c r="P844" s="27">
        <f>YEAR(Q844)</f>
        <v/>
      </c>
      <c r="Q844" s="97" t="n">
        <v>45523</v>
      </c>
      <c r="R844" s="98" t="n">
        <v>0.0794</v>
      </c>
      <c r="T844" s="27">
        <f>YEAR(U844)</f>
        <v/>
      </c>
      <c r="U844" s="97" t="n">
        <v>45566</v>
      </c>
      <c r="V844" s="98" t="n">
        <v>0.06849999999999999</v>
      </c>
    </row>
    <row r="845">
      <c r="P845" s="27">
        <f>YEAR(Q845)</f>
        <v/>
      </c>
      <c r="Q845" s="95" t="n">
        <v>45524</v>
      </c>
      <c r="R845" s="96" t="n">
        <v>0.0794</v>
      </c>
      <c r="T845" s="27">
        <f>YEAR(U845)</f>
        <v/>
      </c>
      <c r="U845" s="95" t="n">
        <v>45567</v>
      </c>
      <c r="V845" s="96" t="n">
        <v>0.06849999999999999</v>
      </c>
    </row>
    <row r="846">
      <c r="P846" s="27">
        <f>YEAR(Q846)</f>
        <v/>
      </c>
      <c r="Q846" s="97" t="n">
        <v>45525</v>
      </c>
      <c r="R846" s="98" t="n">
        <v>0.0794</v>
      </c>
      <c r="T846" s="27">
        <f>YEAR(U846)</f>
        <v/>
      </c>
      <c r="U846" s="97" t="n">
        <v>45568</v>
      </c>
      <c r="V846" s="98" t="n">
        <v>0.06849999999999999</v>
      </c>
    </row>
    <row r="847">
      <c r="P847" s="27">
        <f>YEAR(Q847)</f>
        <v/>
      </c>
      <c r="Q847" s="95" t="n">
        <v>45526</v>
      </c>
      <c r="R847" s="96" t="n">
        <v>0.0794</v>
      </c>
      <c r="T847" s="27">
        <f>YEAR(U847)</f>
        <v/>
      </c>
      <c r="U847" s="95" t="n">
        <v>45569</v>
      </c>
      <c r="V847" s="96" t="n">
        <v>0.06849999999999999</v>
      </c>
    </row>
    <row r="848">
      <c r="P848" s="27">
        <f>YEAR(Q848)</f>
        <v/>
      </c>
      <c r="Q848" s="97" t="n">
        <v>45527</v>
      </c>
      <c r="R848" s="98" t="n">
        <v>0.0794</v>
      </c>
      <c r="T848" s="27">
        <f>YEAR(U848)</f>
        <v/>
      </c>
      <c r="U848" s="97" t="n">
        <v>45572</v>
      </c>
      <c r="V848" s="98" t="n">
        <v>0.06849999999999999</v>
      </c>
    </row>
    <row r="849">
      <c r="P849" s="27">
        <f>YEAR(Q849)</f>
        <v/>
      </c>
      <c r="Q849" s="95" t="n">
        <v>45530</v>
      </c>
      <c r="R849" s="96" t="n">
        <v>0.0794</v>
      </c>
      <c r="T849" s="27">
        <f>YEAR(U849)</f>
        <v/>
      </c>
      <c r="U849" s="95" t="n">
        <v>45573</v>
      </c>
      <c r="V849" s="96" t="n">
        <v>0.06849999999999999</v>
      </c>
    </row>
    <row r="850">
      <c r="P850" s="27">
        <f>YEAR(Q850)</f>
        <v/>
      </c>
      <c r="Q850" s="97" t="n">
        <v>45531</v>
      </c>
      <c r="R850" s="98" t="n">
        <v>0.0794</v>
      </c>
      <c r="T850" s="27">
        <f>YEAR(U850)</f>
        <v/>
      </c>
      <c r="U850" s="97" t="n">
        <v>45574</v>
      </c>
      <c r="V850" s="98" t="n">
        <v>0.06849999999999999</v>
      </c>
    </row>
    <row r="851">
      <c r="P851" s="27">
        <f>YEAR(Q851)</f>
        <v/>
      </c>
      <c r="Q851" s="95" t="n">
        <v>45532</v>
      </c>
      <c r="R851" s="96" t="n">
        <v>0.0794</v>
      </c>
      <c r="T851" s="27">
        <f>YEAR(U851)</f>
        <v/>
      </c>
      <c r="U851" s="95" t="n">
        <v>45575</v>
      </c>
      <c r="V851" s="96" t="n">
        <v>0.06849999999999999</v>
      </c>
    </row>
    <row r="852">
      <c r="P852" s="27">
        <f>YEAR(Q852)</f>
        <v/>
      </c>
      <c r="Q852" s="97" t="n">
        <v>45533</v>
      </c>
      <c r="R852" s="98" t="n">
        <v>0.078</v>
      </c>
      <c r="T852" s="27">
        <f>YEAR(U852)</f>
        <v/>
      </c>
      <c r="U852" s="97" t="n">
        <v>45576</v>
      </c>
      <c r="V852" s="98" t="n">
        <v>0.06860000000000001</v>
      </c>
    </row>
    <row r="853">
      <c r="P853" s="27">
        <f>YEAR(Q853)</f>
        <v/>
      </c>
      <c r="Q853" s="95" t="n">
        <v>45534</v>
      </c>
      <c r="R853" s="96" t="n">
        <v>0.078</v>
      </c>
      <c r="T853" s="27">
        <f>YEAR(U853)</f>
        <v/>
      </c>
      <c r="U853" s="95" t="n">
        <v>45579</v>
      </c>
      <c r="V853" s="96" t="n">
        <v>0.06860000000000001</v>
      </c>
    </row>
    <row r="854">
      <c r="P854" s="27">
        <f>YEAR(Q854)</f>
        <v/>
      </c>
      <c r="Q854" s="97" t="n">
        <v>45537</v>
      </c>
      <c r="R854" s="98" t="n">
        <v>0.078</v>
      </c>
      <c r="T854" s="27">
        <f>YEAR(U854)</f>
        <v/>
      </c>
      <c r="U854" s="97" t="n">
        <v>45580</v>
      </c>
      <c r="V854" s="98" t="n">
        <v>0.06860000000000001</v>
      </c>
    </row>
    <row r="855">
      <c r="P855" s="27">
        <f>YEAR(Q855)</f>
        <v/>
      </c>
      <c r="Q855" s="95" t="n">
        <v>45538</v>
      </c>
      <c r="R855" s="96" t="n">
        <v>0.078</v>
      </c>
      <c r="T855" s="27">
        <f>YEAR(U855)</f>
        <v/>
      </c>
      <c r="U855" s="95" t="n">
        <v>45582</v>
      </c>
      <c r="V855" s="96" t="n">
        <v>0.06860000000000001</v>
      </c>
    </row>
    <row r="856">
      <c r="P856" s="27">
        <f>YEAR(Q856)</f>
        <v/>
      </c>
      <c r="Q856" s="97" t="n">
        <v>45539</v>
      </c>
      <c r="R856" s="98" t="n">
        <v>0.078</v>
      </c>
      <c r="T856" s="27">
        <f>YEAR(U856)</f>
        <v/>
      </c>
      <c r="U856" s="97" t="n">
        <v>45583</v>
      </c>
      <c r="V856" s="98" t="n">
        <v>0.06860000000000001</v>
      </c>
    </row>
    <row r="857">
      <c r="P857" s="27">
        <f>YEAR(Q857)</f>
        <v/>
      </c>
      <c r="Q857" s="95" t="n">
        <v>45540</v>
      </c>
      <c r="R857" s="96" t="n">
        <v>0.078</v>
      </c>
      <c r="T857" s="27">
        <f>YEAR(U857)</f>
        <v/>
      </c>
      <c r="U857" s="95" t="n">
        <v>45586</v>
      </c>
      <c r="V857" s="96" t="n">
        <v>0.0706</v>
      </c>
    </row>
    <row r="858">
      <c r="P858" s="27">
        <f>YEAR(Q858)</f>
        <v/>
      </c>
      <c r="Q858" s="97" t="n">
        <v>45541</v>
      </c>
      <c r="R858" s="98" t="n">
        <v>0.0765</v>
      </c>
      <c r="T858" s="27">
        <f>YEAR(U858)</f>
        <v/>
      </c>
      <c r="U858" s="97" t="n">
        <v>45587</v>
      </c>
      <c r="V858" s="98" t="n">
        <v>0.0706</v>
      </c>
    </row>
    <row r="859">
      <c r="P859" s="27">
        <f>YEAR(Q859)</f>
        <v/>
      </c>
      <c r="Q859" s="95" t="n">
        <v>45544</v>
      </c>
      <c r="R859" s="96" t="n">
        <v>0.0765</v>
      </c>
      <c r="T859" s="27">
        <f>YEAR(U859)</f>
        <v/>
      </c>
      <c r="U859" s="95" t="n">
        <v>45588</v>
      </c>
      <c r="V859" s="96" t="n">
        <v>0.0706</v>
      </c>
    </row>
    <row r="860">
      <c r="P860" s="27">
        <f>YEAR(Q860)</f>
        <v/>
      </c>
      <c r="Q860" s="97" t="n">
        <v>45545</v>
      </c>
      <c r="R860" s="98" t="n">
        <v>0.0765</v>
      </c>
      <c r="T860" s="27">
        <f>YEAR(U860)</f>
        <v/>
      </c>
      <c r="U860" s="97" t="n">
        <v>45589</v>
      </c>
      <c r="V860" s="98" t="n">
        <v>0.0706</v>
      </c>
    </row>
    <row r="861">
      <c r="P861" s="27">
        <f>YEAR(Q861)</f>
        <v/>
      </c>
      <c r="Q861" s="95" t="n">
        <v>45546</v>
      </c>
      <c r="R861" s="96" t="n">
        <v>0.0765</v>
      </c>
      <c r="T861" s="27">
        <f>YEAR(U861)</f>
        <v/>
      </c>
      <c r="U861" s="95" t="n">
        <v>45590</v>
      </c>
      <c r="V861" s="96" t="n">
        <v>0.0706</v>
      </c>
    </row>
    <row r="862">
      <c r="P862" s="27">
        <f>YEAR(Q862)</f>
        <v/>
      </c>
      <c r="Q862" s="97" t="n">
        <v>45547</v>
      </c>
      <c r="R862" s="98" t="n">
        <v>0.0765</v>
      </c>
      <c r="T862" s="27">
        <f>YEAR(U862)</f>
        <v/>
      </c>
      <c r="U862" s="97" t="n">
        <v>45593</v>
      </c>
      <c r="V862" s="98" t="n">
        <v>0.0707</v>
      </c>
    </row>
    <row r="863">
      <c r="P863" s="27">
        <f>YEAR(Q863)</f>
        <v/>
      </c>
      <c r="Q863" s="95" t="n">
        <v>45548</v>
      </c>
      <c r="R863" s="96" t="n">
        <v>0.0765</v>
      </c>
      <c r="T863" s="27">
        <f>YEAR(U863)</f>
        <v/>
      </c>
      <c r="U863" s="95" t="n">
        <v>45594</v>
      </c>
      <c r="V863" s="96" t="n">
        <v>0.0707</v>
      </c>
    </row>
    <row r="864">
      <c r="P864" s="27">
        <f>YEAR(Q864)</f>
        <v/>
      </c>
      <c r="Q864" s="97" t="n">
        <v>45551</v>
      </c>
      <c r="R864" s="98" t="n">
        <v>0.0765</v>
      </c>
      <c r="T864" s="27">
        <f>YEAR(U864)</f>
        <v/>
      </c>
      <c r="U864" s="97" t="n">
        <v>45595</v>
      </c>
      <c r="V864" s="98" t="n">
        <v>0.0707</v>
      </c>
    </row>
    <row r="865">
      <c r="P865" s="27">
        <f>YEAR(Q865)</f>
        <v/>
      </c>
      <c r="Q865" s="95" t="n">
        <v>45552</v>
      </c>
      <c r="R865" s="96" t="n">
        <v>0.0765</v>
      </c>
      <c r="T865" s="27">
        <f>YEAR(U865)</f>
        <v/>
      </c>
      <c r="U865" s="95" t="n">
        <v>45596</v>
      </c>
      <c r="V865" s="96" t="n">
        <v>0.0707</v>
      </c>
    </row>
    <row r="866">
      <c r="P866" s="27">
        <f>YEAR(Q866)</f>
        <v/>
      </c>
      <c r="Q866" s="97" t="n">
        <v>45553</v>
      </c>
      <c r="R866" s="98" t="n">
        <v>0.0765</v>
      </c>
      <c r="T866" s="27">
        <f>YEAR(U866)</f>
        <v/>
      </c>
      <c r="U866" s="97" t="n">
        <v>45600</v>
      </c>
      <c r="V866" s="98" t="n">
        <v>0.0707</v>
      </c>
    </row>
    <row r="867">
      <c r="P867" s="27">
        <f>YEAR(Q867)</f>
        <v/>
      </c>
      <c r="Q867" s="95" t="n">
        <v>45554</v>
      </c>
      <c r="R867" s="96" t="n">
        <v>0.0765</v>
      </c>
      <c r="T867" s="27">
        <f>YEAR(U867)</f>
        <v/>
      </c>
      <c r="U867" s="95" t="n">
        <v>45601</v>
      </c>
      <c r="V867" s="96" t="n">
        <v>0.0707</v>
      </c>
    </row>
    <row r="868">
      <c r="P868" s="27">
        <f>YEAR(Q868)</f>
        <v/>
      </c>
      <c r="Q868" s="97" t="n">
        <v>45555</v>
      </c>
      <c r="R868" s="98" t="n">
        <v>0.0767</v>
      </c>
      <c r="T868" s="27">
        <f>YEAR(U868)</f>
        <v/>
      </c>
      <c r="U868" s="97" t="n">
        <v>45602</v>
      </c>
      <c r="V868" s="98" t="n">
        <v>0.0717</v>
      </c>
    </row>
    <row r="869">
      <c r="P869" s="27">
        <f>YEAR(Q869)</f>
        <v/>
      </c>
      <c r="Q869" s="95" t="n">
        <v>45558</v>
      </c>
      <c r="R869" s="96" t="n">
        <v>0.0767</v>
      </c>
      <c r="T869" s="27">
        <f>YEAR(U869)</f>
        <v/>
      </c>
      <c r="U869" s="95" t="n">
        <v>45603</v>
      </c>
      <c r="V869" s="96" t="n">
        <v>0.0717</v>
      </c>
    </row>
    <row r="870">
      <c r="P870" s="27">
        <f>YEAR(Q870)</f>
        <v/>
      </c>
      <c r="Q870" s="97" t="n">
        <v>45559</v>
      </c>
      <c r="R870" s="98" t="n">
        <v>0.07769999999999999</v>
      </c>
      <c r="T870" s="27">
        <f>YEAR(U870)</f>
        <v/>
      </c>
      <c r="U870" s="97" t="n">
        <v>45604</v>
      </c>
      <c r="V870" s="98" t="n">
        <v>0.0717</v>
      </c>
    </row>
    <row r="871">
      <c r="P871" s="27">
        <f>YEAR(Q871)</f>
        <v/>
      </c>
      <c r="Q871" s="95" t="n">
        <v>45560</v>
      </c>
      <c r="R871" s="96" t="n">
        <v>0.07769999999999999</v>
      </c>
      <c r="T871" s="27">
        <f>YEAR(U871)</f>
        <v/>
      </c>
      <c r="U871" s="95" t="n">
        <v>45607</v>
      </c>
      <c r="V871" s="96" t="n">
        <v>0.0717</v>
      </c>
    </row>
    <row r="872">
      <c r="P872" s="27">
        <f>YEAR(Q872)</f>
        <v/>
      </c>
      <c r="Q872" s="97" t="n">
        <v>45561</v>
      </c>
      <c r="R872" s="98" t="n">
        <v>0.07769999999999999</v>
      </c>
      <c r="T872" s="27">
        <f>YEAR(U872)</f>
        <v/>
      </c>
      <c r="U872" s="97" t="n">
        <v>45608</v>
      </c>
      <c r="V872" s="98" t="n">
        <v>0.0736</v>
      </c>
    </row>
    <row r="873">
      <c r="P873" s="27">
        <f>YEAR(Q873)</f>
        <v/>
      </c>
      <c r="Q873" s="95" t="n">
        <v>45562</v>
      </c>
      <c r="R873" s="96" t="n">
        <v>0.07769999999999999</v>
      </c>
      <c r="T873" s="27">
        <f>YEAR(U873)</f>
        <v/>
      </c>
      <c r="U873" s="95" t="n">
        <v>45609</v>
      </c>
      <c r="V873" s="96" t="n">
        <v>0.0736</v>
      </c>
    </row>
    <row r="874">
      <c r="P874" s="27">
        <f>YEAR(Q874)</f>
        <v/>
      </c>
      <c r="Q874" s="97" t="n">
        <v>45565</v>
      </c>
      <c r="R874" s="98" t="n">
        <v>0.07769999999999999</v>
      </c>
      <c r="T874" s="27">
        <f>YEAR(U874)</f>
        <v/>
      </c>
      <c r="U874" s="97" t="n">
        <v>45610</v>
      </c>
      <c r="V874" s="98" t="n">
        <v>0.0736</v>
      </c>
    </row>
    <row r="875">
      <c r="P875" s="27">
        <f>YEAR(Q875)</f>
        <v/>
      </c>
      <c r="Q875" s="95" t="n">
        <v>45566</v>
      </c>
      <c r="R875" s="96" t="n">
        <v>0.07769999999999999</v>
      </c>
      <c r="T875" s="27">
        <f>YEAR(U875)</f>
        <v/>
      </c>
      <c r="U875" s="95" t="n">
        <v>45614</v>
      </c>
      <c r="V875" s="96" t="n">
        <v>0.0737</v>
      </c>
    </row>
    <row r="876">
      <c r="P876" s="27">
        <f>YEAR(Q876)</f>
        <v/>
      </c>
      <c r="Q876" s="97" t="n">
        <v>45567</v>
      </c>
      <c r="R876" s="98" t="n">
        <v>0.07769999999999999</v>
      </c>
      <c r="T876" s="27">
        <f>YEAR(U876)</f>
        <v/>
      </c>
      <c r="U876" s="97" t="n">
        <v>45615</v>
      </c>
      <c r="V876" s="98" t="n">
        <v>0.0737</v>
      </c>
    </row>
    <row r="877">
      <c r="P877" s="27">
        <f>YEAR(Q877)</f>
        <v/>
      </c>
      <c r="Q877" s="95" t="n">
        <v>45568</v>
      </c>
      <c r="R877" s="96" t="n">
        <v>0.07769999999999999</v>
      </c>
      <c r="T877" s="27">
        <f>YEAR(U877)</f>
        <v/>
      </c>
      <c r="U877" s="95" t="n">
        <v>45616</v>
      </c>
      <c r="V877" s="96" t="n">
        <v>0.0737</v>
      </c>
    </row>
    <row r="878">
      <c r="P878" s="27">
        <f>YEAR(Q878)</f>
        <v/>
      </c>
      <c r="Q878" s="97" t="n">
        <v>45569</v>
      </c>
      <c r="R878" s="98" t="n">
        <v>0.07769999999999999</v>
      </c>
      <c r="T878" s="27">
        <f>YEAR(U878)</f>
        <v/>
      </c>
      <c r="U878" s="97" t="n">
        <v>45617</v>
      </c>
      <c r="V878" s="98" t="n">
        <v>0.0737</v>
      </c>
    </row>
    <row r="879">
      <c r="P879" s="27">
        <f>YEAR(Q879)</f>
        <v/>
      </c>
      <c r="Q879" s="95" t="n">
        <v>45572</v>
      </c>
      <c r="R879" s="96" t="n">
        <v>0.07769999999999999</v>
      </c>
      <c r="T879" s="27">
        <f>YEAR(U879)</f>
        <v/>
      </c>
      <c r="U879" s="95" t="n">
        <v>45618</v>
      </c>
      <c r="V879" s="96" t="n">
        <v>0.0737</v>
      </c>
    </row>
    <row r="880">
      <c r="P880" s="27">
        <f>YEAR(Q880)</f>
        <v/>
      </c>
      <c r="Q880" s="97" t="n">
        <v>45573</v>
      </c>
      <c r="R880" s="98" t="n">
        <v>0.07769999999999999</v>
      </c>
      <c r="T880" s="27">
        <f>YEAR(U880)</f>
        <v/>
      </c>
      <c r="U880" s="97" t="n">
        <v>45621</v>
      </c>
      <c r="V880" s="98" t="n">
        <v>0.0687</v>
      </c>
    </row>
    <row r="881">
      <c r="P881" s="27">
        <f>YEAR(Q881)</f>
        <v/>
      </c>
      <c r="Q881" s="95" t="n">
        <v>45574</v>
      </c>
      <c r="R881" s="96" t="n">
        <v>0.07769999999999999</v>
      </c>
      <c r="T881" s="27">
        <f>YEAR(U881)</f>
        <v/>
      </c>
      <c r="U881" s="95" t="n">
        <v>45622</v>
      </c>
      <c r="V881" s="96" t="n">
        <v>0.0738</v>
      </c>
    </row>
    <row r="882">
      <c r="P882" s="27">
        <f>YEAR(Q882)</f>
        <v/>
      </c>
      <c r="Q882" s="97" t="n">
        <v>45575</v>
      </c>
      <c r="R882" s="98" t="n">
        <v>0.07769999999999999</v>
      </c>
      <c r="T882" s="27">
        <f>YEAR(U882)</f>
        <v/>
      </c>
      <c r="U882" s="97" t="n">
        <v>45623</v>
      </c>
      <c r="V882" s="98" t="n">
        <v>0.0738</v>
      </c>
    </row>
    <row r="883">
      <c r="P883" s="27">
        <f>YEAR(Q883)</f>
        <v/>
      </c>
      <c r="Q883" s="95" t="n">
        <v>45576</v>
      </c>
      <c r="R883" s="96" t="n">
        <v>0.07780000000000001</v>
      </c>
      <c r="T883" s="27">
        <f>YEAR(U883)</f>
        <v/>
      </c>
      <c r="U883" s="95" t="n">
        <v>45624</v>
      </c>
      <c r="V883" s="96" t="n">
        <v>0.0738</v>
      </c>
    </row>
    <row r="884">
      <c r="P884" s="27">
        <f>YEAR(Q884)</f>
        <v/>
      </c>
      <c r="Q884" s="97" t="n">
        <v>45579</v>
      </c>
      <c r="R884" s="98" t="n">
        <v>0.07679999999999999</v>
      </c>
      <c r="T884" s="27">
        <f>YEAR(U884)</f>
        <v/>
      </c>
      <c r="U884" s="97" t="n">
        <v>45625</v>
      </c>
      <c r="V884" s="98" t="n">
        <v>0.0738</v>
      </c>
    </row>
    <row r="885">
      <c r="P885" s="27">
        <f>YEAR(Q885)</f>
        <v/>
      </c>
      <c r="Q885" s="95" t="n">
        <v>45580</v>
      </c>
      <c r="R885" s="96" t="n">
        <v>0.07679999999999999</v>
      </c>
      <c r="T885" s="27">
        <f>YEAR(U885)</f>
        <v/>
      </c>
      <c r="U885" s="95" t="n">
        <v>45628</v>
      </c>
      <c r="V885" s="96" t="n">
        <v>0.0738</v>
      </c>
    </row>
    <row r="886">
      <c r="P886" s="27">
        <f>YEAR(Q886)</f>
        <v/>
      </c>
      <c r="Q886" s="97" t="n">
        <v>45581</v>
      </c>
      <c r="R886" s="98" t="n">
        <v>0.07679999999999999</v>
      </c>
      <c r="T886" s="27">
        <f>YEAR(U886)</f>
        <v/>
      </c>
      <c r="U886" s="97" t="n">
        <v>45629</v>
      </c>
      <c r="V886" s="98" t="n">
        <v>0.0738</v>
      </c>
    </row>
    <row r="887">
      <c r="P887" s="27">
        <f>YEAR(Q887)</f>
        <v/>
      </c>
      <c r="Q887" s="95" t="n">
        <v>45582</v>
      </c>
      <c r="R887" s="96" t="n">
        <v>0.07679999999999999</v>
      </c>
      <c r="T887" s="27">
        <f>YEAR(U887)</f>
        <v/>
      </c>
      <c r="U887" s="95" t="n">
        <v>45630</v>
      </c>
      <c r="V887" s="96" t="n">
        <v>0.0738</v>
      </c>
    </row>
    <row r="888">
      <c r="P888" s="27">
        <f>YEAR(Q888)</f>
        <v/>
      </c>
      <c r="Q888" s="97" t="n">
        <v>45583</v>
      </c>
      <c r="R888" s="98" t="n">
        <v>0.07679999999999999</v>
      </c>
      <c r="T888" s="27">
        <f>YEAR(U888)</f>
        <v/>
      </c>
      <c r="U888" s="97" t="n">
        <v>45631</v>
      </c>
      <c r="V888" s="98" t="n">
        <v>0.0738</v>
      </c>
    </row>
    <row r="889">
      <c r="P889" s="27">
        <f>YEAR(Q889)</f>
        <v/>
      </c>
      <c r="Q889" s="95" t="n">
        <v>45586</v>
      </c>
      <c r="R889" s="96" t="n">
        <v>0.07679999999999999</v>
      </c>
      <c r="T889" s="27">
        <f>YEAR(U889)</f>
        <v/>
      </c>
      <c r="U889" s="95" t="n">
        <v>45632</v>
      </c>
      <c r="V889" s="96" t="n">
        <v>0.0738</v>
      </c>
    </row>
    <row r="890">
      <c r="P890" s="27">
        <f>YEAR(Q890)</f>
        <v/>
      </c>
      <c r="Q890" s="97" t="n">
        <v>45587</v>
      </c>
      <c r="R890" s="98" t="n">
        <v>0.07679999999999999</v>
      </c>
      <c r="T890" s="27">
        <f>YEAR(U890)</f>
        <v/>
      </c>
      <c r="U890" s="97" t="n">
        <v>45635</v>
      </c>
      <c r="V890" s="98" t="n">
        <v>0.0738</v>
      </c>
    </row>
    <row r="891">
      <c r="P891" s="27">
        <f>YEAR(Q891)</f>
        <v/>
      </c>
      <c r="Q891" s="95" t="n">
        <v>45588</v>
      </c>
      <c r="R891" s="96" t="n">
        <v>0.07679999999999999</v>
      </c>
      <c r="T891" s="27">
        <f>YEAR(U891)</f>
        <v/>
      </c>
      <c r="U891" s="95" t="n">
        <v>45636</v>
      </c>
      <c r="V891" s="96" t="n">
        <v>0.07389999999999999</v>
      </c>
    </row>
    <row r="892">
      <c r="P892" s="27">
        <f>YEAR(Q892)</f>
        <v/>
      </c>
      <c r="Q892" s="97" t="n">
        <v>45589</v>
      </c>
      <c r="R892" s="98" t="n">
        <v>0.07679999999999999</v>
      </c>
      <c r="T892" s="27">
        <f>YEAR(U892)</f>
        <v/>
      </c>
      <c r="U892" s="97" t="n">
        <v>45637</v>
      </c>
      <c r="V892" s="98" t="n">
        <v>0.07389999999999999</v>
      </c>
    </row>
    <row r="893">
      <c r="P893" s="27">
        <f>YEAR(Q893)</f>
        <v/>
      </c>
      <c r="Q893" s="95" t="n">
        <v>45590</v>
      </c>
      <c r="R893" s="96" t="n">
        <v>0.07679999999999999</v>
      </c>
      <c r="T893" s="27">
        <f>YEAR(U893)</f>
        <v/>
      </c>
      <c r="U893" s="95" t="n">
        <v>45638</v>
      </c>
      <c r="V893" s="96" t="n">
        <v>0.07389999999999999</v>
      </c>
    </row>
    <row r="894">
      <c r="P894" s="27">
        <f>YEAR(Q894)</f>
        <v/>
      </c>
      <c r="Q894" s="97" t="n">
        <v>45593</v>
      </c>
      <c r="R894" s="98" t="n">
        <v>0.07690000000000001</v>
      </c>
      <c r="T894" s="27">
        <f>YEAR(U894)</f>
        <v/>
      </c>
      <c r="U894" s="97" t="n">
        <v>45639</v>
      </c>
      <c r="V894" s="98" t="n">
        <v>0.07389999999999999</v>
      </c>
    </row>
    <row r="895">
      <c r="P895" s="27">
        <f>YEAR(Q895)</f>
        <v/>
      </c>
      <c r="Q895" s="95" t="n">
        <v>45594</v>
      </c>
      <c r="R895" s="96" t="n">
        <v>0.07690000000000001</v>
      </c>
      <c r="T895" s="27">
        <f>YEAR(U895)</f>
        <v/>
      </c>
      <c r="U895" s="95" t="n">
        <v>45642</v>
      </c>
      <c r="V895" s="96" t="n">
        <v>0.07389999999999999</v>
      </c>
    </row>
    <row r="896">
      <c r="P896" s="27">
        <f>YEAR(Q896)</f>
        <v/>
      </c>
      <c r="Q896" s="97" t="n">
        <v>45595</v>
      </c>
      <c r="R896" s="98" t="n">
        <v>0.07690000000000001</v>
      </c>
      <c r="T896" s="27">
        <f>YEAR(U896)</f>
        <v/>
      </c>
      <c r="U896" s="97" t="n">
        <v>45643</v>
      </c>
      <c r="V896" s="98" t="n">
        <v>0.07400000000000001</v>
      </c>
    </row>
    <row r="897">
      <c r="P897" s="27">
        <f>YEAR(Q897)</f>
        <v/>
      </c>
      <c r="Q897" s="95" t="n">
        <v>45596</v>
      </c>
      <c r="R897" s="96" t="n">
        <v>0.07690000000000001</v>
      </c>
      <c r="T897" s="27">
        <f>YEAR(U897)</f>
        <v/>
      </c>
      <c r="U897" s="95" t="n">
        <v>45644</v>
      </c>
      <c r="V897" s="96" t="n">
        <v>0.07400000000000001</v>
      </c>
    </row>
    <row r="898">
      <c r="P898" s="27">
        <f>YEAR(Q898)</f>
        <v/>
      </c>
      <c r="Q898" s="97" t="n">
        <v>45600</v>
      </c>
      <c r="R898" s="98" t="n">
        <v>0.07690000000000001</v>
      </c>
      <c r="T898" s="27">
        <f>YEAR(U898)</f>
        <v/>
      </c>
      <c r="U898" s="97" t="n">
        <v>45645</v>
      </c>
      <c r="V898" s="98" t="n">
        <v>0.07400000000000001</v>
      </c>
    </row>
    <row r="899">
      <c r="P899" s="27">
        <f>YEAR(Q899)</f>
        <v/>
      </c>
      <c r="Q899" s="95" t="n">
        <v>45601</v>
      </c>
      <c r="R899" s="96" t="n">
        <v>0.07690000000000001</v>
      </c>
      <c r="T899" s="27">
        <f>YEAR(U899)</f>
        <v/>
      </c>
      <c r="U899" s="95" t="n">
        <v>45646</v>
      </c>
      <c r="V899" s="96" t="n">
        <v>0.07400000000000001</v>
      </c>
    </row>
    <row r="900">
      <c r="P900" s="27">
        <f>YEAR(Q900)</f>
        <v/>
      </c>
      <c r="Q900" s="97" t="n">
        <v>45602</v>
      </c>
      <c r="R900" s="98" t="n">
        <v>0.07690000000000001</v>
      </c>
      <c r="T900" s="27">
        <f>YEAR(U900)</f>
        <v/>
      </c>
      <c r="U900" s="97" t="n">
        <v>45649</v>
      </c>
      <c r="V900" s="98" t="n">
        <v>0.07400000000000001</v>
      </c>
    </row>
    <row r="901">
      <c r="P901" s="27">
        <f>YEAR(Q901)</f>
        <v/>
      </c>
      <c r="Q901" s="95" t="n">
        <v>45603</v>
      </c>
      <c r="R901" s="96" t="n">
        <v>0.07690000000000001</v>
      </c>
      <c r="T901" s="27">
        <f>YEAR(U901)</f>
        <v/>
      </c>
      <c r="U901" s="95" t="n">
        <v>45650</v>
      </c>
      <c r="V901" s="96" t="n">
        <v>0.07400000000000001</v>
      </c>
    </row>
    <row r="902">
      <c r="P902" s="27">
        <f>YEAR(Q902)</f>
        <v/>
      </c>
      <c r="Q902" s="97" t="n">
        <v>45604</v>
      </c>
      <c r="R902" s="98" t="n">
        <v>0.07690000000000001</v>
      </c>
      <c r="T902" s="27">
        <f>YEAR(U902)</f>
        <v/>
      </c>
      <c r="U902" s="97" t="n">
        <v>45652</v>
      </c>
      <c r="V902" s="98" t="n">
        <v>0.07400000000000001</v>
      </c>
    </row>
    <row r="903">
      <c r="P903" s="27">
        <f>YEAR(Q903)</f>
        <v/>
      </c>
      <c r="Q903" s="95" t="n">
        <v>45607</v>
      </c>
      <c r="R903" s="96" t="n">
        <v>0.07690000000000001</v>
      </c>
      <c r="T903" s="27">
        <f>YEAR(U903)</f>
        <v/>
      </c>
      <c r="U903" s="95" t="n">
        <v>45653</v>
      </c>
      <c r="V903" s="96" t="n">
        <v>0.07400000000000001</v>
      </c>
    </row>
    <row r="904">
      <c r="P904" s="27">
        <f>YEAR(Q904)</f>
        <v/>
      </c>
      <c r="Q904" s="97" t="n">
        <v>45608</v>
      </c>
      <c r="R904" s="98" t="n">
        <v>0.07690000000000001</v>
      </c>
      <c r="T904" s="27">
        <f>YEAR(U904)</f>
        <v/>
      </c>
      <c r="U904" s="97" t="n">
        <v>45656</v>
      </c>
      <c r="V904" s="98" t="n">
        <v>0.0741</v>
      </c>
    </row>
    <row r="905">
      <c r="P905" s="27">
        <f>YEAR(Q905)</f>
        <v/>
      </c>
      <c r="Q905" s="95" t="n">
        <v>45609</v>
      </c>
      <c r="R905" s="96" t="n">
        <v>0.07690000000000001</v>
      </c>
      <c r="T905" s="27">
        <f>YEAR(U905)</f>
        <v/>
      </c>
      <c r="U905" s="95" t="n">
        <v>45657</v>
      </c>
      <c r="V905" s="96" t="n">
        <v>0.0741</v>
      </c>
    </row>
    <row r="906">
      <c r="P906" s="27">
        <f>YEAR(Q906)</f>
        <v/>
      </c>
      <c r="Q906" s="97" t="n">
        <v>45610</v>
      </c>
      <c r="R906" s="98" t="n">
        <v>0.07690000000000001</v>
      </c>
      <c r="T906" s="27">
        <f>YEAR(U906)</f>
        <v/>
      </c>
      <c r="U906" s="97" t="n">
        <v>45659</v>
      </c>
      <c r="V906" s="98" t="n">
        <v>0.0741</v>
      </c>
    </row>
    <row r="907">
      <c r="P907" s="27">
        <f>YEAR(Q907)</f>
        <v/>
      </c>
      <c r="Q907" s="95" t="n">
        <v>45614</v>
      </c>
      <c r="R907" s="96" t="n">
        <v>0.077</v>
      </c>
      <c r="T907" s="27">
        <f>YEAR(U907)</f>
        <v/>
      </c>
      <c r="U907" s="95" t="n">
        <v>45660</v>
      </c>
      <c r="V907" s="96" t="n">
        <v>0.0741</v>
      </c>
    </row>
    <row r="908">
      <c r="P908" s="27">
        <f>YEAR(Q908)</f>
        <v/>
      </c>
      <c r="Q908" s="97" t="n">
        <v>45615</v>
      </c>
      <c r="R908" s="98" t="n">
        <v>0.077</v>
      </c>
      <c r="T908" s="27">
        <f>YEAR(U908)</f>
        <v/>
      </c>
      <c r="U908" s="97" t="n">
        <v>45663</v>
      </c>
      <c r="V908" s="98" t="n">
        <v>0.0741</v>
      </c>
    </row>
    <row r="909">
      <c r="P909" s="27">
        <f>YEAR(Q909)</f>
        <v/>
      </c>
      <c r="Q909" s="95" t="n">
        <v>45616</v>
      </c>
      <c r="R909" s="96" t="n">
        <v>0.077</v>
      </c>
      <c r="T909" s="27">
        <f>YEAR(U909)</f>
        <v/>
      </c>
      <c r="U909" s="95" t="n">
        <v>45664</v>
      </c>
      <c r="V909" s="96" t="n">
        <v>0.0741</v>
      </c>
    </row>
    <row r="910">
      <c r="P910" s="27">
        <f>YEAR(Q910)</f>
        <v/>
      </c>
      <c r="Q910" s="97" t="n">
        <v>45617</v>
      </c>
      <c r="R910" s="98" t="n">
        <v>0.077</v>
      </c>
      <c r="T910" s="27">
        <f>YEAR(U910)</f>
        <v/>
      </c>
      <c r="U910" s="97" t="n">
        <v>45665</v>
      </c>
      <c r="V910" s="98" t="n">
        <v>0.0741</v>
      </c>
    </row>
    <row r="911">
      <c r="P911" s="27">
        <f>YEAR(Q911)</f>
        <v/>
      </c>
      <c r="Q911" s="95" t="n">
        <v>45618</v>
      </c>
      <c r="R911" s="96" t="n">
        <v>0.077</v>
      </c>
      <c r="T911" s="27">
        <f>YEAR(U911)</f>
        <v/>
      </c>
      <c r="U911" s="95" t="n">
        <v>45666</v>
      </c>
      <c r="V911" s="96" t="n">
        <v>0.0742</v>
      </c>
    </row>
    <row r="912">
      <c r="P912" s="27">
        <f>YEAR(Q912)</f>
        <v/>
      </c>
      <c r="Q912" s="97" t="n">
        <v>45621</v>
      </c>
      <c r="R912" s="98" t="n">
        <v>0.077</v>
      </c>
      <c r="T912" s="27">
        <f>YEAR(U912)</f>
        <v/>
      </c>
      <c r="U912" s="97" t="n">
        <v>45667</v>
      </c>
      <c r="V912" s="98" t="n">
        <v>0.0742</v>
      </c>
    </row>
    <row r="913">
      <c r="P913" s="27">
        <f>YEAR(Q913)</f>
        <v/>
      </c>
      <c r="Q913" s="95" t="n">
        <v>45622</v>
      </c>
      <c r="R913" s="96" t="n">
        <v>0.07769999999999999</v>
      </c>
      <c r="T913" s="27">
        <f>YEAR(U913)</f>
        <v/>
      </c>
      <c r="U913" s="95" t="n">
        <v>45670</v>
      </c>
      <c r="V913" s="96" t="n">
        <v>0.0742</v>
      </c>
    </row>
    <row r="914">
      <c r="P914" s="27">
        <f>YEAR(Q914)</f>
        <v/>
      </c>
      <c r="Q914" s="97" t="n">
        <v>45623</v>
      </c>
      <c r="R914" s="98" t="n">
        <v>0.07769999999999999</v>
      </c>
      <c r="T914" s="27">
        <f>YEAR(U914)</f>
        <v/>
      </c>
      <c r="U914" s="97" t="n">
        <v>45671</v>
      </c>
      <c r="V914" s="98" t="n">
        <v>0.0742</v>
      </c>
    </row>
    <row r="915">
      <c r="P915" s="27">
        <f>YEAR(Q915)</f>
        <v/>
      </c>
      <c r="Q915" s="95" t="n">
        <v>45624</v>
      </c>
      <c r="R915" s="96" t="n">
        <v>0.07769999999999999</v>
      </c>
      <c r="T915" s="27">
        <f>YEAR(U915)</f>
        <v/>
      </c>
      <c r="U915" s="95" t="n">
        <v>45672</v>
      </c>
      <c r="V915" s="96" t="n">
        <v>0.0742</v>
      </c>
    </row>
    <row r="916">
      <c r="P916" s="27">
        <f>YEAR(Q916)</f>
        <v/>
      </c>
      <c r="Q916" s="97" t="n">
        <v>45625</v>
      </c>
      <c r="R916" s="98" t="n">
        <v>0.07769999999999999</v>
      </c>
      <c r="T916" s="27">
        <f>YEAR(U916)</f>
        <v/>
      </c>
      <c r="U916" s="97" t="n">
        <v>45673</v>
      </c>
      <c r="V916" s="98" t="n">
        <v>0.0742</v>
      </c>
    </row>
    <row r="917">
      <c r="P917" s="27">
        <f>YEAR(Q917)</f>
        <v/>
      </c>
      <c r="Q917" s="95" t="n">
        <v>45629</v>
      </c>
      <c r="R917" s="96" t="n">
        <v>0.07769999999999999</v>
      </c>
      <c r="T917" s="27">
        <f>YEAR(U917)</f>
        <v/>
      </c>
      <c r="U917" s="95" t="n">
        <v>45674</v>
      </c>
      <c r="V917" s="96" t="n">
        <v>0.0742</v>
      </c>
    </row>
    <row r="918">
      <c r="P918" s="27">
        <f>YEAR(Q918)</f>
        <v/>
      </c>
      <c r="Q918" s="97" t="n">
        <v>45630</v>
      </c>
      <c r="R918" s="98" t="n">
        <v>0.07769999999999999</v>
      </c>
      <c r="T918" s="27">
        <f>YEAR(U918)</f>
        <v/>
      </c>
      <c r="U918" s="97" t="n">
        <v>45677</v>
      </c>
      <c r="V918" s="98" t="n">
        <v>0.07429999999999999</v>
      </c>
    </row>
    <row r="919">
      <c r="P919" s="27">
        <f>YEAR(Q919)</f>
        <v/>
      </c>
      <c r="Q919" s="95" t="n">
        <v>45631</v>
      </c>
      <c r="R919" s="96" t="n">
        <v>0.07769999999999999</v>
      </c>
      <c r="T919" s="27">
        <f>YEAR(U919)</f>
        <v/>
      </c>
      <c r="U919" s="95" t="n">
        <v>45678</v>
      </c>
      <c r="V919" s="96" t="n">
        <v>0.07429999999999999</v>
      </c>
    </row>
    <row r="920">
      <c r="P920" s="27">
        <f>YEAR(Q920)</f>
        <v/>
      </c>
      <c r="Q920" s="97" t="n">
        <v>45632</v>
      </c>
      <c r="R920" s="98" t="n">
        <v>0.07769999999999999</v>
      </c>
      <c r="T920" s="27">
        <f>YEAR(U920)</f>
        <v/>
      </c>
      <c r="U920" s="97" t="n">
        <v>45679</v>
      </c>
      <c r="V920" s="98" t="n">
        <v>0.07429999999999999</v>
      </c>
    </row>
    <row r="921">
      <c r="P921" s="27">
        <f>YEAR(Q921)</f>
        <v/>
      </c>
      <c r="Q921" s="95" t="n">
        <v>45635</v>
      </c>
      <c r="R921" s="96" t="n">
        <v>0.07769999999999999</v>
      </c>
      <c r="T921" s="27">
        <f>YEAR(U921)</f>
        <v/>
      </c>
      <c r="U921" s="95" t="n">
        <v>45680</v>
      </c>
      <c r="V921" s="96" t="n">
        <v>0.07429999999999999</v>
      </c>
    </row>
    <row r="922">
      <c r="P922" s="27">
        <f>YEAR(Q922)</f>
        <v/>
      </c>
      <c r="Q922" s="97" t="n">
        <v>45636</v>
      </c>
      <c r="R922" s="98" t="n">
        <v>0.07769999999999999</v>
      </c>
      <c r="T922" s="27">
        <f>YEAR(U922)</f>
        <v/>
      </c>
      <c r="U922" s="97" t="n">
        <v>45681</v>
      </c>
      <c r="V922" s="98" t="n">
        <v>0.07429999999999999</v>
      </c>
    </row>
    <row r="923">
      <c r="P923" s="27">
        <f>YEAR(Q923)</f>
        <v/>
      </c>
      <c r="Q923" s="95" t="n">
        <v>45637</v>
      </c>
      <c r="R923" s="96" t="n">
        <v>0.07769999999999999</v>
      </c>
      <c r="T923" s="27">
        <f>YEAR(U923)</f>
        <v/>
      </c>
      <c r="U923" s="95" t="n">
        <v>45684</v>
      </c>
      <c r="V923" s="96" t="n">
        <v>0.07429999999999999</v>
      </c>
    </row>
    <row r="924">
      <c r="P924" s="27">
        <f>YEAR(Q924)</f>
        <v/>
      </c>
      <c r="Q924" s="97" t="n">
        <v>45638</v>
      </c>
      <c r="R924" s="98" t="n">
        <v>0.07769999999999999</v>
      </c>
      <c r="T924" s="27">
        <f>YEAR(U924)</f>
        <v/>
      </c>
      <c r="U924" s="97" t="n">
        <v>45685</v>
      </c>
      <c r="V924" s="98" t="n">
        <v>0.07440000000000001</v>
      </c>
    </row>
    <row r="925">
      <c r="P925" s="27">
        <f>YEAR(Q925)</f>
        <v/>
      </c>
      <c r="Q925" s="95" t="n">
        <v>45639</v>
      </c>
      <c r="R925" s="96" t="n">
        <v>0.07769999999999999</v>
      </c>
      <c r="T925" s="27">
        <f>YEAR(U925)</f>
        <v/>
      </c>
      <c r="U925" s="95" t="n">
        <v>45686</v>
      </c>
      <c r="V925" s="96" t="n">
        <v>0.07440000000000001</v>
      </c>
    </row>
    <row r="926">
      <c r="P926" s="27">
        <f>YEAR(Q926)</f>
        <v/>
      </c>
      <c r="Q926" s="97" t="n">
        <v>45642</v>
      </c>
      <c r="R926" s="98" t="n">
        <v>0.07769999999999999</v>
      </c>
      <c r="T926" s="27">
        <f>YEAR(U926)</f>
        <v/>
      </c>
      <c r="U926" s="97" t="n">
        <v>45687</v>
      </c>
      <c r="V926" s="98" t="n">
        <v>0.07440000000000001</v>
      </c>
    </row>
    <row r="927">
      <c r="P927" s="27">
        <f>YEAR(Q927)</f>
        <v/>
      </c>
      <c r="Q927" s="95" t="n">
        <v>45643</v>
      </c>
      <c r="R927" s="96" t="n">
        <v>0.07769999999999999</v>
      </c>
      <c r="T927" s="27">
        <f>YEAR(U927)</f>
        <v/>
      </c>
      <c r="U927" s="95" t="n">
        <v>45688</v>
      </c>
      <c r="V927" s="96" t="n">
        <v>0.07440000000000001</v>
      </c>
    </row>
    <row r="928">
      <c r="P928" s="27">
        <f>YEAR(Q928)</f>
        <v/>
      </c>
      <c r="Q928" s="97" t="n">
        <v>45644</v>
      </c>
      <c r="R928" s="98" t="n">
        <v>0.07769999999999999</v>
      </c>
      <c r="T928" s="27">
        <f>YEAR(U928)</f>
        <v/>
      </c>
      <c r="U928" s="97" t="n">
        <v>45691</v>
      </c>
      <c r="V928" s="98" t="n">
        <v>0.07440000000000001</v>
      </c>
    </row>
    <row r="929">
      <c r="P929" s="27">
        <f>YEAR(Q929)</f>
        <v/>
      </c>
      <c r="Q929" s="95" t="n">
        <v>45645</v>
      </c>
      <c r="R929" s="96" t="n">
        <v>0.0776</v>
      </c>
      <c r="T929" s="27">
        <f>YEAR(U929)</f>
        <v/>
      </c>
      <c r="U929" s="95" t="n">
        <v>45692</v>
      </c>
      <c r="V929" s="96" t="n">
        <v>0.07440000000000001</v>
      </c>
    </row>
    <row r="930">
      <c r="P930" s="27">
        <f>YEAR(Q930)</f>
        <v/>
      </c>
      <c r="Q930" s="97" t="n">
        <v>45646</v>
      </c>
      <c r="R930" s="98" t="n">
        <v>0.0776</v>
      </c>
      <c r="T930" s="27">
        <f>YEAR(U930)</f>
        <v/>
      </c>
      <c r="U930" s="97" t="n">
        <v>45693</v>
      </c>
      <c r="V930" s="98" t="n">
        <v>0.07440000000000001</v>
      </c>
    </row>
    <row r="931">
      <c r="P931" s="27">
        <f>YEAR(Q931)</f>
        <v/>
      </c>
      <c r="Q931" s="95" t="n">
        <v>45649</v>
      </c>
      <c r="R931" s="96" t="n">
        <v>0.0776</v>
      </c>
      <c r="T931" s="27">
        <f>YEAR(U931)</f>
        <v/>
      </c>
      <c r="U931" s="95" t="n">
        <v>45694</v>
      </c>
      <c r="V931" s="96" t="n">
        <v>0.07440000000000001</v>
      </c>
    </row>
    <row r="932">
      <c r="P932" s="27">
        <f>YEAR(Q932)</f>
        <v/>
      </c>
      <c r="Q932" s="97" t="n">
        <v>45650</v>
      </c>
      <c r="R932" s="98" t="n">
        <v>0.0776</v>
      </c>
      <c r="T932" s="27">
        <f>YEAR(U932)</f>
        <v/>
      </c>
      <c r="U932" s="97" t="n">
        <v>45695</v>
      </c>
      <c r="V932" s="98" t="n">
        <v>0.0745</v>
      </c>
    </row>
    <row r="933">
      <c r="P933" s="27">
        <f>YEAR(Q933)</f>
        <v/>
      </c>
      <c r="Q933" s="95" t="n">
        <v>45652</v>
      </c>
      <c r="R933" s="96" t="n">
        <v>0.0776</v>
      </c>
      <c r="T933" s="27">
        <f>YEAR(U933)</f>
        <v/>
      </c>
      <c r="U933" s="95" t="n">
        <v>45698</v>
      </c>
      <c r="V933" s="96" t="n">
        <v>0.0745</v>
      </c>
    </row>
    <row r="934">
      <c r="P934" s="27">
        <f>YEAR(Q934)</f>
        <v/>
      </c>
      <c r="Q934" s="97" t="n">
        <v>45653</v>
      </c>
      <c r="R934" s="98" t="n">
        <v>0.0776</v>
      </c>
      <c r="T934" s="27">
        <f>YEAR(U934)</f>
        <v/>
      </c>
      <c r="U934" s="97" t="n">
        <v>45699</v>
      </c>
      <c r="V934" s="98" t="n">
        <v>0.0745</v>
      </c>
    </row>
    <row r="935">
      <c r="P935" s="27">
        <f>YEAR(Q935)</f>
        <v/>
      </c>
      <c r="Q935" s="95" t="n">
        <v>45656</v>
      </c>
      <c r="R935" s="96" t="n">
        <v>0.0776</v>
      </c>
      <c r="T935" s="27">
        <f>YEAR(U935)</f>
        <v/>
      </c>
      <c r="U935" s="95" t="n">
        <v>45700</v>
      </c>
      <c r="V935" s="96" t="n">
        <v>0.07200000000000001</v>
      </c>
    </row>
    <row r="936">
      <c r="P936" s="27">
        <f>YEAR(Q936)</f>
        <v/>
      </c>
      <c r="Q936" s="97" t="n">
        <v>45657</v>
      </c>
      <c r="R936" s="98" t="n">
        <v>0.0776</v>
      </c>
      <c r="T936" s="27">
        <f>YEAR(U936)</f>
        <v/>
      </c>
      <c r="U936" s="97" t="n">
        <v>45701</v>
      </c>
      <c r="V936" s="98" t="n">
        <v>0.0701</v>
      </c>
    </row>
    <row r="937">
      <c r="P937" s="27">
        <f>YEAR(Q937)</f>
        <v/>
      </c>
      <c r="Q937" s="95" t="n">
        <v>45659</v>
      </c>
      <c r="R937" s="96" t="n">
        <v>0.0776</v>
      </c>
      <c r="T937" s="27">
        <f>YEAR(U937)</f>
        <v/>
      </c>
      <c r="U937" s="95" t="n">
        <v>45702</v>
      </c>
      <c r="V937" s="96" t="n">
        <v>0.0701</v>
      </c>
    </row>
    <row r="938">
      <c r="P938" s="27">
        <f>YEAR(Q938)</f>
        <v/>
      </c>
      <c r="Q938" s="97" t="n">
        <v>45660</v>
      </c>
      <c r="R938" s="98" t="n">
        <v>0.0776</v>
      </c>
      <c r="T938" s="27">
        <f>YEAR(U938)</f>
        <v/>
      </c>
      <c r="U938" s="97" t="n">
        <v>45705</v>
      </c>
      <c r="V938" s="98" t="n">
        <v>0.0701</v>
      </c>
    </row>
    <row r="939">
      <c r="P939" s="27">
        <f>YEAR(Q939)</f>
        <v/>
      </c>
      <c r="Q939" s="95" t="n">
        <v>45663</v>
      </c>
      <c r="R939" s="96" t="n">
        <v>0.0776</v>
      </c>
      <c r="T939" s="27">
        <f>YEAR(U939)</f>
        <v/>
      </c>
      <c r="U939" s="95" t="n">
        <v>45706</v>
      </c>
      <c r="V939" s="96" t="n">
        <v>0.0701</v>
      </c>
    </row>
    <row r="940">
      <c r="P940" s="27">
        <f>YEAR(Q940)</f>
        <v/>
      </c>
      <c r="Q940" s="97" t="n">
        <v>45664</v>
      </c>
      <c r="R940" s="98" t="n">
        <v>0.0776</v>
      </c>
      <c r="T940" s="27">
        <f>YEAR(U940)</f>
        <v/>
      </c>
      <c r="U940" s="97" t="n">
        <v>45707</v>
      </c>
      <c r="V940" s="98" t="n">
        <v>0.0701</v>
      </c>
    </row>
    <row r="941">
      <c r="P941" s="27">
        <f>YEAR(Q941)</f>
        <v/>
      </c>
      <c r="Q941" s="95" t="n">
        <v>45665</v>
      </c>
      <c r="R941" s="96" t="n">
        <v>0.0776</v>
      </c>
      <c r="T941" s="27">
        <f>YEAR(U941)</f>
        <v/>
      </c>
      <c r="U941" s="95" t="n">
        <v>45708</v>
      </c>
      <c r="V941" s="96" t="n">
        <v>0.0701</v>
      </c>
    </row>
    <row r="942">
      <c r="P942" s="27">
        <f>YEAR(Q942)</f>
        <v/>
      </c>
      <c r="Q942" s="97" t="n">
        <v>45666</v>
      </c>
      <c r="R942" s="98" t="n">
        <v>0.0776</v>
      </c>
      <c r="T942" s="27">
        <f>YEAR(U942)</f>
        <v/>
      </c>
      <c r="U942" s="97" t="n">
        <v>45709</v>
      </c>
      <c r="V942" s="98" t="n">
        <v>0.0701</v>
      </c>
    </row>
    <row r="943">
      <c r="P943" s="27">
        <f>YEAR(Q943)</f>
        <v/>
      </c>
      <c r="Q943" s="95" t="n">
        <v>45667</v>
      </c>
      <c r="R943" s="96" t="n">
        <v>0.0776</v>
      </c>
      <c r="T943" s="27">
        <f>YEAR(U943)</f>
        <v/>
      </c>
      <c r="U943" s="95" t="n">
        <v>45712</v>
      </c>
      <c r="V943" s="96" t="n">
        <v>0.0701</v>
      </c>
    </row>
    <row r="944">
      <c r="P944" s="27">
        <f>YEAR(Q944)</f>
        <v/>
      </c>
      <c r="Q944" s="97" t="n">
        <v>45670</v>
      </c>
      <c r="R944" s="98" t="n">
        <v>0.0776</v>
      </c>
      <c r="T944" s="27">
        <f>YEAR(U944)</f>
        <v/>
      </c>
      <c r="U944" s="97" t="n">
        <v>45713</v>
      </c>
      <c r="V944" s="98" t="n">
        <v>0.0701</v>
      </c>
    </row>
    <row r="945">
      <c r="P945" s="27">
        <f>YEAR(Q945)</f>
        <v/>
      </c>
      <c r="Q945" s="95" t="n">
        <v>45671</v>
      </c>
      <c r="R945" s="96" t="n">
        <v>0.0776</v>
      </c>
      <c r="T945" s="27">
        <f>YEAR(U945)</f>
        <v/>
      </c>
      <c r="U945" s="95" t="n">
        <v>45714</v>
      </c>
      <c r="V945" s="96" t="n">
        <v>0.0701</v>
      </c>
    </row>
    <row r="946">
      <c r="P946" s="27">
        <f>YEAR(Q946)</f>
        <v/>
      </c>
      <c r="Q946" s="97" t="n">
        <v>45672</v>
      </c>
      <c r="R946" s="98" t="n">
        <v>0.0776</v>
      </c>
      <c r="T946" s="27">
        <f>YEAR(U946)</f>
        <v/>
      </c>
      <c r="U946" s="97" t="n">
        <v>45715</v>
      </c>
      <c r="V946" s="98" t="n">
        <v>0.0701</v>
      </c>
    </row>
    <row r="947">
      <c r="P947" s="27">
        <f>YEAR(Q947)</f>
        <v/>
      </c>
      <c r="Q947" s="95" t="n">
        <v>45673</v>
      </c>
      <c r="R947" s="96" t="n">
        <v>0.0776</v>
      </c>
      <c r="T947" s="27">
        <f>YEAR(U947)</f>
        <v/>
      </c>
      <c r="U947" s="95" t="n">
        <v>45716</v>
      </c>
      <c r="V947" s="96" t="n">
        <v>0.0701</v>
      </c>
    </row>
    <row r="948">
      <c r="P948" s="27">
        <f>YEAR(Q948)</f>
        <v/>
      </c>
      <c r="Q948" s="97" t="n">
        <v>45674</v>
      </c>
      <c r="R948" s="98" t="n">
        <v>0.0776</v>
      </c>
      <c r="T948" s="27">
        <f>YEAR(U948)</f>
        <v/>
      </c>
      <c r="U948" s="97" t="n">
        <v>45719</v>
      </c>
      <c r="V948" s="98" t="n">
        <v>0.0701</v>
      </c>
    </row>
    <row r="949">
      <c r="P949" s="27">
        <f>YEAR(Q949)</f>
        <v/>
      </c>
      <c r="Q949" s="95" t="n">
        <v>45677</v>
      </c>
      <c r="R949" s="96" t="n">
        <v>0.0776</v>
      </c>
      <c r="T949" s="27">
        <f>YEAR(U949)</f>
        <v/>
      </c>
      <c r="U949" s="95" t="n">
        <v>45720</v>
      </c>
      <c r="V949" s="96" t="n">
        <v>0.0701</v>
      </c>
    </row>
    <row r="950">
      <c r="P950" s="27">
        <f>YEAR(Q950)</f>
        <v/>
      </c>
      <c r="Q950" s="97" t="n">
        <v>45678</v>
      </c>
      <c r="R950" s="98" t="n">
        <v>0.0776</v>
      </c>
      <c r="T950" s="27">
        <f>YEAR(U950)</f>
        <v/>
      </c>
      <c r="U950" s="97" t="n">
        <v>45721</v>
      </c>
      <c r="V950" s="98" t="n">
        <v>0.0701</v>
      </c>
    </row>
    <row r="951">
      <c r="P951" s="27">
        <f>YEAR(Q951)</f>
        <v/>
      </c>
      <c r="Q951" s="95" t="n">
        <v>45679</v>
      </c>
      <c r="R951" s="96" t="n">
        <v>0.0776</v>
      </c>
      <c r="T951" s="27">
        <f>YEAR(U951)</f>
        <v/>
      </c>
      <c r="U951" s="95" t="n">
        <v>45722</v>
      </c>
      <c r="V951" s="96" t="n">
        <v>0.0701</v>
      </c>
    </row>
    <row r="952">
      <c r="P952" s="27">
        <f>YEAR(Q952)</f>
        <v/>
      </c>
      <c r="Q952" s="97" t="n">
        <v>45680</v>
      </c>
      <c r="R952" s="98" t="n">
        <v>0.0776</v>
      </c>
      <c r="T952" s="27">
        <f>YEAR(U952)</f>
        <v/>
      </c>
      <c r="U952" s="97" t="n">
        <v>45723</v>
      </c>
      <c r="V952" s="98" t="n">
        <v>0.0701</v>
      </c>
    </row>
    <row r="953">
      <c r="P953" s="27">
        <f>YEAR(Q953)</f>
        <v/>
      </c>
      <c r="Q953" s="95" t="n">
        <v>45681</v>
      </c>
      <c r="R953" s="96" t="n">
        <v>0.0776</v>
      </c>
      <c r="T953" s="27">
        <f>YEAR(U953)</f>
        <v/>
      </c>
      <c r="U953" s="95" t="n">
        <v>45726</v>
      </c>
      <c r="V953" s="96" t="n">
        <v>0.0701</v>
      </c>
    </row>
    <row r="954">
      <c r="P954" s="27">
        <f>YEAR(Q954)</f>
        <v/>
      </c>
      <c r="Q954" s="97" t="n">
        <v>45684</v>
      </c>
      <c r="R954" s="98" t="n">
        <v>0.0776</v>
      </c>
      <c r="T954" s="27">
        <f>YEAR(U954)</f>
        <v/>
      </c>
      <c r="U954" s="97" t="n">
        <v>45727</v>
      </c>
      <c r="V954" s="98" t="n">
        <v>0.0701</v>
      </c>
    </row>
    <row r="955">
      <c r="P955" s="27">
        <f>YEAR(Q955)</f>
        <v/>
      </c>
      <c r="Q955" s="95" t="n">
        <v>45685</v>
      </c>
      <c r="R955" s="96" t="n">
        <v>0.0776</v>
      </c>
      <c r="T955" s="27">
        <f>YEAR(U955)</f>
        <v/>
      </c>
      <c r="U955" s="95" t="n">
        <v>45728</v>
      </c>
      <c r="V955" s="96" t="n">
        <v>0.0701</v>
      </c>
    </row>
    <row r="956">
      <c r="P956" s="27">
        <f>YEAR(Q956)</f>
        <v/>
      </c>
      <c r="Q956" s="97" t="n">
        <v>45686</v>
      </c>
      <c r="R956" s="98" t="n">
        <v>0.0776</v>
      </c>
      <c r="T956" s="27">
        <f>YEAR(U956)</f>
        <v/>
      </c>
      <c r="U956" s="97" t="n">
        <v>45729</v>
      </c>
      <c r="V956" s="98" t="n">
        <v>0.0701</v>
      </c>
    </row>
    <row r="957">
      <c r="P957" s="27">
        <f>YEAR(Q957)</f>
        <v/>
      </c>
      <c r="Q957" s="95" t="n">
        <v>45687</v>
      </c>
      <c r="R957" s="96" t="n">
        <v>0.0776</v>
      </c>
      <c r="T957" s="27">
        <f>YEAR(U957)</f>
        <v/>
      </c>
      <c r="U957" s="95" t="n">
        <v>45730</v>
      </c>
      <c r="V957" s="96" t="n">
        <v>0.0701</v>
      </c>
    </row>
    <row r="958">
      <c r="P958" s="27">
        <f>YEAR(Q958)</f>
        <v/>
      </c>
      <c r="Q958" s="97" t="n">
        <v>45688</v>
      </c>
      <c r="R958" s="98" t="n">
        <v>0.07588</v>
      </c>
      <c r="T958" s="27">
        <f>YEAR(U958)</f>
        <v/>
      </c>
      <c r="U958" s="97" t="n">
        <v>45733</v>
      </c>
      <c r="V958" s="98" t="n">
        <v>0.0701</v>
      </c>
    </row>
    <row r="959">
      <c r="P959" s="27">
        <f>YEAR(Q959)</f>
        <v/>
      </c>
      <c r="Q959" s="95" t="n">
        <v>45691</v>
      </c>
      <c r="R959" s="96" t="n">
        <v>0.0776</v>
      </c>
      <c r="T959" s="27">
        <f>YEAR(U959)</f>
        <v/>
      </c>
      <c r="U959" s="95" t="n">
        <v>45734</v>
      </c>
      <c r="V959" s="96" t="n">
        <v>0.0701</v>
      </c>
    </row>
    <row r="960">
      <c r="P960" s="27">
        <f>YEAR(Q960)</f>
        <v/>
      </c>
      <c r="Q960" s="97" t="n">
        <v>45692</v>
      </c>
      <c r="R960" s="98" t="n">
        <v>0.0775</v>
      </c>
      <c r="T960" s="27">
        <f>YEAR(U960)</f>
        <v/>
      </c>
      <c r="U960" s="97" t="n">
        <v>45735</v>
      </c>
      <c r="V960" s="98" t="n">
        <v>0.0701</v>
      </c>
    </row>
    <row r="961">
      <c r="P961" s="27">
        <f>YEAR(Q961)</f>
        <v/>
      </c>
      <c r="Q961" s="95" t="n">
        <v>45693</v>
      </c>
      <c r="R961" s="96" t="n">
        <v>0.0775</v>
      </c>
      <c r="T961" s="27">
        <f>YEAR(U961)</f>
        <v/>
      </c>
      <c r="U961" s="95" t="n">
        <v>45736</v>
      </c>
      <c r="V961" s="96" t="n">
        <v>0.0701</v>
      </c>
    </row>
    <row r="962">
      <c r="P962" s="27">
        <f>YEAR(Q962)</f>
        <v/>
      </c>
      <c r="Q962" s="97" t="n">
        <v>45694</v>
      </c>
      <c r="R962" s="98" t="n">
        <v>0.0775</v>
      </c>
      <c r="T962" s="27">
        <f>YEAR(U962)</f>
        <v/>
      </c>
      <c r="U962" s="97" t="n">
        <v>45737</v>
      </c>
      <c r="V962" s="98" t="n">
        <v>0.0701</v>
      </c>
    </row>
    <row r="963">
      <c r="P963" s="27">
        <f>YEAR(Q963)</f>
        <v/>
      </c>
      <c r="Q963" s="95" t="n">
        <v>45695</v>
      </c>
      <c r="R963" s="96" t="n">
        <v>0.0775</v>
      </c>
      <c r="T963" s="27">
        <f>YEAR(U963)</f>
        <v/>
      </c>
      <c r="U963" s="95" t="n">
        <v>45740</v>
      </c>
      <c r="V963" s="96" t="n">
        <v>0.0701</v>
      </c>
    </row>
    <row r="964">
      <c r="P964" s="27">
        <f>YEAR(Q964)</f>
        <v/>
      </c>
      <c r="Q964" s="97" t="n">
        <v>45698</v>
      </c>
      <c r="R964" s="98" t="n">
        <v>0.0775</v>
      </c>
      <c r="T964" s="27">
        <f>YEAR(U964)</f>
        <v/>
      </c>
      <c r="U964" s="97" t="n">
        <v>45741</v>
      </c>
      <c r="V964" s="98" t="n">
        <v>0.0701</v>
      </c>
    </row>
    <row r="965">
      <c r="P965" s="27">
        <f>YEAR(Q965)</f>
        <v/>
      </c>
      <c r="Q965" s="95" t="n">
        <v>45699</v>
      </c>
      <c r="R965" s="96" t="n">
        <v>0.0779</v>
      </c>
      <c r="T965" s="27">
        <f>YEAR(U965)</f>
        <v/>
      </c>
      <c r="U965" s="95" t="n">
        <v>45742</v>
      </c>
      <c r="V965" s="96" t="n">
        <v>0.0701</v>
      </c>
    </row>
    <row r="966">
      <c r="P966" s="27">
        <f>YEAR(Q966)</f>
        <v/>
      </c>
      <c r="Q966" s="97" t="n">
        <v>45700</v>
      </c>
      <c r="R966" s="98" t="n">
        <v>0.0775</v>
      </c>
      <c r="T966" s="27">
        <f>YEAR(U966)</f>
        <v/>
      </c>
      <c r="U966" s="97" t="n">
        <v>45744</v>
      </c>
      <c r="V966" s="98" t="n">
        <v>0.0701</v>
      </c>
    </row>
    <row r="967">
      <c r="P967" s="27">
        <f>YEAR(Q967)</f>
        <v/>
      </c>
      <c r="Q967" s="95" t="n">
        <v>45701</v>
      </c>
      <c r="R967" s="96" t="n">
        <v>0.0779</v>
      </c>
      <c r="T967" s="27">
        <f>YEAR(U967)</f>
        <v/>
      </c>
      <c r="U967" s="95" t="n">
        <v>45748</v>
      </c>
      <c r="V967" s="96" t="n">
        <v>0.0701</v>
      </c>
    </row>
    <row r="968">
      <c r="P968" s="27">
        <f>YEAR(Q968)</f>
        <v/>
      </c>
      <c r="Q968" s="97" t="n">
        <v>45702</v>
      </c>
      <c r="R968" s="98" t="n">
        <v>0.0775</v>
      </c>
      <c r="T968" s="27">
        <f>YEAR(U968)</f>
        <v/>
      </c>
      <c r="U968" s="97" t="n">
        <v>45749</v>
      </c>
      <c r="V968" s="98" t="n">
        <v>0.0701</v>
      </c>
    </row>
    <row r="969">
      <c r="P969" s="27">
        <f>YEAR(Q969)</f>
        <v/>
      </c>
      <c r="Q969" s="95" t="n">
        <v>45705</v>
      </c>
      <c r="R969" s="96" t="n">
        <v>0.0775</v>
      </c>
      <c r="T969" s="27">
        <f>YEAR(U969)</f>
        <v/>
      </c>
      <c r="U969" s="95" t="n">
        <v>45750</v>
      </c>
      <c r="V969" s="96" t="n">
        <v>0.0701</v>
      </c>
    </row>
    <row r="970">
      <c r="P970" s="27">
        <f>YEAR(Q970)</f>
        <v/>
      </c>
      <c r="Q970" s="97" t="n">
        <v>45706</v>
      </c>
      <c r="R970" s="98" t="n">
        <v>0.0775</v>
      </c>
      <c r="T970" s="27">
        <f>YEAR(U970)</f>
        <v/>
      </c>
      <c r="U970" s="97" t="n">
        <v>45751</v>
      </c>
      <c r="V970" s="98" t="n">
        <v>0.0701</v>
      </c>
    </row>
    <row r="971">
      <c r="P971" s="27">
        <f>YEAR(Q971)</f>
        <v/>
      </c>
      <c r="Q971" s="95" t="n">
        <v>45707</v>
      </c>
      <c r="R971" s="96" t="n">
        <v>0.0775</v>
      </c>
      <c r="T971" s="27">
        <f>YEAR(U971)</f>
        <v/>
      </c>
      <c r="U971" s="95" t="n">
        <v>45754</v>
      </c>
      <c r="V971" s="96" t="n">
        <v>0.0701</v>
      </c>
    </row>
    <row r="972">
      <c r="P972" s="27">
        <f>YEAR(Q972)</f>
        <v/>
      </c>
      <c r="Q972" s="97" t="n">
        <v>45708</v>
      </c>
      <c r="R972" s="98" t="n">
        <v>0.0775</v>
      </c>
      <c r="T972" s="27">
        <f>YEAR(U972)</f>
        <v/>
      </c>
      <c r="U972" s="97" t="n">
        <v>45755</v>
      </c>
      <c r="V972" s="98" t="n">
        <v>0.0701</v>
      </c>
    </row>
    <row r="973">
      <c r="P973" s="27">
        <f>YEAR(Q973)</f>
        <v/>
      </c>
      <c r="Q973" s="95" t="n">
        <v>45709</v>
      </c>
      <c r="R973" s="96" t="n">
        <v>0.0775</v>
      </c>
      <c r="T973" s="27">
        <f>YEAR(U973)</f>
        <v/>
      </c>
      <c r="U973" s="95" t="n">
        <v>45756</v>
      </c>
      <c r="V973" s="96" t="n">
        <v>0.0701</v>
      </c>
    </row>
    <row r="974">
      <c r="P974" s="27">
        <f>YEAR(Q974)</f>
        <v/>
      </c>
      <c r="Q974" s="97" t="n">
        <v>45712</v>
      </c>
      <c r="R974" s="98" t="n">
        <v>0.0775</v>
      </c>
      <c r="T974" s="27">
        <f>YEAR(U974)</f>
        <v/>
      </c>
      <c r="U974" s="97" t="n">
        <v>45757</v>
      </c>
      <c r="V974" s="98" t="n">
        <v>0.0701</v>
      </c>
    </row>
    <row r="975">
      <c r="P975" s="27">
        <f>YEAR(Q975)</f>
        <v/>
      </c>
      <c r="Q975" s="95" t="n">
        <v>45713</v>
      </c>
      <c r="R975" s="96" t="n">
        <v>0.0775</v>
      </c>
      <c r="T975" s="27">
        <f>YEAR(U975)</f>
        <v/>
      </c>
      <c r="U975" s="95" t="n">
        <v>45758</v>
      </c>
      <c r="V975" s="96" t="n">
        <v>0.0701</v>
      </c>
    </row>
    <row r="976">
      <c r="P976" s="27">
        <f>YEAR(Q976)</f>
        <v/>
      </c>
      <c r="Q976" s="97" t="n">
        <v>45714</v>
      </c>
      <c r="R976" s="98" t="n">
        <v>0.0775</v>
      </c>
      <c r="T976" s="27">
        <f>YEAR(U976)</f>
        <v/>
      </c>
      <c r="U976" s="97" t="n">
        <v>45761</v>
      </c>
      <c r="V976" s="98" t="n">
        <v>0.0701</v>
      </c>
    </row>
    <row r="977">
      <c r="P977" s="27">
        <f>YEAR(Q977)</f>
        <v/>
      </c>
      <c r="Q977" s="95" t="n">
        <v>45715</v>
      </c>
      <c r="R977" s="96" t="n">
        <v>0.0775</v>
      </c>
      <c r="T977" s="27">
        <f>YEAR(U977)</f>
        <v/>
      </c>
      <c r="U977" s="95" t="n">
        <v>45762</v>
      </c>
      <c r="V977" s="96" t="n">
        <v>0.0701</v>
      </c>
    </row>
    <row r="978">
      <c r="P978" s="27">
        <f>YEAR(Q978)</f>
        <v/>
      </c>
      <c r="Q978" s="97" t="n">
        <v>45716</v>
      </c>
      <c r="R978" s="98" t="n">
        <v>0.0775</v>
      </c>
      <c r="T978" s="27">
        <f>YEAR(U978)</f>
        <v/>
      </c>
      <c r="U978" s="97" t="n">
        <v>45763</v>
      </c>
      <c r="V978" s="98" t="n">
        <v>0.0701</v>
      </c>
    </row>
    <row r="979">
      <c r="P979" s="27">
        <f>YEAR(Q979)</f>
        <v/>
      </c>
      <c r="Q979" s="95" t="n">
        <v>45719</v>
      </c>
      <c r="R979" s="96" t="n">
        <v>0.0775</v>
      </c>
      <c r="T979" s="27">
        <f>YEAR(U979)</f>
        <v/>
      </c>
      <c r="U979" s="95" t="n">
        <v>45764</v>
      </c>
      <c r="V979" s="96" t="n">
        <v>0.0701</v>
      </c>
    </row>
    <row r="980">
      <c r="P980" s="27">
        <f>YEAR(Q980)</f>
        <v/>
      </c>
      <c r="Q980" s="97" t="n">
        <v>45720</v>
      </c>
      <c r="R980" s="98" t="n">
        <v>0.0775</v>
      </c>
      <c r="T980" s="27">
        <f>YEAR(U980)</f>
        <v/>
      </c>
      <c r="U980" s="97" t="n">
        <v>45765</v>
      </c>
      <c r="V980" s="98" t="n">
        <v>0.0701</v>
      </c>
    </row>
    <row r="981">
      <c r="P981" s="27">
        <f>YEAR(Q981)</f>
        <v/>
      </c>
      <c r="Q981" s="95" t="n">
        <v>45721</v>
      </c>
      <c r="R981" s="96" t="n">
        <v>0.0775</v>
      </c>
      <c r="T981" s="27">
        <f>YEAR(U981)</f>
        <v/>
      </c>
      <c r="U981" s="95" t="n">
        <v>45769</v>
      </c>
      <c r="V981" s="96" t="n">
        <v>0.0701</v>
      </c>
    </row>
    <row r="982">
      <c r="P982" s="27">
        <f>YEAR(Q982)</f>
        <v/>
      </c>
      <c r="Q982" s="97" t="n">
        <v>45722</v>
      </c>
      <c r="R982" s="98" t="n">
        <v>0.0775</v>
      </c>
      <c r="T982" s="27">
        <f>YEAR(U982)</f>
        <v/>
      </c>
      <c r="U982" s="97" t="n">
        <v>45770</v>
      </c>
      <c r="V982" s="98" t="n">
        <v>0.0701</v>
      </c>
    </row>
    <row r="983">
      <c r="P983" s="27">
        <f>YEAR(Q983)</f>
        <v/>
      </c>
      <c r="Q983" s="95" t="n">
        <v>45723</v>
      </c>
      <c r="R983" s="96" t="n">
        <v>0.0775</v>
      </c>
      <c r="T983" s="27">
        <f>YEAR(U983)</f>
        <v/>
      </c>
      <c r="U983" s="95" t="n">
        <v>45771</v>
      </c>
      <c r="V983" s="96" t="n">
        <v>0.0701</v>
      </c>
    </row>
    <row r="984">
      <c r="P984" s="27">
        <f>YEAR(Q984)</f>
        <v/>
      </c>
      <c r="Q984" s="97" t="n">
        <v>45726</v>
      </c>
      <c r="R984" s="98" t="n">
        <v>0.0775</v>
      </c>
      <c r="T984" s="27">
        <f>YEAR(U984)</f>
        <v/>
      </c>
      <c r="U984" s="97" t="n">
        <v>45772</v>
      </c>
      <c r="V984" s="98" t="n">
        <v>0.0701</v>
      </c>
    </row>
    <row r="985">
      <c r="P985" s="27">
        <f>YEAR(Q985)</f>
        <v/>
      </c>
      <c r="Q985" s="95" t="n">
        <v>45727</v>
      </c>
      <c r="R985" s="96" t="n">
        <v>0.0775</v>
      </c>
      <c r="T985" s="27">
        <f>YEAR(U985)</f>
        <v/>
      </c>
      <c r="U985" s="95" t="n">
        <v>45775</v>
      </c>
      <c r="V985" s="96" t="n">
        <v>0.0701</v>
      </c>
    </row>
    <row r="986">
      <c r="P986" s="27">
        <f>YEAR(Q986)</f>
        <v/>
      </c>
      <c r="Q986" s="97" t="n">
        <v>45728</v>
      </c>
      <c r="R986" s="98" t="n">
        <v>0.0775</v>
      </c>
      <c r="T986" s="27">
        <f>YEAR(U986)</f>
        <v/>
      </c>
      <c r="U986" s="97" t="n">
        <v>45776</v>
      </c>
      <c r="V986" s="98" t="n">
        <v>0.0701</v>
      </c>
    </row>
    <row r="987">
      <c r="P987" s="27">
        <f>YEAR(Q987)</f>
        <v/>
      </c>
      <c r="Q987" s="95" t="n">
        <v>45729</v>
      </c>
      <c r="R987" s="96" t="n">
        <v>0.0775</v>
      </c>
      <c r="T987" s="27">
        <f>YEAR(U987)</f>
        <v/>
      </c>
      <c r="U987" s="95" t="n">
        <v>45777</v>
      </c>
      <c r="V987" s="96" t="n">
        <v>0.0701</v>
      </c>
    </row>
    <row r="988">
      <c r="P988" s="27">
        <f>YEAR(Q988)</f>
        <v/>
      </c>
      <c r="Q988" s="97" t="n">
        <v>45730</v>
      </c>
      <c r="R988" s="98" t="n">
        <v>0.0775</v>
      </c>
      <c r="T988" s="27">
        <f>YEAR(U988)</f>
        <v/>
      </c>
      <c r="U988" s="97" t="n">
        <v>45779</v>
      </c>
      <c r="V988" s="98" t="n">
        <v>0.0701</v>
      </c>
    </row>
    <row r="989">
      <c r="P989" s="27">
        <f>YEAR(Q989)</f>
        <v/>
      </c>
      <c r="Q989" s="95" t="n">
        <v>45733</v>
      </c>
      <c r="R989" s="96" t="n">
        <v>0.0775</v>
      </c>
      <c r="T989" s="27">
        <f>YEAR(U989)</f>
        <v/>
      </c>
      <c r="U989" s="95" t="n">
        <v>45782</v>
      </c>
      <c r="V989" s="96" t="n">
        <v>0.0701</v>
      </c>
    </row>
    <row r="990">
      <c r="P990" s="27">
        <f>YEAR(Q990)</f>
        <v/>
      </c>
      <c r="Q990" s="97" t="n">
        <v>45734</v>
      </c>
      <c r="R990" s="98" t="n">
        <v>0.0775</v>
      </c>
      <c r="T990" s="27">
        <f>YEAR(U990)</f>
        <v/>
      </c>
      <c r="U990" s="97" t="n">
        <v>45783</v>
      </c>
      <c r="V990" s="98" t="n">
        <v>0.0701</v>
      </c>
    </row>
    <row r="991">
      <c r="P991" s="27">
        <f>YEAR(Q991)</f>
        <v/>
      </c>
      <c r="Q991" s="95" t="n">
        <v>45735</v>
      </c>
      <c r="R991" s="96" t="n">
        <v>0.07582</v>
      </c>
      <c r="T991" s="27">
        <f>YEAR(U991)</f>
        <v/>
      </c>
      <c r="U991" s="95" t="n">
        <v>45784</v>
      </c>
      <c r="V991" s="96" t="n">
        <v>0.0701</v>
      </c>
    </row>
    <row r="992">
      <c r="P992" s="27">
        <f>YEAR(Q992)</f>
        <v/>
      </c>
      <c r="Q992" s="97" t="n">
        <v>45736</v>
      </c>
      <c r="R992" s="98" t="n">
        <v>0.07582</v>
      </c>
      <c r="T992" s="27">
        <f>YEAR(U992)</f>
        <v/>
      </c>
      <c r="U992" s="97" t="n">
        <v>45785</v>
      </c>
      <c r="V992" s="98" t="n">
        <v>0.0701</v>
      </c>
    </row>
    <row r="993">
      <c r="P993" s="27">
        <f>YEAR(Q993)</f>
        <v/>
      </c>
      <c r="Q993" s="95" t="n">
        <v>45737</v>
      </c>
      <c r="R993" s="96" t="n">
        <v>0.0775</v>
      </c>
      <c r="T993" s="27">
        <f>YEAR(U993)</f>
        <v/>
      </c>
      <c r="U993" s="95" t="n">
        <v>45786</v>
      </c>
      <c r="V993" s="96" t="n">
        <v>0.0701</v>
      </c>
    </row>
    <row r="994">
      <c r="P994" s="27">
        <f>YEAR(Q994)</f>
        <v/>
      </c>
      <c r="Q994" s="97" t="n">
        <v>45740</v>
      </c>
      <c r="R994" s="98" t="n">
        <v>0.0775</v>
      </c>
      <c r="T994" s="27">
        <f>YEAR(U994)</f>
        <v/>
      </c>
      <c r="U994" s="97" t="n">
        <v>45789</v>
      </c>
      <c r="V994" s="98" t="n">
        <v>0.0701</v>
      </c>
    </row>
    <row r="995">
      <c r="P995" s="27">
        <f>YEAR(Q995)</f>
        <v/>
      </c>
      <c r="Q995" s="95" t="n">
        <v>45741</v>
      </c>
      <c r="R995" s="96" t="n">
        <v>0.0775</v>
      </c>
      <c r="T995" s="27">
        <f>YEAR(U995)</f>
        <v/>
      </c>
      <c r="U995" s="95" t="n">
        <v>45790</v>
      </c>
      <c r="V995" s="96" t="n">
        <v>0.0701</v>
      </c>
    </row>
    <row r="996">
      <c r="P996" s="27">
        <f>YEAR(Q996)</f>
        <v/>
      </c>
      <c r="Q996" s="97" t="n">
        <v>45742</v>
      </c>
      <c r="R996" s="98" t="n">
        <v>0.0775</v>
      </c>
      <c r="T996" s="27">
        <f>YEAR(U996)</f>
        <v/>
      </c>
      <c r="U996" s="97" t="n">
        <v>45791</v>
      </c>
      <c r="V996" s="98" t="n">
        <v>0.0701</v>
      </c>
    </row>
    <row r="997">
      <c r="P997" s="27">
        <f>YEAR(Q997)</f>
        <v/>
      </c>
      <c r="Q997" s="95" t="n">
        <v>45744</v>
      </c>
      <c r="R997" s="96" t="n">
        <v>0.0775</v>
      </c>
      <c r="T997" s="27">
        <f>YEAR(U997)</f>
        <v/>
      </c>
      <c r="U997" s="95" t="n">
        <v>45792</v>
      </c>
      <c r="V997" s="96" t="n">
        <v>0.0701</v>
      </c>
    </row>
    <row r="998">
      <c r="P998" s="27">
        <f>YEAR(Q998)</f>
        <v/>
      </c>
      <c r="Q998" s="97" t="n">
        <v>45748</v>
      </c>
      <c r="R998" s="98" t="n">
        <v>0.0775</v>
      </c>
      <c r="T998" s="27">
        <f>YEAR(U998)</f>
        <v/>
      </c>
      <c r="U998" s="97" t="n">
        <v>45793</v>
      </c>
      <c r="V998" s="98" t="n">
        <v>0.0701</v>
      </c>
    </row>
    <row r="999">
      <c r="P999" s="27">
        <f>YEAR(Q999)</f>
        <v/>
      </c>
      <c r="Q999" s="95" t="n">
        <v>45749</v>
      </c>
      <c r="R999" s="96" t="n">
        <v>0.0775</v>
      </c>
      <c r="T999" s="27">
        <f>YEAR(U999)</f>
        <v/>
      </c>
      <c r="U999" s="95" t="n">
        <v>45796</v>
      </c>
      <c r="V999" s="96" t="n">
        <v>0.0701</v>
      </c>
    </row>
    <row r="1000">
      <c r="P1000" s="27">
        <f>YEAR(Q1000)</f>
        <v/>
      </c>
      <c r="Q1000" s="97" t="n">
        <v>45750</v>
      </c>
      <c r="R1000" s="98" t="n">
        <v>0.0775</v>
      </c>
      <c r="T1000" s="27">
        <f>YEAR(U1000)</f>
        <v/>
      </c>
      <c r="U1000" s="97" t="n">
        <v>45797</v>
      </c>
      <c r="V1000" s="98" t="n">
        <v>0.0701</v>
      </c>
    </row>
    <row r="1001">
      <c r="P1001" s="27">
        <f>YEAR(Q1001)</f>
        <v/>
      </c>
      <c r="Q1001" s="95" t="n">
        <v>45751</v>
      </c>
      <c r="R1001" s="96" t="n">
        <v>0.0775</v>
      </c>
      <c r="T1001" s="27">
        <f>YEAR(U1001)</f>
        <v/>
      </c>
      <c r="U1001" s="95" t="n">
        <v>45799</v>
      </c>
      <c r="V1001" s="96" t="n">
        <v>0.0701</v>
      </c>
    </row>
    <row r="1002">
      <c r="P1002" s="27">
        <f>YEAR(Q1002)</f>
        <v/>
      </c>
      <c r="Q1002" s="97" t="n">
        <v>45754</v>
      </c>
      <c r="R1002" s="98" t="n">
        <v>0.0775</v>
      </c>
      <c r="T1002" s="27">
        <f>YEAR(U1002)</f>
        <v/>
      </c>
      <c r="U1002" s="97" t="n">
        <v>45800</v>
      </c>
      <c r="V1002" s="98" t="n">
        <v>0.0701</v>
      </c>
    </row>
    <row r="1003">
      <c r="P1003" s="27">
        <f>YEAR(Q1003)</f>
        <v/>
      </c>
      <c r="Q1003" s="95" t="n">
        <v>45755</v>
      </c>
      <c r="R1003" s="96" t="n">
        <v>0.0775</v>
      </c>
      <c r="T1003" s="27">
        <f>YEAR(U1003)</f>
        <v/>
      </c>
      <c r="U1003" s="95" t="n">
        <v>45803</v>
      </c>
      <c r="V1003" s="96" t="n">
        <v>0.0701</v>
      </c>
    </row>
    <row r="1004">
      <c r="P1004" s="27">
        <f>YEAR(Q1004)</f>
        <v/>
      </c>
      <c r="Q1004" s="97" t="n">
        <v>45756</v>
      </c>
      <c r="R1004" s="98" t="n">
        <v>0.0775</v>
      </c>
      <c r="T1004" s="27">
        <f>YEAR(U1004)</f>
        <v/>
      </c>
      <c r="U1004" s="97" t="n">
        <v>45804</v>
      </c>
      <c r="V1004" s="98" t="n">
        <v>0.0701</v>
      </c>
    </row>
    <row r="1005">
      <c r="P1005" s="27">
        <f>YEAR(Q1005)</f>
        <v/>
      </c>
      <c r="Q1005" s="95" t="n">
        <v>45757</v>
      </c>
      <c r="R1005" s="96" t="n">
        <v>0.0775</v>
      </c>
      <c r="T1005" s="27">
        <f>YEAR(U1005)</f>
        <v/>
      </c>
      <c r="U1005" s="95" t="n">
        <v>45805</v>
      </c>
      <c r="V1005" s="96" t="n">
        <v>0.0701</v>
      </c>
    </row>
    <row r="1006">
      <c r="P1006" s="27">
        <f>YEAR(Q1006)</f>
        <v/>
      </c>
      <c r="Q1006" s="97" t="n">
        <v>45758</v>
      </c>
      <c r="R1006" s="98" t="n">
        <v>0.0775</v>
      </c>
      <c r="T1006" s="27">
        <f>YEAR(U1006)</f>
        <v/>
      </c>
      <c r="U1006" s="97" t="n">
        <v>45807</v>
      </c>
      <c r="V1006" s="98" t="n">
        <v>0.0701</v>
      </c>
    </row>
    <row r="1007">
      <c r="P1007" s="27">
        <f>YEAR(Q1007)</f>
        <v/>
      </c>
      <c r="Q1007" s="95" t="n">
        <v>45761</v>
      </c>
      <c r="R1007" s="96" t="n">
        <v>0.0775</v>
      </c>
      <c r="T1007" s="27">
        <f>YEAR(U1007)</f>
        <v/>
      </c>
      <c r="U1007" s="95" t="n">
        <v>45810</v>
      </c>
      <c r="V1007" s="96" t="n">
        <v>0.0701</v>
      </c>
    </row>
    <row r="1008">
      <c r="P1008" s="27">
        <f>YEAR(Q1008)</f>
        <v/>
      </c>
      <c r="Q1008" s="97" t="n">
        <v>45762</v>
      </c>
      <c r="R1008" s="98" t="n">
        <v>0.0775</v>
      </c>
      <c r="T1008" s="27">
        <f>YEAR(U1008)</f>
        <v/>
      </c>
      <c r="U1008" s="97" t="n">
        <v>45811</v>
      </c>
      <c r="V1008" s="98" t="n">
        <v>0.0701</v>
      </c>
    </row>
    <row r="1009">
      <c r="P1009" s="27">
        <f>YEAR(Q1009)</f>
        <v/>
      </c>
      <c r="Q1009" s="95" t="n">
        <v>45763</v>
      </c>
      <c r="R1009" s="96" t="n">
        <v>0.0775</v>
      </c>
      <c r="T1009" s="27">
        <f>YEAR(U1009)</f>
        <v/>
      </c>
      <c r="U1009" s="95" t="n">
        <v>45812</v>
      </c>
      <c r="V1009" s="96" t="n">
        <v>0.0701</v>
      </c>
    </row>
    <row r="1010">
      <c r="P1010" s="27">
        <f>YEAR(Q1010)</f>
        <v/>
      </c>
      <c r="Q1010" s="97" t="n">
        <v>45764</v>
      </c>
      <c r="R1010" s="98" t="n">
        <v>0.0775</v>
      </c>
      <c r="T1010" s="27">
        <f>YEAR(U1010)</f>
        <v/>
      </c>
      <c r="U1010" s="97" t="n">
        <v>45813</v>
      </c>
      <c r="V1010" s="98" t="n">
        <v>0.0701</v>
      </c>
    </row>
    <row r="1011">
      <c r="P1011" s="27">
        <f>YEAR(Q1011)</f>
        <v/>
      </c>
      <c r="Q1011" s="95" t="n">
        <v>45765</v>
      </c>
      <c r="R1011" s="96" t="n">
        <v>0.0775</v>
      </c>
      <c r="T1011" s="27">
        <f>YEAR(U1011)</f>
        <v/>
      </c>
      <c r="U1011" s="95" t="n">
        <v>45818</v>
      </c>
      <c r="V1011" s="96" t="n">
        <v>0.0701</v>
      </c>
    </row>
    <row r="1012">
      <c r="P1012" s="27">
        <f>YEAR(Q1012)</f>
        <v/>
      </c>
      <c r="Q1012" s="97" t="n">
        <v>45769</v>
      </c>
      <c r="R1012" s="98" t="n">
        <v>0.0775</v>
      </c>
      <c r="T1012" s="27">
        <f>YEAR(U1012)</f>
        <v/>
      </c>
      <c r="U1012" s="97" t="n">
        <v>45819</v>
      </c>
      <c r="V1012" s="98" t="n">
        <v>0.0701</v>
      </c>
    </row>
    <row r="1013">
      <c r="P1013" s="27">
        <f>YEAR(Q1013)</f>
        <v/>
      </c>
      <c r="Q1013" s="95" t="n">
        <v>45770</v>
      </c>
      <c r="R1013" s="96" t="n">
        <v>0.0775</v>
      </c>
      <c r="T1013" s="27">
        <f>YEAR(U1013)</f>
        <v/>
      </c>
      <c r="U1013" s="95" t="n">
        <v>45820</v>
      </c>
      <c r="V1013" s="96" t="n">
        <v>0.0701</v>
      </c>
    </row>
    <row r="1014">
      <c r="P1014" s="27">
        <f>YEAR(Q1014)</f>
        <v/>
      </c>
      <c r="Q1014" s="97" t="n">
        <v>45771</v>
      </c>
      <c r="R1014" s="98" t="n">
        <v>0.0775</v>
      </c>
      <c r="T1014" s="27">
        <f>YEAR(U1014)</f>
        <v/>
      </c>
      <c r="U1014" s="97" t="n">
        <v>45821</v>
      </c>
      <c r="V1014" s="98" t="n">
        <v>0.0701</v>
      </c>
    </row>
    <row r="1015">
      <c r="P1015" s="27">
        <f>YEAR(Q1015)</f>
        <v/>
      </c>
      <c r="Q1015" s="95" t="n">
        <v>45772</v>
      </c>
      <c r="R1015" s="96" t="n">
        <v>0.0775</v>
      </c>
      <c r="T1015" s="27">
        <f>YEAR(U1015)</f>
        <v/>
      </c>
      <c r="U1015" s="95" t="n">
        <v>45824</v>
      </c>
      <c r="V1015" s="96" t="n">
        <v>0.0701</v>
      </c>
    </row>
    <row r="1016">
      <c r="P1016" s="27">
        <f>YEAR(Q1016)</f>
        <v/>
      </c>
      <c r="Q1016" s="97" t="n">
        <v>45775</v>
      </c>
      <c r="R1016" s="98" t="n">
        <v>0.0774</v>
      </c>
      <c r="T1016" s="27">
        <f>YEAR(U1016)</f>
        <v/>
      </c>
      <c r="U1016" s="97" t="n">
        <v>45825</v>
      </c>
      <c r="V1016" s="98" t="n">
        <v>0.0701</v>
      </c>
    </row>
    <row r="1017">
      <c r="P1017" s="27">
        <f>YEAR(Q1017)</f>
        <v/>
      </c>
      <c r="Q1017" s="95" t="n">
        <v>45776</v>
      </c>
      <c r="R1017" s="96" t="n">
        <v>0.0774</v>
      </c>
      <c r="T1017" s="27">
        <f>YEAR(U1017)</f>
        <v/>
      </c>
      <c r="U1017" s="95" t="n">
        <v>45826</v>
      </c>
      <c r="V1017" s="96" t="n">
        <v>0.0701</v>
      </c>
    </row>
    <row r="1018">
      <c r="P1018" s="27">
        <f>YEAR(Q1018)</f>
        <v/>
      </c>
      <c r="Q1018" s="97" t="n">
        <v>45777</v>
      </c>
      <c r="R1018" s="98" t="n">
        <v>0.0774</v>
      </c>
      <c r="T1018" s="27">
        <f>YEAR(U1018)</f>
        <v/>
      </c>
      <c r="U1018" s="97" t="n">
        <v>45827</v>
      </c>
      <c r="V1018" s="98" t="n">
        <v>0.0701</v>
      </c>
    </row>
    <row r="1019">
      <c r="P1019" s="27">
        <f>YEAR(Q1019)</f>
        <v/>
      </c>
      <c r="Q1019" s="95" t="n">
        <v>45779</v>
      </c>
      <c r="R1019" s="96" t="n">
        <v>0.0774</v>
      </c>
      <c r="T1019" s="27">
        <f>YEAR(U1019)</f>
        <v/>
      </c>
      <c r="U1019" s="95" t="n">
        <v>45828</v>
      </c>
      <c r="V1019" s="96" t="n">
        <v>0.0701</v>
      </c>
    </row>
    <row r="1020">
      <c r="P1020" s="27">
        <f>YEAR(Q1020)</f>
        <v/>
      </c>
      <c r="Q1020" s="97" t="n">
        <v>45782</v>
      </c>
      <c r="R1020" s="98" t="n">
        <v>0.0774</v>
      </c>
      <c r="T1020" s="27">
        <f>YEAR(U1020)</f>
        <v/>
      </c>
      <c r="U1020" s="97" t="n">
        <v>45831</v>
      </c>
      <c r="V1020" s="98" t="n">
        <v>0.0701</v>
      </c>
    </row>
    <row r="1021">
      <c r="P1021" s="27">
        <f>YEAR(Q1021)</f>
        <v/>
      </c>
      <c r="Q1021" s="95" t="n">
        <v>45783</v>
      </c>
      <c r="R1021" s="96" t="n">
        <v>0.0774</v>
      </c>
      <c r="T1021" s="27">
        <f>YEAR(U1021)</f>
        <v/>
      </c>
      <c r="U1021" s="95" t="n">
        <v>45832</v>
      </c>
      <c r="V1021" s="96" t="n">
        <v>0.0701</v>
      </c>
    </row>
    <row r="1022">
      <c r="P1022" s="27">
        <f>YEAR(Q1022)</f>
        <v/>
      </c>
      <c r="Q1022" s="97" t="n">
        <v>45784</v>
      </c>
      <c r="R1022" s="98" t="n">
        <v>0.0774</v>
      </c>
      <c r="T1022" s="27">
        <f>YEAR(U1022)</f>
        <v/>
      </c>
      <c r="U1022" s="97" t="n">
        <v>45833</v>
      </c>
      <c r="V1022" s="98" t="n">
        <v>0.0701</v>
      </c>
    </row>
    <row r="1023">
      <c r="P1023" s="27">
        <f>YEAR(Q1023)</f>
        <v/>
      </c>
      <c r="Q1023" s="95" t="n">
        <v>45785</v>
      </c>
      <c r="R1023" s="96" t="n">
        <v>0.0774</v>
      </c>
      <c r="T1023" s="27">
        <f>YEAR(U1023)</f>
        <v/>
      </c>
      <c r="U1023" s="95" t="n">
        <v>45834</v>
      </c>
      <c r="V1023" s="96" t="n">
        <v>0.0701</v>
      </c>
    </row>
    <row r="1024">
      <c r="P1024" s="27">
        <f>YEAR(Q1024)</f>
        <v/>
      </c>
      <c r="Q1024" s="97" t="n">
        <v>45786</v>
      </c>
      <c r="R1024" s="98" t="n">
        <v>0.0774</v>
      </c>
      <c r="T1024" s="27">
        <f>YEAR(U1024)</f>
        <v/>
      </c>
      <c r="U1024" s="97" t="n">
        <v>45835</v>
      </c>
      <c r="V1024" s="98" t="n">
        <v>0.0701</v>
      </c>
    </row>
    <row r="1025">
      <c r="P1025" s="27">
        <f>YEAR(Q1025)</f>
        <v/>
      </c>
      <c r="Q1025" s="95" t="n">
        <v>45789</v>
      </c>
      <c r="R1025" s="96" t="n">
        <v>0.0774</v>
      </c>
      <c r="T1025" s="27">
        <f>YEAR(U1025)</f>
        <v/>
      </c>
      <c r="U1025" s="95" t="n">
        <v>45838</v>
      </c>
      <c r="V1025" s="96" t="n">
        <v>0.0701</v>
      </c>
    </row>
    <row r="1026">
      <c r="P1026" s="27">
        <f>YEAR(Q1026)</f>
        <v/>
      </c>
      <c r="Q1026" s="97" t="n">
        <v>45790</v>
      </c>
      <c r="R1026" s="98" t="n">
        <v>0.0774</v>
      </c>
      <c r="T1026" s="27">
        <f>YEAR(U1026)</f>
        <v/>
      </c>
      <c r="U1026" s="97" t="n">
        <v>45839</v>
      </c>
      <c r="V1026" s="98" t="n">
        <v>0.0701</v>
      </c>
    </row>
    <row r="1027">
      <c r="P1027" s="27">
        <f>YEAR(Q1027)</f>
        <v/>
      </c>
      <c r="Q1027" s="95" t="n">
        <v>45791</v>
      </c>
      <c r="R1027" s="96" t="n">
        <v>0.07592</v>
      </c>
      <c r="T1027" s="27">
        <f>YEAR(U1027)</f>
        <v/>
      </c>
      <c r="U1027" s="95" t="n">
        <v>45840</v>
      </c>
      <c r="V1027" s="96" t="n">
        <v>0.0701</v>
      </c>
    </row>
    <row r="1028">
      <c r="P1028" s="27">
        <f>YEAR(Q1028)</f>
        <v/>
      </c>
      <c r="Q1028" s="97" t="n">
        <v>45792</v>
      </c>
      <c r="R1028" s="98" t="n">
        <v>0.07642</v>
      </c>
      <c r="T1028" s="27">
        <f>YEAR(U1028)</f>
        <v/>
      </c>
      <c r="U1028" s="97" t="n">
        <v>45841</v>
      </c>
      <c r="V1028" s="98" t="n">
        <v>0.0701</v>
      </c>
    </row>
    <row r="1029">
      <c r="P1029" s="27">
        <f>YEAR(Q1029)</f>
        <v/>
      </c>
      <c r="Q1029" s="95" t="n">
        <v>45793</v>
      </c>
      <c r="R1029" s="96" t="n">
        <v>0.07642</v>
      </c>
      <c r="T1029" s="27">
        <f>YEAR(U1029)</f>
        <v/>
      </c>
      <c r="U1029" s="95" t="n">
        <v>45842</v>
      </c>
      <c r="V1029" s="96" t="n">
        <v>0.0701</v>
      </c>
    </row>
    <row r="1030">
      <c r="P1030" s="27">
        <f>YEAR(Q1030)</f>
        <v/>
      </c>
      <c r="Q1030" s="97" t="n">
        <v>45796</v>
      </c>
      <c r="R1030" s="98" t="n">
        <v>0.0784</v>
      </c>
      <c r="T1030" s="27">
        <f>YEAR(U1030)</f>
        <v/>
      </c>
      <c r="U1030" s="97" t="n">
        <v>45845</v>
      </c>
      <c r="V1030" s="98" t="n">
        <v>0.0701</v>
      </c>
    </row>
    <row r="1031">
      <c r="P1031" s="27">
        <f>YEAR(Q1031)</f>
        <v/>
      </c>
      <c r="Q1031" s="95" t="n">
        <v>45797</v>
      </c>
      <c r="R1031" s="96" t="n">
        <v>0.0784</v>
      </c>
      <c r="T1031" s="27">
        <f>YEAR(U1031)</f>
        <v/>
      </c>
      <c r="U1031" s="95" t="n">
        <v>45846</v>
      </c>
      <c r="V1031" s="96" t="n">
        <v>0.0701</v>
      </c>
    </row>
    <row r="1032">
      <c r="P1032" s="27">
        <f>YEAR(Q1032)</f>
        <v/>
      </c>
      <c r="Q1032" s="97" t="n">
        <v>45799</v>
      </c>
      <c r="R1032" s="98" t="n">
        <v>0.0784</v>
      </c>
      <c r="T1032" s="27">
        <f>YEAR(U1032)</f>
        <v/>
      </c>
      <c r="U1032" s="97" t="n">
        <v>45847</v>
      </c>
      <c r="V1032" s="98" t="n">
        <v>0.0701</v>
      </c>
    </row>
    <row r="1033">
      <c r="P1033" s="27">
        <f>YEAR(Q1033)</f>
        <v/>
      </c>
      <c r="Q1033" s="95" t="n">
        <v>45800</v>
      </c>
      <c r="R1033" s="96" t="n">
        <v>0.0784</v>
      </c>
      <c r="T1033" s="27">
        <f>YEAR(U1033)</f>
        <v/>
      </c>
      <c r="U1033" s="95" t="n">
        <v>45848</v>
      </c>
      <c r="V1033" s="96" t="n">
        <v>0.0701</v>
      </c>
    </row>
    <row r="1034">
      <c r="P1034" s="27">
        <f>YEAR(Q1034)</f>
        <v/>
      </c>
      <c r="Q1034" s="97" t="n">
        <v>45803</v>
      </c>
      <c r="R1034" s="98" t="n">
        <v>0.0784</v>
      </c>
      <c r="T1034" s="27">
        <f>YEAR(U1034)</f>
        <v/>
      </c>
      <c r="U1034" s="97" t="n">
        <v>45849</v>
      </c>
      <c r="V1034" s="98" t="n">
        <v>0.0701</v>
      </c>
    </row>
    <row r="1035">
      <c r="P1035" s="27">
        <f>YEAR(Q1035)</f>
        <v/>
      </c>
      <c r="Q1035" s="95" t="n">
        <v>45804</v>
      </c>
      <c r="R1035" s="96" t="n">
        <v>0.0784</v>
      </c>
      <c r="T1035" s="27">
        <f>YEAR(U1035)</f>
        <v/>
      </c>
      <c r="U1035" s="95" t="n">
        <v>45852</v>
      </c>
      <c r="V1035" s="96" t="n">
        <v>0.0701</v>
      </c>
    </row>
    <row r="1036">
      <c r="P1036" s="27">
        <f>YEAR(Q1036)</f>
        <v/>
      </c>
      <c r="Q1036" s="97" t="n">
        <v>45805</v>
      </c>
      <c r="R1036" s="98" t="n">
        <v>0.0784</v>
      </c>
      <c r="T1036" s="27">
        <f>YEAR(U1036)</f>
        <v/>
      </c>
      <c r="U1036" s="97" t="n">
        <v>45853</v>
      </c>
      <c r="V1036" s="98" t="n">
        <v>0.0701</v>
      </c>
    </row>
    <row r="1037">
      <c r="P1037" s="27">
        <f>YEAR(Q1037)</f>
        <v/>
      </c>
      <c r="Q1037" s="95" t="n">
        <v>45807</v>
      </c>
      <c r="R1037" s="96" t="n">
        <v>0.0784</v>
      </c>
      <c r="T1037" s="27">
        <f>YEAR(U1037)</f>
        <v/>
      </c>
      <c r="U1037" s="95" t="n">
        <v>45854</v>
      </c>
      <c r="V1037" s="96" t="n">
        <v>0.0701</v>
      </c>
    </row>
    <row r="1038">
      <c r="P1038" s="27">
        <f>YEAR(Q1038)</f>
        <v/>
      </c>
      <c r="Q1038" s="97" t="n">
        <v>45810</v>
      </c>
      <c r="R1038" s="98" t="n">
        <v>0.0784</v>
      </c>
      <c r="T1038" s="27">
        <f>YEAR(U1038)</f>
        <v/>
      </c>
      <c r="U1038" s="97" t="n">
        <v>45855</v>
      </c>
      <c r="V1038" s="98" t="n">
        <v>0.0701</v>
      </c>
    </row>
    <row r="1039">
      <c r="P1039" s="27">
        <f>YEAR(Q1039)</f>
        <v/>
      </c>
      <c r="Q1039" s="95" t="n">
        <v>45811</v>
      </c>
      <c r="R1039" s="96" t="n">
        <v>0.0784</v>
      </c>
      <c r="T1039" s="27">
        <f>YEAR(U1039)</f>
        <v/>
      </c>
      <c r="U1039" s="95" t="n">
        <v>45856</v>
      </c>
      <c r="V1039" s="96" t="n">
        <v>0.0701</v>
      </c>
    </row>
    <row r="1040">
      <c r="P1040" s="27">
        <f>YEAR(Q1040)</f>
        <v/>
      </c>
      <c r="Q1040" s="97" t="n">
        <v>45812</v>
      </c>
      <c r="R1040" s="98" t="n">
        <v>0.0784</v>
      </c>
      <c r="T1040" s="27">
        <f>YEAR(U1040)</f>
        <v/>
      </c>
      <c r="U1040" s="97" t="n">
        <v>45859</v>
      </c>
      <c r="V1040" s="98" t="n">
        <v>0.0701</v>
      </c>
    </row>
    <row r="1041">
      <c r="P1041" s="27">
        <f>YEAR(Q1041)</f>
        <v/>
      </c>
      <c r="Q1041" s="95" t="n">
        <v>45813</v>
      </c>
      <c r="R1041" s="96" t="n">
        <v>0.0784</v>
      </c>
      <c r="T1041" s="27">
        <f>YEAR(U1041)</f>
        <v/>
      </c>
      <c r="U1041" s="95" t="n">
        <v>45860</v>
      </c>
      <c r="V1041" s="96" t="n">
        <v>0.0701</v>
      </c>
    </row>
    <row r="1042">
      <c r="P1042" s="27">
        <f>YEAR(Q1042)</f>
        <v/>
      </c>
      <c r="Q1042" s="97" t="n">
        <v>45818</v>
      </c>
      <c r="R1042" s="98" t="n">
        <v>0.0784</v>
      </c>
      <c r="T1042" s="27">
        <f>YEAR(U1042)</f>
        <v/>
      </c>
      <c r="U1042" s="97" t="n">
        <v>45861</v>
      </c>
      <c r="V1042" s="98" t="n">
        <v>0.0701</v>
      </c>
    </row>
    <row r="1043">
      <c r="P1043" s="27">
        <f>YEAR(Q1043)</f>
        <v/>
      </c>
      <c r="Q1043" s="95" t="n">
        <v>45819</v>
      </c>
      <c r="R1043" s="96" t="n">
        <v>0.0784</v>
      </c>
      <c r="T1043" s="27">
        <f>YEAR(U1043)</f>
        <v/>
      </c>
      <c r="U1043" s="95" t="n">
        <v>45862</v>
      </c>
      <c r="V1043" s="96" t="n">
        <v>0.0701</v>
      </c>
    </row>
    <row r="1044">
      <c r="P1044" s="27">
        <f>YEAR(Q1044)</f>
        <v/>
      </c>
      <c r="Q1044" s="97" t="n">
        <v>45820</v>
      </c>
      <c r="R1044" s="98" t="n">
        <v>0.0784</v>
      </c>
      <c r="T1044" s="27">
        <f>YEAR(U1044)</f>
        <v/>
      </c>
      <c r="U1044" s="97" t="n">
        <v>45863</v>
      </c>
      <c r="V1044" s="98" t="n">
        <v>0.0701</v>
      </c>
    </row>
    <row r="1045">
      <c r="P1045" s="27">
        <f>YEAR(Q1045)</f>
        <v/>
      </c>
      <c r="Q1045" s="95" t="n">
        <v>45821</v>
      </c>
      <c r="R1045" s="96" t="n">
        <v>0.0785</v>
      </c>
      <c r="T1045" s="27">
        <f>YEAR(U1045)</f>
        <v/>
      </c>
      <c r="U1045" s="95" t="n">
        <v>45866</v>
      </c>
      <c r="V1045" s="96" t="n">
        <v>0.0701</v>
      </c>
    </row>
    <row r="1046">
      <c r="P1046" s="27">
        <f>YEAR(Q1046)</f>
        <v/>
      </c>
      <c r="Q1046" s="97" t="n">
        <v>45824</v>
      </c>
      <c r="R1046" s="98" t="n">
        <v>0.0785</v>
      </c>
      <c r="T1046" s="27">
        <f>YEAR(U1046)</f>
        <v/>
      </c>
      <c r="U1046" s="97" t="n">
        <v>45867</v>
      </c>
      <c r="V1046" s="98" t="n">
        <v>0.0701</v>
      </c>
    </row>
    <row r="1047">
      <c r="P1047" s="27">
        <f>YEAR(Q1047)</f>
        <v/>
      </c>
      <c r="Q1047" s="95" t="n">
        <v>45825</v>
      </c>
      <c r="R1047" s="96" t="n">
        <v>0.0785</v>
      </c>
      <c r="T1047" s="27">
        <f>YEAR(U1047)</f>
        <v/>
      </c>
      <c r="U1047" s="95" t="n">
        <v>45868</v>
      </c>
      <c r="V1047" s="96" t="n">
        <v>0.0701</v>
      </c>
    </row>
    <row r="1048">
      <c r="P1048" s="27">
        <f>YEAR(Q1048)</f>
        <v/>
      </c>
      <c r="Q1048" s="97" t="n">
        <v>45826</v>
      </c>
      <c r="R1048" s="98" t="n">
        <v>0.0785</v>
      </c>
      <c r="T1048" s="27">
        <f>YEAR(U1048)</f>
        <v/>
      </c>
      <c r="U1048" s="97" t="n">
        <v>45869</v>
      </c>
      <c r="V1048" s="98" t="n">
        <v>0.0701</v>
      </c>
    </row>
    <row r="1049">
      <c r="P1049" s="27">
        <f>YEAR(Q1049)</f>
        <v/>
      </c>
      <c r="Q1049" s="95" t="n">
        <v>45827</v>
      </c>
      <c r="R1049" s="96" t="n">
        <v>0.0785</v>
      </c>
      <c r="T1049" s="27">
        <f>YEAR(U1049)</f>
        <v/>
      </c>
      <c r="U1049" s="95" t="n">
        <v>45870</v>
      </c>
      <c r="V1049" s="96" t="n">
        <v>0.0701</v>
      </c>
    </row>
    <row r="1050">
      <c r="P1050" s="27">
        <f>YEAR(Q1050)</f>
        <v/>
      </c>
      <c r="Q1050" s="97" t="n">
        <v>45828</v>
      </c>
      <c r="R1050" s="98" t="n">
        <v>0.0785</v>
      </c>
      <c r="T1050" s="27">
        <f>YEAR(U1050)</f>
        <v/>
      </c>
      <c r="U1050" s="97" t="n">
        <v>45873</v>
      </c>
      <c r="V1050" s="98" t="n">
        <v>0.0701</v>
      </c>
    </row>
    <row r="1051">
      <c r="P1051" s="27">
        <f>YEAR(Q1051)</f>
        <v/>
      </c>
      <c r="Q1051" s="95" t="n">
        <v>45831</v>
      </c>
      <c r="R1051" s="96" t="n">
        <v>0.0785</v>
      </c>
      <c r="T1051" s="27">
        <f>YEAR(U1051)</f>
        <v/>
      </c>
      <c r="U1051" s="95" t="n">
        <v>45874</v>
      </c>
      <c r="V1051" s="96" t="n">
        <v>0.0701</v>
      </c>
    </row>
    <row r="1052">
      <c r="P1052" s="27">
        <f>YEAR(Q1052)</f>
        <v/>
      </c>
      <c r="Q1052" s="97" t="n">
        <v>45832</v>
      </c>
      <c r="R1052" s="98" t="n">
        <v>0.0785</v>
      </c>
      <c r="T1052" s="27">
        <f>YEAR(U1052)</f>
        <v/>
      </c>
      <c r="U1052" s="97" t="n">
        <v>45875</v>
      </c>
      <c r="V1052" s="98" t="n">
        <v>0.0701</v>
      </c>
    </row>
    <row r="1053">
      <c r="P1053" s="27">
        <f>YEAR(Q1053)</f>
        <v/>
      </c>
      <c r="Q1053" s="95" t="n">
        <v>45833</v>
      </c>
      <c r="R1053" s="96" t="n">
        <v>0.0785</v>
      </c>
      <c r="T1053" s="27">
        <f>YEAR(U1053)</f>
        <v/>
      </c>
      <c r="U1053" s="95" t="n">
        <v>45877</v>
      </c>
      <c r="V1053" s="96" t="n">
        <v>0.0701</v>
      </c>
    </row>
    <row r="1054">
      <c r="P1054" s="27">
        <f>YEAR(Q1054)</f>
        <v/>
      </c>
      <c r="Q1054" s="97" t="n">
        <v>45834</v>
      </c>
      <c r="R1054" s="98" t="n">
        <v>0.0785</v>
      </c>
      <c r="T1054" s="27">
        <f>YEAR(U1054)</f>
        <v/>
      </c>
      <c r="U1054" s="97" t="n">
        <v>45880</v>
      </c>
      <c r="V1054" s="98" t="n">
        <v>0.0701</v>
      </c>
    </row>
    <row r="1055">
      <c r="P1055" s="27">
        <f>YEAR(Q1055)</f>
        <v/>
      </c>
      <c r="Q1055" s="95" t="n">
        <v>45835</v>
      </c>
      <c r="R1055" s="96" t="n">
        <v>0.0785</v>
      </c>
      <c r="T1055" s="27">
        <f>YEAR(U1055)</f>
        <v/>
      </c>
      <c r="U1055" s="95" t="n">
        <v>45881</v>
      </c>
      <c r="V1055" s="96" t="n">
        <v>0.0701</v>
      </c>
    </row>
    <row r="1056">
      <c r="P1056" s="27">
        <f>YEAR(Q1056)</f>
        <v/>
      </c>
      <c r="Q1056" s="97" t="n">
        <v>45838</v>
      </c>
      <c r="R1056" s="98" t="n">
        <v>0.0785</v>
      </c>
      <c r="T1056" s="27">
        <f>YEAR(U1056)</f>
        <v/>
      </c>
      <c r="U1056" s="97" t="n">
        <v>45882</v>
      </c>
      <c r="V1056" s="98" t="n">
        <v>0.0701</v>
      </c>
    </row>
    <row r="1057">
      <c r="P1057" s="27">
        <f>YEAR(Q1057)</f>
        <v/>
      </c>
      <c r="Q1057" s="95" t="n">
        <v>45839</v>
      </c>
      <c r="R1057" s="96" t="n">
        <v>0.0785</v>
      </c>
      <c r="T1057" s="27">
        <f>YEAR(U1057)</f>
        <v/>
      </c>
      <c r="U1057" s="95" t="n">
        <v>45883</v>
      </c>
      <c r="V1057" s="96" t="n">
        <v>0.0701</v>
      </c>
    </row>
    <row r="1058">
      <c r="P1058" s="27">
        <f>YEAR(Q1058)</f>
        <v/>
      </c>
      <c r="Q1058" s="97" t="n">
        <v>45840</v>
      </c>
      <c r="R1058" s="98" t="n">
        <v>0.0785</v>
      </c>
      <c r="T1058" s="27">
        <f>YEAR(U1058)</f>
        <v/>
      </c>
      <c r="U1058" s="97" t="n">
        <v>45887</v>
      </c>
      <c r="V1058" s="98" t="n">
        <v>0.0731</v>
      </c>
    </row>
    <row r="1059">
      <c r="P1059" s="27">
        <f>YEAR(Q1059)</f>
        <v/>
      </c>
      <c r="Q1059" s="95" t="n">
        <v>45841</v>
      </c>
      <c r="R1059" s="96" t="n">
        <v>0.0785</v>
      </c>
      <c r="T1059" s="27">
        <f>YEAR(U1059)</f>
        <v/>
      </c>
      <c r="U1059" s="95" t="n">
        <v>45888</v>
      </c>
      <c r="V1059" s="96" t="n">
        <v>0.0731</v>
      </c>
    </row>
    <row r="1060">
      <c r="P1060" s="27">
        <f>YEAR(Q1060)</f>
        <v/>
      </c>
      <c r="Q1060" s="97" t="n">
        <v>45842</v>
      </c>
      <c r="R1060" s="98" t="n">
        <v>0.0785</v>
      </c>
      <c r="T1060" s="27">
        <f>YEAR(U1060)</f>
        <v/>
      </c>
      <c r="U1060" s="97" t="n">
        <v>45889</v>
      </c>
      <c r="V1060" s="98" t="n">
        <v>0.0731</v>
      </c>
    </row>
    <row r="1061">
      <c r="P1061" s="27">
        <f>YEAR(Q1061)</f>
        <v/>
      </c>
      <c r="Q1061" s="95" t="n">
        <v>45845</v>
      </c>
      <c r="R1061" s="96" t="n">
        <v>0.0785</v>
      </c>
      <c r="T1061" s="27">
        <f>YEAR(U1061)</f>
        <v/>
      </c>
      <c r="U1061" s="95" t="n">
        <v>45890</v>
      </c>
      <c r="V1061" s="96" t="n">
        <v>0.0731</v>
      </c>
    </row>
    <row r="1062">
      <c r="P1062" s="27">
        <f>YEAR(Q1062)</f>
        <v/>
      </c>
      <c r="Q1062" s="97" t="n">
        <v>45846</v>
      </c>
      <c r="R1062" s="98" t="n">
        <v>0.0785</v>
      </c>
      <c r="T1062" s="27">
        <f>YEAR(U1062)</f>
        <v/>
      </c>
      <c r="U1062" s="97" t="n">
        <v>45891</v>
      </c>
      <c r="V1062" s="98" t="n">
        <v>0.0731</v>
      </c>
    </row>
    <row r="1063">
      <c r="P1063" s="27">
        <f>YEAR(Q1063)</f>
        <v/>
      </c>
      <c r="Q1063" s="95" t="n">
        <v>45847</v>
      </c>
      <c r="R1063" s="96" t="n">
        <v>0.0742</v>
      </c>
      <c r="T1063" s="27">
        <f>YEAR(U1063)</f>
        <v/>
      </c>
      <c r="U1063" s="95" t="n">
        <v>45894</v>
      </c>
      <c r="V1063" s="96" t="n">
        <v>0.0731</v>
      </c>
    </row>
    <row r="1064">
      <c r="P1064" s="27">
        <f>YEAR(Q1064)</f>
        <v/>
      </c>
      <c r="Q1064" s="97" t="n">
        <v>45848</v>
      </c>
      <c r="R1064" s="98" t="n">
        <v>0.0742</v>
      </c>
      <c r="T1064" s="27">
        <f>YEAR(U1064)</f>
        <v/>
      </c>
      <c r="U1064" s="97" t="n">
        <v>45895</v>
      </c>
      <c r="V1064" s="98" t="n">
        <v>0.0731</v>
      </c>
    </row>
    <row r="1065">
      <c r="P1065" s="27">
        <f>YEAR(Q1065)</f>
        <v/>
      </c>
      <c r="Q1065" s="95" t="n">
        <v>45849</v>
      </c>
      <c r="R1065" s="96" t="n">
        <v>0.0742</v>
      </c>
      <c r="T1065" s="27">
        <f>YEAR(U1065)</f>
        <v/>
      </c>
      <c r="U1065" s="95" t="n">
        <v>45896</v>
      </c>
      <c r="V1065" s="96" t="n">
        <v>0.07240000000000001</v>
      </c>
    </row>
    <row r="1066">
      <c r="P1066" s="27">
        <f>YEAR(Q1066)</f>
        <v/>
      </c>
      <c r="Q1066" s="97" t="n">
        <v>45852</v>
      </c>
      <c r="R1066" s="98" t="n">
        <v>0.0742</v>
      </c>
      <c r="T1066" s="27">
        <f>YEAR(U1066)</f>
        <v/>
      </c>
      <c r="U1066" s="97" t="n">
        <v>45897</v>
      </c>
      <c r="V1066" s="98" t="n">
        <v>0.07240000000000001</v>
      </c>
    </row>
    <row r="1067">
      <c r="P1067" s="27">
        <f>YEAR(Q1067)</f>
        <v/>
      </c>
      <c r="Q1067" s="95" t="n">
        <v>45853</v>
      </c>
      <c r="R1067" s="96" t="n">
        <v>0.0742</v>
      </c>
      <c r="T1067" s="27">
        <f>YEAR(U1067)</f>
        <v/>
      </c>
      <c r="U1067" s="95" t="n">
        <v>45898</v>
      </c>
      <c r="V1067" s="96" t="n">
        <v>0.07240000000000001</v>
      </c>
    </row>
    <row r="1068">
      <c r="P1068" s="27">
        <f>YEAR(Q1068)</f>
        <v/>
      </c>
      <c r="Q1068" s="97" t="n">
        <v>45854</v>
      </c>
      <c r="R1068" s="98" t="n">
        <v>0.0742</v>
      </c>
      <c r="T1068" s="27">
        <f>YEAR(U1068)</f>
        <v/>
      </c>
      <c r="U1068" s="97" t="n">
        <v>45901</v>
      </c>
      <c r="V1068" s="98" t="n">
        <v>0.07240000000000001</v>
      </c>
    </row>
    <row r="1069">
      <c r="P1069" s="27">
        <f>YEAR(Q1069)</f>
        <v/>
      </c>
      <c r="Q1069" s="95" t="n">
        <v>45855</v>
      </c>
      <c r="R1069" s="96" t="n">
        <v>0.0742</v>
      </c>
      <c r="T1069" s="27">
        <f>YEAR(U1069)</f>
        <v/>
      </c>
      <c r="U1069" s="95" t="n">
        <v>45902</v>
      </c>
      <c r="V1069" s="96" t="n">
        <v>0.07240000000000001</v>
      </c>
    </row>
    <row r="1070">
      <c r="P1070" s="27">
        <f>YEAR(Q1070)</f>
        <v/>
      </c>
      <c r="Q1070" s="97" t="n">
        <v>45856</v>
      </c>
      <c r="R1070" s="98" t="n">
        <v>0.0742</v>
      </c>
      <c r="T1070" s="27">
        <f>YEAR(U1070)</f>
        <v/>
      </c>
      <c r="U1070" s="97" t="n">
        <v>45903</v>
      </c>
      <c r="V1070" s="98" t="n">
        <v>0.07240000000000001</v>
      </c>
    </row>
    <row r="1071">
      <c r="P1071" s="27">
        <f>YEAR(Q1071)</f>
        <v/>
      </c>
      <c r="Q1071" s="95" t="n">
        <v>45859</v>
      </c>
      <c r="R1071" s="96" t="n">
        <v>0.0742</v>
      </c>
      <c r="T1071" s="27">
        <f>YEAR(U1071)</f>
        <v/>
      </c>
      <c r="U1071" s="95" t="n">
        <v>45905</v>
      </c>
      <c r="V1071" s="96" t="n">
        <v>0.07240000000000001</v>
      </c>
    </row>
    <row r="1072">
      <c r="P1072" s="27">
        <f>YEAR(Q1072)</f>
        <v/>
      </c>
      <c r="Q1072" s="97" t="n">
        <v>45860</v>
      </c>
      <c r="R1072" s="98" t="n">
        <v>0.0742</v>
      </c>
      <c r="T1072" s="27">
        <f>YEAR(U1072)</f>
        <v/>
      </c>
      <c r="U1072" s="97" t="n">
        <v>45908</v>
      </c>
      <c r="V1072" s="98" t="n">
        <v>0.07240000000000001</v>
      </c>
    </row>
    <row r="1073">
      <c r="P1073" s="27">
        <f>YEAR(Q1073)</f>
        <v/>
      </c>
      <c r="Q1073" s="95" t="n">
        <v>45861</v>
      </c>
      <c r="R1073" s="96" t="n">
        <v>0.0742</v>
      </c>
      <c r="T1073" s="27">
        <f>YEAR(U1073)</f>
        <v/>
      </c>
      <c r="U1073" s="95" t="n">
        <v>45909</v>
      </c>
      <c r="V1073" s="96" t="n">
        <v>0.07240000000000001</v>
      </c>
    </row>
    <row r="1074">
      <c r="P1074" s="27">
        <f>YEAR(Q1074)</f>
        <v/>
      </c>
      <c r="Q1074" s="97" t="n">
        <v>45862</v>
      </c>
      <c r="R1074" s="98" t="n">
        <v>0.0742</v>
      </c>
      <c r="T1074" s="27">
        <f>YEAR(U1074)</f>
        <v/>
      </c>
      <c r="U1074" s="97" t="n">
        <v>45910</v>
      </c>
      <c r="V1074" s="98" t="n">
        <v>0.07240000000000001</v>
      </c>
    </row>
    <row r="1075">
      <c r="P1075" s="27">
        <f>YEAR(Q1075)</f>
        <v/>
      </c>
      <c r="Q1075" s="95" t="n">
        <v>45863</v>
      </c>
      <c r="R1075" s="96" t="n">
        <v>0.0742</v>
      </c>
      <c r="T1075" s="27">
        <f>YEAR(U1075)</f>
        <v/>
      </c>
      <c r="U1075" s="95" t="n">
        <v>45911</v>
      </c>
      <c r="V1075" s="96" t="n">
        <v>0.07240000000000001</v>
      </c>
    </row>
    <row r="1076">
      <c r="P1076" s="27">
        <f>YEAR(Q1076)</f>
        <v/>
      </c>
      <c r="Q1076" s="97" t="n">
        <v>45866</v>
      </c>
      <c r="R1076" s="98" t="n">
        <v>0.0742</v>
      </c>
      <c r="T1076" s="27">
        <f>YEAR(U1076)</f>
        <v/>
      </c>
      <c r="U1076" s="97" t="n">
        <v>45912</v>
      </c>
      <c r="V1076" s="98" t="n">
        <v>0.07240000000000001</v>
      </c>
    </row>
    <row r="1077">
      <c r="P1077" s="27">
        <f>YEAR(Q1077)</f>
        <v/>
      </c>
      <c r="Q1077" s="95" t="n">
        <v>45867</v>
      </c>
      <c r="R1077" s="96" t="n">
        <v>0.0742</v>
      </c>
      <c r="T1077" s="27">
        <f>YEAR(U1077)</f>
        <v/>
      </c>
      <c r="U1077" s="95" t="n">
        <v>45915</v>
      </c>
      <c r="V1077" s="96" t="n">
        <v>0.07240000000000001</v>
      </c>
    </row>
    <row r="1078">
      <c r="P1078" s="27">
        <f>YEAR(Q1078)</f>
        <v/>
      </c>
      <c r="Q1078" s="97" t="n">
        <v>45868</v>
      </c>
      <c r="R1078" s="98" t="n">
        <v>0.0742</v>
      </c>
      <c r="T1078" s="27">
        <f>YEAR(U1078)</f>
        <v/>
      </c>
      <c r="U1078" s="97" t="n">
        <v>45916</v>
      </c>
      <c r="V1078" s="98" t="n">
        <v>0.07240000000000001</v>
      </c>
    </row>
    <row r="1079">
      <c r="P1079" s="27">
        <f>YEAR(Q1079)</f>
        <v/>
      </c>
      <c r="Q1079" s="95" t="n">
        <v>45869</v>
      </c>
      <c r="R1079" s="96" t="n">
        <v>0.0742</v>
      </c>
      <c r="T1079" s="27">
        <f>YEAR(U1079)</f>
        <v/>
      </c>
      <c r="U1079" s="95" t="n">
        <v>45917</v>
      </c>
      <c r="V1079" s="96" t="n">
        <v>0.07240000000000001</v>
      </c>
    </row>
    <row r="1080">
      <c r="P1080" s="27">
        <f>YEAR(Q1080)</f>
        <v/>
      </c>
      <c r="Q1080" s="97" t="n">
        <v>45870</v>
      </c>
      <c r="R1080" s="98" t="n">
        <v>0.0742</v>
      </c>
      <c r="T1080" s="27">
        <f>YEAR(U1080)</f>
        <v/>
      </c>
      <c r="U1080" s="97" t="n">
        <v>45918</v>
      </c>
      <c r="V1080" s="98" t="n">
        <v>0.07240000000000001</v>
      </c>
    </row>
    <row r="1081">
      <c r="P1081" s="27">
        <f>YEAR(Q1081)</f>
        <v/>
      </c>
      <c r="Q1081" s="95" t="n">
        <v>45873</v>
      </c>
      <c r="R1081" s="96" t="n">
        <v>0.0742</v>
      </c>
      <c r="T1081" s="27">
        <f>YEAR(U1081)</f>
        <v/>
      </c>
      <c r="U1081" s="95" t="n">
        <v>45919</v>
      </c>
      <c r="V1081" s="96" t="n">
        <v>0.07240000000000001</v>
      </c>
    </row>
    <row r="1082">
      <c r="P1082" s="27">
        <f>YEAR(Q1082)</f>
        <v/>
      </c>
      <c r="Q1082" s="97" t="n">
        <v>45874</v>
      </c>
      <c r="R1082" s="98" t="n">
        <v>0.0742</v>
      </c>
      <c r="T1082" s="27">
        <f>YEAR(U1082)</f>
        <v/>
      </c>
      <c r="U1082" s="97" t="n">
        <v>45922</v>
      </c>
      <c r="V1082" s="98" t="n">
        <v>0.07240000000000001</v>
      </c>
    </row>
    <row r="1083">
      <c r="P1083" s="27">
        <f>YEAR(Q1083)</f>
        <v/>
      </c>
      <c r="Q1083" s="95" t="n">
        <v>45875</v>
      </c>
      <c r="R1083" s="96" t="n">
        <v>0.0742</v>
      </c>
      <c r="T1083" s="27">
        <f>YEAR(U1083)</f>
        <v/>
      </c>
      <c r="U1083" s="95" t="n">
        <v>45923</v>
      </c>
      <c r="V1083" s="96" t="n">
        <v>0.07240000000000001</v>
      </c>
    </row>
    <row r="1084">
      <c r="P1084" s="27">
        <f>YEAR(Q1084)</f>
        <v/>
      </c>
      <c r="Q1084" s="97" t="n">
        <v>45877</v>
      </c>
      <c r="R1084" s="98" t="n">
        <v>0.0742</v>
      </c>
      <c r="T1084" s="27">
        <f>YEAR(U1084)</f>
        <v/>
      </c>
      <c r="U1084" s="97" t="n">
        <v>45924</v>
      </c>
      <c r="V1084" s="98" t="n">
        <v>0.07240000000000001</v>
      </c>
    </row>
    <row r="1085">
      <c r="P1085" s="27">
        <f>YEAR(Q1085)</f>
        <v/>
      </c>
      <c r="Q1085" s="95" t="n">
        <v>45880</v>
      </c>
      <c r="R1085" s="96" t="n">
        <v>0.0742</v>
      </c>
      <c r="T1085" s="27">
        <f>YEAR(U1085)</f>
        <v/>
      </c>
      <c r="U1085" s="95" t="n">
        <v>45925</v>
      </c>
      <c r="V1085" s="96" t="n">
        <v>0.07240000000000001</v>
      </c>
    </row>
    <row r="1086">
      <c r="P1086" s="27">
        <f>YEAR(Q1086)</f>
        <v/>
      </c>
      <c r="Q1086" s="97" t="n">
        <v>45881</v>
      </c>
      <c r="R1086" s="98" t="n">
        <v>0.0742</v>
      </c>
      <c r="T1086" s="27">
        <f>YEAR(U1086)</f>
        <v/>
      </c>
      <c r="U1086" s="97" t="n">
        <v>45926</v>
      </c>
      <c r="V1086" s="98" t="n">
        <v>0.07240000000000001</v>
      </c>
    </row>
    <row r="1087">
      <c r="P1087" s="27">
        <f>YEAR(Q1087)</f>
        <v/>
      </c>
      <c r="Q1087" s="95" t="n">
        <v>45882</v>
      </c>
      <c r="R1087" s="96" t="n">
        <v>0.0742</v>
      </c>
      <c r="T1087" s="27">
        <f>YEAR(U1087)</f>
        <v/>
      </c>
      <c r="U1087" s="95" t="n">
        <v>45929</v>
      </c>
      <c r="V1087" s="96" t="n">
        <v>0.07240000000000001</v>
      </c>
    </row>
    <row r="1088">
      <c r="P1088" s="27">
        <f>YEAR(Q1088)</f>
        <v/>
      </c>
      <c r="Q1088" s="97" t="n">
        <v>45883</v>
      </c>
      <c r="R1088" s="98" t="n">
        <v>0.0742</v>
      </c>
      <c r="T1088" s="27">
        <f>YEAR(U1088)</f>
        <v/>
      </c>
      <c r="U1088" s="97" t="n">
        <v>45930</v>
      </c>
      <c r="V1088" s="98" t="n">
        <v>0.07240000000000001</v>
      </c>
    </row>
    <row r="1089">
      <c r="P1089" s="27">
        <f>YEAR(Q1089)</f>
        <v/>
      </c>
      <c r="Q1089" s="95" t="n">
        <v>45887</v>
      </c>
      <c r="R1089" s="96" t="n">
        <v>0.0742</v>
      </c>
      <c r="T1089" s="27">
        <f>YEAR(U1089)</f>
        <v/>
      </c>
      <c r="U1089" s="95" t="n">
        <v>45931</v>
      </c>
      <c r="V1089" s="96" t="n">
        <v>0.07240000000000001</v>
      </c>
    </row>
    <row r="1090">
      <c r="P1090" s="27">
        <f>YEAR(Q1090)</f>
        <v/>
      </c>
      <c r="Q1090" s="97" t="n">
        <v>45888</v>
      </c>
      <c r="R1090" s="98" t="n">
        <v>0.0742</v>
      </c>
      <c r="T1090" s="27">
        <f>YEAR(U1090)</f>
        <v/>
      </c>
      <c r="U1090" s="97" t="n">
        <v>45932</v>
      </c>
      <c r="V1090" s="98" t="n">
        <v>0.07240000000000001</v>
      </c>
    </row>
    <row r="1091">
      <c r="P1091" s="27">
        <f>YEAR(Q1091)</f>
        <v/>
      </c>
      <c r="Q1091" s="95" t="n">
        <v>45889</v>
      </c>
      <c r="R1091" s="96" t="n">
        <v>0.0742</v>
      </c>
      <c r="T1091" s="27">
        <f>YEAR(U1091)</f>
        <v/>
      </c>
      <c r="U1091" s="95" t="n">
        <v>45933</v>
      </c>
      <c r="V1091" s="96" t="n">
        <v>0.07240000000000001</v>
      </c>
    </row>
    <row r="1092">
      <c r="P1092" s="27">
        <f>YEAR(Q1092)</f>
        <v/>
      </c>
      <c r="Q1092" s="97" t="n">
        <v>45890</v>
      </c>
      <c r="R1092" s="98" t="n">
        <v>0.0742</v>
      </c>
      <c r="T1092" s="27">
        <f>YEAR(U1092)</f>
        <v/>
      </c>
      <c r="U1092" s="97" t="n">
        <v>45936</v>
      </c>
      <c r="V1092" s="98" t="n">
        <v>0.07240000000000001</v>
      </c>
    </row>
    <row r="1093">
      <c r="P1093" s="27">
        <f>YEAR(Q1093)</f>
        <v/>
      </c>
      <c r="Q1093" s="95" t="n">
        <v>45891</v>
      </c>
      <c r="R1093" s="96" t="n">
        <v>0.0742</v>
      </c>
      <c r="T1093" s="27">
        <f>YEAR(U1093)</f>
        <v/>
      </c>
      <c r="U1093" s="95" t="n">
        <v>45937</v>
      </c>
      <c r="V1093" s="96" t="n">
        <v>0.07240000000000001</v>
      </c>
    </row>
    <row r="1094">
      <c r="P1094" s="27">
        <f>YEAR(Q1094)</f>
        <v/>
      </c>
      <c r="Q1094" s="97" t="n">
        <v>45894</v>
      </c>
      <c r="R1094" s="98" t="n">
        <v>0.0742</v>
      </c>
      <c r="T1094" s="27">
        <f>YEAR(U1094)</f>
        <v/>
      </c>
      <c r="U1094" s="97" t="n">
        <v>45938</v>
      </c>
      <c r="V1094" s="98" t="n">
        <v>0.07240000000000001</v>
      </c>
    </row>
    <row r="1095">
      <c r="P1095" s="27">
        <f>YEAR(Q1095)</f>
        <v/>
      </c>
      <c r="Q1095" s="95" t="n">
        <v>45895</v>
      </c>
      <c r="R1095" s="96" t="n">
        <v>0.0742</v>
      </c>
      <c r="T1095" s="27">
        <f>YEAR(U1095)</f>
        <v/>
      </c>
      <c r="U1095" s="95" t="n">
        <v>45939</v>
      </c>
      <c r="V1095" s="96" t="n">
        <v>0.07240000000000001</v>
      </c>
    </row>
    <row r="1096">
      <c r="P1096" s="27">
        <f>YEAR(Q1096)</f>
        <v/>
      </c>
      <c r="Q1096" s="97" t="n">
        <v>45896</v>
      </c>
      <c r="R1096" s="98" t="n">
        <v>0.0775</v>
      </c>
      <c r="T1096" s="27">
        <f>YEAR(U1096)</f>
        <v/>
      </c>
      <c r="U1096" s="97" t="n">
        <v>45940</v>
      </c>
      <c r="V1096" s="98" t="n">
        <v>0.07240000000000001</v>
      </c>
    </row>
    <row r="1097">
      <c r="P1097" s="27">
        <f>YEAR(Q1097)</f>
        <v/>
      </c>
      <c r="Q1097" s="95" t="n">
        <v>45897</v>
      </c>
      <c r="R1097" s="96" t="n">
        <v>0.0775</v>
      </c>
      <c r="T1097" s="27">
        <f>YEAR(U1097)</f>
        <v/>
      </c>
      <c r="U1097" s="95" t="n">
        <v>45943</v>
      </c>
      <c r="V1097" s="96" t="n">
        <v>0.07240000000000001</v>
      </c>
    </row>
    <row r="1098">
      <c r="P1098" s="27">
        <f>YEAR(Q1098)</f>
        <v/>
      </c>
      <c r="Q1098" s="97" t="n">
        <v>45898</v>
      </c>
      <c r="R1098" s="98" t="n">
        <v>0.0775</v>
      </c>
      <c r="T1098" s="27">
        <f>YEAR(U1098)</f>
        <v/>
      </c>
      <c r="U1098" s="97" t="n">
        <v>45944</v>
      </c>
      <c r="V1098" s="98" t="n">
        <v>0.07240000000000001</v>
      </c>
    </row>
    <row r="1099">
      <c r="P1099" s="27">
        <f>YEAR(Q1099)</f>
        <v/>
      </c>
      <c r="Q1099" s="95" t="n">
        <v>45901</v>
      </c>
      <c r="R1099" s="96" t="n">
        <v>0.0775</v>
      </c>
      <c r="T1099" s="27">
        <f>YEAR(U1099)</f>
        <v/>
      </c>
      <c r="U1099" s="95" t="n">
        <v>45945</v>
      </c>
      <c r="V1099" s="96" t="n">
        <v>0.07240000000000001</v>
      </c>
    </row>
    <row r="1100">
      <c r="P1100" s="27">
        <f>YEAR(Q1100)</f>
        <v/>
      </c>
      <c r="Q1100" s="97" t="n">
        <v>45902</v>
      </c>
      <c r="R1100" s="98" t="n">
        <v>0.0775</v>
      </c>
      <c r="T1100" s="27">
        <f>YEAR(U1100)</f>
        <v/>
      </c>
      <c r="U1100" s="97" t="n">
        <v>45946</v>
      </c>
      <c r="V1100" s="98" t="n">
        <v>0.07240000000000001</v>
      </c>
    </row>
    <row r="1101">
      <c r="P1101" s="27">
        <f>YEAR(Q1101)</f>
        <v/>
      </c>
      <c r="Q1101" s="95" t="n">
        <v>45903</v>
      </c>
      <c r="R1101" s="96" t="n">
        <v>0.0775</v>
      </c>
      <c r="T1101" s="27">
        <f>YEAR(U1101)</f>
        <v/>
      </c>
      <c r="U1101" s="95" t="n">
        <v>45947</v>
      </c>
      <c r="V1101" s="96" t="n">
        <v>0.07240000000000001</v>
      </c>
    </row>
    <row r="1102">
      <c r="P1102" s="27">
        <f>YEAR(Q1102)</f>
        <v/>
      </c>
      <c r="Q1102" s="97" t="n">
        <v>45905</v>
      </c>
      <c r="R1102" s="98" t="n">
        <v>0.0775</v>
      </c>
      <c r="T1102" s="27">
        <f>YEAR(U1102)</f>
        <v/>
      </c>
      <c r="U1102" s="97" t="n">
        <v>45950</v>
      </c>
      <c r="V1102" s="98" t="n">
        <v>0.07240000000000001</v>
      </c>
    </row>
    <row r="1103">
      <c r="P1103" s="27">
        <f>YEAR(Q1103)</f>
        <v/>
      </c>
      <c r="Q1103" s="95" t="n">
        <v>45908</v>
      </c>
      <c r="R1103" s="96" t="n">
        <v>0.0775</v>
      </c>
      <c r="T1103" s="27">
        <f>YEAR(U1103)</f>
        <v/>
      </c>
      <c r="U1103" s="95" t="n">
        <v>45951</v>
      </c>
      <c r="V1103" s="96" t="n">
        <v>0.07240000000000001</v>
      </c>
    </row>
    <row r="1104">
      <c r="P1104" s="27">
        <f>YEAR(Q1104)</f>
        <v/>
      </c>
      <c r="Q1104" s="97" t="n">
        <v>45909</v>
      </c>
      <c r="R1104" s="98" t="n">
        <v>0.0774</v>
      </c>
      <c r="T1104" s="27">
        <f>YEAR(U1104)</f>
        <v/>
      </c>
      <c r="U1104" s="97" t="n">
        <v>45952</v>
      </c>
      <c r="V1104" s="98" t="n">
        <v>0.07240000000000001</v>
      </c>
    </row>
    <row r="1105">
      <c r="P1105" s="27">
        <f>YEAR(Q1105)</f>
        <v/>
      </c>
      <c r="Q1105" s="95" t="n">
        <v>45910</v>
      </c>
      <c r="R1105" s="96" t="n">
        <v>0.0774</v>
      </c>
      <c r="T1105" s="27">
        <f>YEAR(U1105)</f>
        <v/>
      </c>
      <c r="U1105" s="95" t="n">
        <v>45953</v>
      </c>
      <c r="V1105" s="96" t="n">
        <v>0.07240000000000001</v>
      </c>
    </row>
    <row r="1106">
      <c r="P1106" s="27">
        <f>YEAR(Q1106)</f>
        <v/>
      </c>
      <c r="Q1106" s="97" t="n">
        <v>45911</v>
      </c>
      <c r="R1106" s="98" t="n">
        <v>0.0774</v>
      </c>
      <c r="T1106" s="27">
        <f>YEAR(U1106)</f>
        <v/>
      </c>
      <c r="U1106" s="97" t="n">
        <v>45954</v>
      </c>
      <c r="V1106" s="98" t="n">
        <v>0.07240000000000001</v>
      </c>
    </row>
    <row r="1107">
      <c r="P1107" s="27">
        <f>YEAR(Q1107)</f>
        <v/>
      </c>
      <c r="Q1107" s="95" t="n">
        <v>45912</v>
      </c>
      <c r="R1107" s="96" t="n">
        <v>0.0774</v>
      </c>
      <c r="T1107" s="27">
        <f>YEAR(U1107)</f>
        <v/>
      </c>
      <c r="U1107" s="95" t="n">
        <v>45957</v>
      </c>
      <c r="V1107" s="96" t="n">
        <v>0.07240000000000001</v>
      </c>
    </row>
    <row r="1108">
      <c r="P1108" s="27">
        <f>YEAR(Q1108)</f>
        <v/>
      </c>
      <c r="Q1108" s="97" t="n">
        <v>45915</v>
      </c>
      <c r="R1108" s="98" t="n">
        <v>0.0774</v>
      </c>
      <c r="T1108" s="27">
        <f>YEAR(U1108)</f>
        <v/>
      </c>
      <c r="U1108" s="97" t="n">
        <v>45958</v>
      </c>
      <c r="V1108" s="98" t="n">
        <v>0.07240000000000001</v>
      </c>
    </row>
    <row r="1109">
      <c r="P1109" s="27">
        <f>YEAR(Q1109)</f>
        <v/>
      </c>
      <c r="Q1109" s="95" t="n">
        <v>45916</v>
      </c>
      <c r="R1109" s="96" t="n">
        <v>0.0774</v>
      </c>
      <c r="T1109" s="27">
        <f>YEAR(U1109)</f>
        <v/>
      </c>
      <c r="U1109" s="95" t="n">
        <v>45959</v>
      </c>
      <c r="V1109" s="96" t="n">
        <v>0.07240000000000001</v>
      </c>
    </row>
    <row r="1110">
      <c r="P1110" s="27">
        <f>YEAR(Q1110)</f>
        <v/>
      </c>
      <c r="Q1110" s="97" t="n">
        <v>45917</v>
      </c>
      <c r="R1110" s="98" t="n">
        <v>0.0774</v>
      </c>
      <c r="T1110" s="27">
        <f>YEAR(U1110)</f>
        <v/>
      </c>
      <c r="U1110" s="97" t="n">
        <v>45960</v>
      </c>
      <c r="V1110" s="98" t="n">
        <v>0.07240000000000001</v>
      </c>
    </row>
    <row r="1111">
      <c r="P1111" s="27">
        <f>YEAR(Q1111)</f>
        <v/>
      </c>
      <c r="Q1111" s="95" t="n">
        <v>45918</v>
      </c>
      <c r="R1111" s="96" t="n">
        <v>0.0774</v>
      </c>
      <c r="T1111" s="27">
        <f>YEAR(U1111)</f>
        <v/>
      </c>
      <c r="U1111" s="95" t="n">
        <v>45961</v>
      </c>
      <c r="V1111" s="96" t="n">
        <v>0.07240000000000001</v>
      </c>
    </row>
    <row r="1112">
      <c r="P1112" s="27">
        <f>YEAR(Q1112)</f>
        <v/>
      </c>
      <c r="Q1112" s="97" t="n">
        <v>45919</v>
      </c>
      <c r="R1112" s="98" t="n">
        <v>0.0774</v>
      </c>
      <c r="T1112" s="27">
        <f>YEAR(U1112)</f>
        <v/>
      </c>
      <c r="U1112" s="97" t="n">
        <v>45964</v>
      </c>
      <c r="V1112" s="98" t="n">
        <v>0.07240000000000001</v>
      </c>
    </row>
    <row r="1113">
      <c r="P1113" s="27">
        <f>YEAR(Q1113)</f>
        <v/>
      </c>
      <c r="Q1113" s="95" t="n">
        <v>45922</v>
      </c>
      <c r="R1113" s="96" t="n">
        <v>0.0774</v>
      </c>
      <c r="T1113" s="27">
        <f>YEAR(U1113)</f>
        <v/>
      </c>
      <c r="U1113" s="95" t="n">
        <v>45965</v>
      </c>
      <c r="V1113" s="96" t="n">
        <v>0.07240000000000001</v>
      </c>
    </row>
    <row r="1114">
      <c r="P1114" s="27">
        <f>YEAR(Q1114)</f>
        <v/>
      </c>
      <c r="Q1114" s="97" t="n">
        <v>45923</v>
      </c>
      <c r="R1114" s="98" t="n">
        <v>0.0774</v>
      </c>
      <c r="T1114" s="27">
        <f>YEAR(U1114)</f>
        <v/>
      </c>
      <c r="U1114" s="97" t="n">
        <v>45966</v>
      </c>
      <c r="V1114" s="98" t="n">
        <v>0.07240000000000001</v>
      </c>
    </row>
    <row r="1115">
      <c r="P1115" s="27">
        <f>YEAR(Q1115)</f>
        <v/>
      </c>
      <c r="Q1115" s="95" t="n">
        <v>45924</v>
      </c>
      <c r="R1115" s="96" t="n">
        <v>0.0774</v>
      </c>
      <c r="T1115" s="27">
        <f>YEAR(U1115)</f>
        <v/>
      </c>
      <c r="U1115" s="95" t="n">
        <v>45967</v>
      </c>
      <c r="V1115" s="96" t="n">
        <v>0.07240000000000001</v>
      </c>
    </row>
    <row r="1116">
      <c r="P1116" s="27">
        <f>YEAR(Q1116)</f>
        <v/>
      </c>
      <c r="Q1116" s="97" t="n">
        <v>45925</v>
      </c>
      <c r="R1116" s="98" t="n">
        <v>0.0774</v>
      </c>
      <c r="T1116" s="27">
        <f>YEAR(U1116)</f>
        <v/>
      </c>
      <c r="U1116" s="97" t="n">
        <v>45968</v>
      </c>
      <c r="V1116" s="98" t="n">
        <v>0.07240000000000001</v>
      </c>
    </row>
    <row r="1117">
      <c r="P1117" s="27">
        <f>YEAR(Q1117)</f>
        <v/>
      </c>
      <c r="Q1117" s="95" t="n">
        <v>45926</v>
      </c>
      <c r="R1117" s="96" t="n">
        <v>0.0774</v>
      </c>
      <c r="T1117" s="27">
        <f>YEAR(U1117)</f>
        <v/>
      </c>
      <c r="U1117" s="95" t="n">
        <v>45971</v>
      </c>
      <c r="V1117" s="96" t="n">
        <v>0.07240000000000001</v>
      </c>
    </row>
    <row r="1118">
      <c r="P1118" s="27">
        <f>YEAR(Q1118)</f>
        <v/>
      </c>
      <c r="Q1118" s="97" t="n">
        <v>45929</v>
      </c>
      <c r="R1118" s="98" t="n">
        <v>0.0774</v>
      </c>
      <c r="T1118" s="27">
        <f>YEAR(U1118)</f>
        <v/>
      </c>
      <c r="U1118" s="97" t="n">
        <v>45972</v>
      </c>
      <c r="V1118" s="98" t="n">
        <v>0.07240000000000001</v>
      </c>
    </row>
    <row r="1119">
      <c r="P1119" s="27">
        <f>YEAR(Q1119)</f>
        <v/>
      </c>
      <c r="Q1119" s="95" t="n">
        <v>45930</v>
      </c>
      <c r="R1119" s="96" t="n">
        <v>0.0774</v>
      </c>
      <c r="T1119" s="27">
        <f>YEAR(U1119)</f>
        <v/>
      </c>
      <c r="U1119" s="95" t="n">
        <v>45973</v>
      </c>
      <c r="V1119" s="96" t="n">
        <v>0.07240000000000001</v>
      </c>
    </row>
    <row r="1120">
      <c r="P1120" s="27">
        <f>YEAR(Q1120)</f>
        <v/>
      </c>
      <c r="Q1120" s="97" t="n">
        <v>45931</v>
      </c>
      <c r="R1120" s="98" t="n">
        <v>0.0774</v>
      </c>
      <c r="T1120" s="27">
        <f>YEAR(U1120)</f>
        <v/>
      </c>
      <c r="U1120" s="97" t="n">
        <v>45974</v>
      </c>
      <c r="V1120" s="98" t="n">
        <v>0.07240000000000001</v>
      </c>
    </row>
    <row r="1121">
      <c r="P1121" s="27">
        <f>YEAR(Q1121)</f>
        <v/>
      </c>
      <c r="Q1121" s="95" t="n">
        <v>45932</v>
      </c>
      <c r="R1121" s="96" t="n">
        <v>0.0774</v>
      </c>
      <c r="T1121" s="27">
        <f>YEAR(U1121)</f>
        <v/>
      </c>
      <c r="U1121" s="95" t="n">
        <v>45975</v>
      </c>
      <c r="V1121" s="96" t="n">
        <v>0.0756</v>
      </c>
    </row>
    <row r="1122">
      <c r="P1122" s="27">
        <f>YEAR(Q1122)</f>
        <v/>
      </c>
      <c r="Q1122" s="97" t="n">
        <v>45933</v>
      </c>
      <c r="R1122" s="98" t="n">
        <v>0.0774</v>
      </c>
      <c r="T1122" s="27">
        <f>YEAR(U1122)</f>
        <v/>
      </c>
      <c r="U1122" s="97" t="n">
        <v>45978</v>
      </c>
      <c r="V1122" s="98" t="n">
        <v>0.0756</v>
      </c>
    </row>
    <row r="1123">
      <c r="P1123" s="27">
        <f>YEAR(Q1123)</f>
        <v/>
      </c>
      <c r="Q1123" s="95" t="n">
        <v>45936</v>
      </c>
      <c r="R1123" s="96" t="n">
        <v>0.0774</v>
      </c>
      <c r="T1123" s="27">
        <f>YEAR(U1123)</f>
        <v/>
      </c>
      <c r="U1123" s="95" t="n">
        <v>45979</v>
      </c>
      <c r="V1123" s="96" t="n">
        <v>0.0756</v>
      </c>
    </row>
    <row r="1124">
      <c r="P1124" s="27">
        <f>YEAR(Q1124)</f>
        <v/>
      </c>
      <c r="Q1124" s="97" t="n">
        <v>45937</v>
      </c>
      <c r="R1124" s="98" t="n">
        <v>0.0774</v>
      </c>
      <c r="T1124" s="27">
        <f>YEAR(U1124)</f>
        <v/>
      </c>
      <c r="U1124" s="97" t="n">
        <v>45980</v>
      </c>
      <c r="V1124" s="98" t="n">
        <v>0.0756</v>
      </c>
    </row>
    <row r="1125">
      <c r="P1125" s="27">
        <f>YEAR(Q1125)</f>
        <v/>
      </c>
      <c r="Q1125" s="95" t="n">
        <v>45938</v>
      </c>
      <c r="R1125" s="96" t="n">
        <v>0.0774</v>
      </c>
      <c r="T1125" s="27">
        <f>YEAR(U1125)</f>
        <v/>
      </c>
      <c r="U1125" s="95" t="n">
        <v>45981</v>
      </c>
      <c r="V1125" s="96" t="n">
        <v>0.0756</v>
      </c>
    </row>
    <row r="1126">
      <c r="P1126" s="27">
        <f>YEAR(Q1126)</f>
        <v/>
      </c>
      <c r="Q1126" s="97" t="n">
        <v>45939</v>
      </c>
      <c r="R1126" s="98" t="n">
        <v>0.0774</v>
      </c>
      <c r="T1126" s="27">
        <f>YEAR(U1126)</f>
        <v/>
      </c>
      <c r="U1126" s="97" t="n">
        <v>45982</v>
      </c>
      <c r="V1126" s="98" t="n">
        <v>0.0756</v>
      </c>
    </row>
    <row r="1127">
      <c r="P1127" s="27">
        <f>YEAR(Q1127)</f>
        <v/>
      </c>
      <c r="Q1127" s="95" t="n">
        <v>45940</v>
      </c>
      <c r="R1127" s="96" t="n">
        <v>0.0774</v>
      </c>
      <c r="T1127" s="27">
        <f>YEAR(U1127)</f>
        <v/>
      </c>
      <c r="U1127" s="95" t="n">
        <v>45985</v>
      </c>
      <c r="V1127" s="96" t="n">
        <v>0.0756</v>
      </c>
    </row>
    <row r="1128">
      <c r="P1128" s="27">
        <f>YEAR(Q1128)</f>
        <v/>
      </c>
      <c r="Q1128" s="97" t="n">
        <v>45943</v>
      </c>
      <c r="R1128" s="98" t="n">
        <v>0.0774</v>
      </c>
      <c r="T1128" s="27">
        <f>YEAR(U1128)</f>
        <v/>
      </c>
      <c r="U1128" s="97" t="n">
        <v>45986</v>
      </c>
      <c r="V1128" s="98" t="n">
        <v>0.0756</v>
      </c>
    </row>
    <row r="1129">
      <c r="P1129" s="27">
        <f>YEAR(Q1129)</f>
        <v/>
      </c>
      <c r="Q1129" s="95" t="n">
        <v>45944</v>
      </c>
      <c r="R1129" s="96" t="n">
        <v>0.0774</v>
      </c>
      <c r="T1129" s="27">
        <f>YEAR(U1129)</f>
        <v/>
      </c>
      <c r="U1129" s="95" t="n">
        <v>45987</v>
      </c>
      <c r="V1129" s="96" t="n">
        <v>0.0756</v>
      </c>
    </row>
    <row r="1130">
      <c r="P1130" s="27">
        <f>YEAR(Q1130)</f>
        <v/>
      </c>
      <c r="Q1130" s="97" t="n">
        <v>45945</v>
      </c>
      <c r="R1130" s="98" t="n">
        <v>0.0774</v>
      </c>
      <c r="T1130" s="27">
        <f>YEAR(U1130)</f>
        <v/>
      </c>
      <c r="U1130" s="97" t="n">
        <v>45988</v>
      </c>
      <c r="V1130" s="98" t="n">
        <v>0.0756</v>
      </c>
    </row>
    <row r="1131">
      <c r="P1131" s="27">
        <f>YEAR(Q1131)</f>
        <v/>
      </c>
      <c r="Q1131" s="95" t="n">
        <v>45946</v>
      </c>
      <c r="R1131" s="96" t="n">
        <v>0.0774</v>
      </c>
      <c r="T1131" s="27">
        <f>YEAR(U1131)</f>
        <v/>
      </c>
      <c r="U1131" s="95" t="n">
        <v>45989</v>
      </c>
      <c r="V1131" s="96" t="n">
        <v>0.0756</v>
      </c>
    </row>
    <row r="1132">
      <c r="P1132" s="27">
        <f>YEAR(Q1132)</f>
        <v/>
      </c>
      <c r="Q1132" s="97" t="n">
        <v>45947</v>
      </c>
      <c r="R1132" s="98" t="n">
        <v>0.0774</v>
      </c>
      <c r="T1132" s="27">
        <f>YEAR(U1132)</f>
        <v/>
      </c>
      <c r="U1132" s="97" t="n">
        <v>45992</v>
      </c>
      <c r="V1132" s="98" t="n">
        <v>0.0756</v>
      </c>
    </row>
    <row r="1133">
      <c r="P1133" s="27">
        <f>YEAR(Q1133)</f>
        <v/>
      </c>
      <c r="Q1133" s="95" t="n">
        <v>45950</v>
      </c>
      <c r="R1133" s="96" t="n">
        <v>0.0774</v>
      </c>
      <c r="T1133" s="27">
        <f>YEAR(U1133)</f>
        <v/>
      </c>
      <c r="U1133" s="95" t="n">
        <v>45993</v>
      </c>
      <c r="V1133" s="96" t="n">
        <v>0.0756</v>
      </c>
    </row>
    <row r="1134">
      <c r="P1134" s="27">
        <f>YEAR(Q1134)</f>
        <v/>
      </c>
      <c r="Q1134" s="97" t="n">
        <v>45951</v>
      </c>
      <c r="R1134" s="98" t="n">
        <v>0.0774</v>
      </c>
      <c r="T1134" s="27">
        <f>YEAR(U1134)</f>
        <v/>
      </c>
      <c r="U1134" s="97" t="n">
        <v>45994</v>
      </c>
      <c r="V1134" s="98" t="n">
        <v>0.0756</v>
      </c>
    </row>
    <row r="1135">
      <c r="P1135" s="27">
        <f>YEAR(Q1135)</f>
        <v/>
      </c>
      <c r="Q1135" s="95" t="n">
        <v>45952</v>
      </c>
      <c r="R1135" s="96" t="n">
        <v>0.0774</v>
      </c>
      <c r="T1135" s="27">
        <f>YEAR(U1135)</f>
        <v/>
      </c>
      <c r="U1135" s="95" t="n">
        <v>45995</v>
      </c>
      <c r="V1135" s="96" t="n">
        <v>0.0756</v>
      </c>
    </row>
    <row r="1136">
      <c r="P1136" s="27">
        <f>YEAR(Q1136)</f>
        <v/>
      </c>
      <c r="Q1136" s="97" t="n">
        <v>45953</v>
      </c>
      <c r="R1136" s="98" t="n">
        <v>0.0774</v>
      </c>
      <c r="T1136" s="27">
        <f>YEAR(U1136)</f>
        <v/>
      </c>
      <c r="U1136" s="97" t="n">
        <v>45996</v>
      </c>
      <c r="V1136" s="98" t="n">
        <v>0.0756</v>
      </c>
    </row>
    <row r="1137">
      <c r="P1137" s="27">
        <f>YEAR(Q1137)</f>
        <v/>
      </c>
      <c r="Q1137" s="95" t="n">
        <v>45954</v>
      </c>
      <c r="R1137" s="96" t="n">
        <v>0.0774</v>
      </c>
      <c r="T1137" s="27">
        <f>YEAR(U1137)</f>
        <v/>
      </c>
      <c r="U1137" s="95" t="n">
        <v>45999</v>
      </c>
      <c r="V1137" s="96" t="n">
        <v>0.0756</v>
      </c>
    </row>
    <row r="1138">
      <c r="P1138" s="27">
        <f>YEAR(Q1138)</f>
        <v/>
      </c>
      <c r="Q1138" s="97" t="n">
        <v>45957</v>
      </c>
      <c r="R1138" s="98" t="n">
        <v>0.0774</v>
      </c>
      <c r="T1138" s="27">
        <f>YEAR(U1138)</f>
        <v/>
      </c>
      <c r="U1138" s="97" t="n">
        <v>46000</v>
      </c>
      <c r="V1138" s="98" t="n">
        <v>0.0756</v>
      </c>
    </row>
    <row r="1139">
      <c r="P1139" s="27">
        <f>YEAR(Q1139)</f>
        <v/>
      </c>
      <c r="Q1139" s="95" t="n">
        <v>45958</v>
      </c>
      <c r="R1139" s="96" t="n">
        <v>0.0774</v>
      </c>
      <c r="T1139" s="27">
        <f>YEAR(U1139)</f>
        <v/>
      </c>
      <c r="U1139" s="95" t="n">
        <v>46001</v>
      </c>
      <c r="V1139" s="96" t="n">
        <v>0.0756</v>
      </c>
    </row>
    <row r="1140">
      <c r="P1140" s="27">
        <f>YEAR(Q1140)</f>
        <v/>
      </c>
      <c r="Q1140" s="97" t="n">
        <v>45959</v>
      </c>
      <c r="R1140" s="98" t="n">
        <v>0.0774</v>
      </c>
      <c r="T1140" s="27">
        <f>YEAR(U1140)</f>
        <v/>
      </c>
      <c r="U1140" s="97" t="n">
        <v>46002</v>
      </c>
      <c r="V1140" s="98" t="n">
        <v>0.0756</v>
      </c>
    </row>
    <row r="1141">
      <c r="P1141" s="27">
        <f>YEAR(Q1141)</f>
        <v/>
      </c>
      <c r="Q1141" s="95" t="n">
        <v>45960</v>
      </c>
      <c r="R1141" s="96" t="n">
        <v>0.0774</v>
      </c>
      <c r="T1141" s="27">
        <f>YEAR(U1141)</f>
        <v/>
      </c>
      <c r="U1141" s="95" t="n">
        <v>46003</v>
      </c>
      <c r="V1141" s="96" t="n">
        <v>0.07530000000000001</v>
      </c>
    </row>
    <row r="1142">
      <c r="P1142" s="27">
        <f>YEAR(Q1142)</f>
        <v/>
      </c>
      <c r="Q1142" s="97" t="n">
        <v>45961</v>
      </c>
      <c r="R1142" s="98" t="n">
        <v>0.0774</v>
      </c>
      <c r="T1142" s="27">
        <f>YEAR(U1142)</f>
        <v/>
      </c>
      <c r="U1142" s="97" t="n">
        <v>46006</v>
      </c>
      <c r="V1142" s="98" t="n">
        <v>0.07530000000000001</v>
      </c>
    </row>
    <row r="1143">
      <c r="P1143" s="27">
        <f>YEAR(Q1143)</f>
        <v/>
      </c>
      <c r="Q1143" s="95" t="n">
        <v>45964</v>
      </c>
      <c r="R1143" s="96" t="n">
        <v>0.0774</v>
      </c>
      <c r="T1143" s="27">
        <f>YEAR(U1143)</f>
        <v/>
      </c>
      <c r="U1143" s="95" t="n">
        <v>46007</v>
      </c>
      <c r="V1143" s="96" t="n">
        <v>0.07530000000000001</v>
      </c>
    </row>
    <row r="1144">
      <c r="P1144" s="27">
        <f>YEAR(Q1144)</f>
        <v/>
      </c>
      <c r="Q1144" s="97" t="n">
        <v>45965</v>
      </c>
      <c r="R1144" s="98" t="n">
        <v>0.0774</v>
      </c>
      <c r="T1144" s="27">
        <f>YEAR(U1144)</f>
        <v/>
      </c>
      <c r="U1144" s="97" t="n">
        <v>46008</v>
      </c>
      <c r="V1144" s="98" t="n">
        <v>0.07530000000000001</v>
      </c>
    </row>
    <row r="1145">
      <c r="P1145" s="27">
        <f>YEAR(Q1145)</f>
        <v/>
      </c>
      <c r="Q1145" s="95" t="n">
        <v>45966</v>
      </c>
      <c r="R1145" s="96" t="n">
        <v>0.0774</v>
      </c>
      <c r="T1145" s="27">
        <f>YEAR(U1145)</f>
        <v/>
      </c>
      <c r="U1145" s="95" t="n">
        <v>46009</v>
      </c>
      <c r="V1145" s="96" t="n">
        <v>0.07530000000000001</v>
      </c>
    </row>
    <row r="1146">
      <c r="P1146" s="27">
        <f>YEAR(Q1146)</f>
        <v/>
      </c>
      <c r="Q1146" s="97" t="n">
        <v>45967</v>
      </c>
      <c r="R1146" s="98" t="n">
        <v>0.0774</v>
      </c>
      <c r="T1146" s="27">
        <f>YEAR(U1146)</f>
        <v/>
      </c>
      <c r="U1146" s="97" t="n">
        <v>46010</v>
      </c>
      <c r="V1146" s="98" t="n">
        <v>0.07530000000000001</v>
      </c>
    </row>
    <row r="1147">
      <c r="P1147" s="27">
        <f>YEAR(Q1147)</f>
        <v/>
      </c>
      <c r="Q1147" s="95" t="n">
        <v>45968</v>
      </c>
      <c r="R1147" s="96" t="n">
        <v>0.0774</v>
      </c>
      <c r="T1147" s="27">
        <f>YEAR(U1147)</f>
        <v/>
      </c>
      <c r="U1147" s="95" t="n">
        <v>46013</v>
      </c>
      <c r="V1147" s="96" t="n">
        <v>0.07530000000000001</v>
      </c>
    </row>
    <row r="1148">
      <c r="P1148" s="27">
        <f>YEAR(Q1148)</f>
        <v/>
      </c>
      <c r="Q1148" s="97" t="n">
        <v>45971</v>
      </c>
      <c r="R1148" s="98" t="n">
        <v>0.0774</v>
      </c>
      <c r="T1148" s="27">
        <f>YEAR(U1148)</f>
        <v/>
      </c>
      <c r="U1148" s="97" t="n">
        <v>46014</v>
      </c>
      <c r="V1148" s="98" t="n">
        <v>0.07530000000000001</v>
      </c>
    </row>
    <row r="1149">
      <c r="P1149" s="27">
        <f>YEAR(Q1149)</f>
        <v/>
      </c>
      <c r="Q1149" s="95" t="n">
        <v>45972</v>
      </c>
      <c r="R1149" s="96" t="n">
        <v>0.0774</v>
      </c>
      <c r="T1149" s="27">
        <f>YEAR(U1149)</f>
        <v/>
      </c>
      <c r="U1149" s="95" t="n">
        <v>46015</v>
      </c>
      <c r="V1149" s="96" t="n">
        <v>0.07530000000000001</v>
      </c>
    </row>
    <row r="1150">
      <c r="P1150" s="27">
        <f>YEAR(Q1150)</f>
        <v/>
      </c>
      <c r="Q1150" s="97" t="n">
        <v>45973</v>
      </c>
      <c r="R1150" s="98" t="n">
        <v>0.0774</v>
      </c>
      <c r="T1150" s="27">
        <f>YEAR(U1150)</f>
        <v/>
      </c>
      <c r="U1150" s="97" t="n">
        <v>46016</v>
      </c>
      <c r="V1150" s="98" t="n">
        <v>0.07530000000000001</v>
      </c>
    </row>
    <row r="1151">
      <c r="P1151" s="27">
        <f>YEAR(Q1151)</f>
        <v/>
      </c>
      <c r="Q1151" s="95" t="n">
        <v>45974</v>
      </c>
      <c r="R1151" s="96" t="n">
        <v>0.0774</v>
      </c>
      <c r="T1151" s="27">
        <f>YEAR(U1151)</f>
        <v/>
      </c>
      <c r="U1151" s="95" t="n">
        <v>46020</v>
      </c>
      <c r="V1151" s="96" t="n">
        <v>0.07530000000000001</v>
      </c>
    </row>
    <row r="1152">
      <c r="P1152" s="27">
        <f>YEAR(Q1152)</f>
        <v/>
      </c>
      <c r="Q1152" s="97" t="n">
        <v>45975</v>
      </c>
      <c r="R1152" s="98" t="n">
        <v>0.07519999999999999</v>
      </c>
      <c r="T1152" s="27">
        <f>YEAR(U1152)</f>
        <v/>
      </c>
      <c r="U1152" s="97" t="n">
        <v>46021</v>
      </c>
      <c r="V1152" s="98" t="n">
        <v>0.07530000000000001</v>
      </c>
    </row>
    <row r="1153">
      <c r="P1153" s="27">
        <f>YEAR(Q1153)</f>
        <v/>
      </c>
      <c r="Q1153" s="95" t="n">
        <v>45978</v>
      </c>
      <c r="R1153" s="96" t="n">
        <v>0.07519999999999999</v>
      </c>
      <c r="T1153" s="27">
        <f>YEAR(U1153)</f>
        <v/>
      </c>
      <c r="U1153" s="95" t="n">
        <v>46022</v>
      </c>
      <c r="V1153" s="96" t="n">
        <v>0.07530000000000001</v>
      </c>
    </row>
    <row r="1154">
      <c r="P1154" s="27">
        <f>YEAR(Q1154)</f>
        <v/>
      </c>
      <c r="Q1154" s="97" t="n">
        <v>45979</v>
      </c>
      <c r="R1154" s="98" t="n">
        <v>0.07519999999999999</v>
      </c>
      <c r="T1154" s="27">
        <f>YEAR(U1154)</f>
        <v/>
      </c>
      <c r="U1154" s="97" t="n">
        <v>46023</v>
      </c>
      <c r="V1154" s="98" t="n">
        <v>0.07530000000000001</v>
      </c>
    </row>
    <row r="1155">
      <c r="P1155" s="27">
        <f>YEAR(Q1155)</f>
        <v/>
      </c>
      <c r="Q1155" s="95" t="n">
        <v>45980</v>
      </c>
      <c r="R1155" s="96" t="n">
        <v>0.07519999999999999</v>
      </c>
      <c r="T1155" s="27">
        <f>YEAR(U1155)</f>
        <v/>
      </c>
      <c r="U1155" s="95" t="n">
        <v>46024</v>
      </c>
      <c r="V1155" s="96" t="n">
        <v>0.07530000000000001</v>
      </c>
    </row>
    <row r="1156">
      <c r="P1156" s="27">
        <f>YEAR(Q1156)</f>
        <v/>
      </c>
      <c r="Q1156" s="97" t="n">
        <v>45981</v>
      </c>
      <c r="R1156" s="98" t="n">
        <v>0.07519999999999999</v>
      </c>
      <c r="T1156" s="27">
        <f>YEAR(U1156)</f>
        <v/>
      </c>
      <c r="U1156" s="97" t="n">
        <v>46027</v>
      </c>
      <c r="V1156" s="98" t="n">
        <v>0.07530000000000001</v>
      </c>
    </row>
    <row r="1157">
      <c r="P1157" s="27">
        <f>YEAR(Q1157)</f>
        <v/>
      </c>
      <c r="Q1157" s="95" t="n">
        <v>45982</v>
      </c>
      <c r="R1157" s="96" t="n">
        <v>0.07519999999999999</v>
      </c>
      <c r="T1157" s="27">
        <f>YEAR(U1157)</f>
        <v/>
      </c>
      <c r="U1157" s="95" t="n">
        <v>46028</v>
      </c>
      <c r="V1157" s="96" t="n">
        <v>0.07530000000000001</v>
      </c>
    </row>
    <row r="1158">
      <c r="P1158" s="27">
        <f>YEAR(Q1158)</f>
        <v/>
      </c>
      <c r="Q1158" s="97" t="n">
        <v>45985</v>
      </c>
      <c r="R1158" s="98" t="n">
        <v>0.07519999999999999</v>
      </c>
      <c r="T1158" s="27">
        <f>YEAR(U1158)</f>
        <v/>
      </c>
      <c r="U1158" s="97" t="n">
        <v>46029</v>
      </c>
      <c r="V1158" s="98" t="n">
        <v>0.07530000000000001</v>
      </c>
    </row>
    <row r="1159">
      <c r="P1159" s="27">
        <f>YEAR(Q1159)</f>
        <v/>
      </c>
      <c r="Q1159" s="95" t="n">
        <v>45986</v>
      </c>
      <c r="R1159" s="96" t="n">
        <v>0.07519999999999999</v>
      </c>
      <c r="T1159" s="27">
        <f>YEAR(U1159)</f>
        <v/>
      </c>
      <c r="U1159" s="95" t="n">
        <v>46030</v>
      </c>
      <c r="V1159" s="96" t="n">
        <v>0.07530000000000001</v>
      </c>
    </row>
    <row r="1160">
      <c r="P1160" s="27">
        <f>YEAR(Q1160)</f>
        <v/>
      </c>
      <c r="Q1160" s="97" t="n">
        <v>45987</v>
      </c>
      <c r="R1160" s="98" t="n">
        <v>0.07519999999999999</v>
      </c>
      <c r="T1160" s="27">
        <f>YEAR(U1160)</f>
        <v/>
      </c>
      <c r="U1160" s="97" t="n">
        <v>46031</v>
      </c>
      <c r="V1160" s="98" t="n">
        <v>0.07530000000000001</v>
      </c>
    </row>
    <row r="1161">
      <c r="P1161" s="27">
        <f>YEAR(Q1161)</f>
        <v/>
      </c>
      <c r="Q1161" s="95" t="n">
        <v>45988</v>
      </c>
      <c r="R1161" s="96" t="n">
        <v>0.07519999999999999</v>
      </c>
      <c r="T1161" s="27">
        <f>YEAR(U1161)</f>
        <v/>
      </c>
      <c r="U1161" s="95" t="n">
        <v>46034</v>
      </c>
      <c r="V1161" s="96" t="n">
        <v>0.07530000000000001</v>
      </c>
    </row>
    <row r="1162">
      <c r="P1162" s="27">
        <f>YEAR(Q1162)</f>
        <v/>
      </c>
      <c r="Q1162" s="97" t="n">
        <v>45989</v>
      </c>
      <c r="R1162" s="98" t="n">
        <v>0.07519999999999999</v>
      </c>
      <c r="T1162" s="27">
        <f>YEAR(U1162)</f>
        <v/>
      </c>
      <c r="U1162" s="97" t="n">
        <v>46035</v>
      </c>
      <c r="V1162" s="98" t="n">
        <v>0.07530000000000001</v>
      </c>
    </row>
    <row r="1163">
      <c r="P1163" s="27">
        <f>YEAR(Q1163)</f>
        <v/>
      </c>
      <c r="Q1163" s="95" t="n">
        <v>45992</v>
      </c>
      <c r="R1163" s="96" t="n">
        <v>0.07519999999999999</v>
      </c>
      <c r="T1163" s="27">
        <f>YEAR(U1163)</f>
        <v/>
      </c>
      <c r="U1163" s="95" t="n">
        <v>46036</v>
      </c>
      <c r="V1163" s="96" t="n">
        <v>0.07530000000000001</v>
      </c>
    </row>
    <row r="1164">
      <c r="P1164" s="27">
        <f>YEAR(Q1164)</f>
        <v/>
      </c>
      <c r="Q1164" s="97" t="n">
        <v>45993</v>
      </c>
      <c r="R1164" s="98" t="n">
        <v>0.07519999999999999</v>
      </c>
      <c r="T1164" s="27">
        <f>YEAR(U1164)</f>
        <v/>
      </c>
      <c r="U1164" s="97" t="n">
        <v>46037</v>
      </c>
      <c r="V1164" s="98" t="n">
        <v>0.07530000000000001</v>
      </c>
    </row>
    <row r="1165">
      <c r="P1165" s="27">
        <f>YEAR(Q1165)</f>
        <v/>
      </c>
      <c r="Q1165" s="95" t="n">
        <v>45994</v>
      </c>
      <c r="R1165" s="96" t="n">
        <v>0.07519999999999999</v>
      </c>
      <c r="T1165" s="27">
        <f>YEAR(U1165)</f>
        <v/>
      </c>
      <c r="U1165" s="95" t="n">
        <v>46038</v>
      </c>
      <c r="V1165" s="96" t="n">
        <v>0.07530000000000001</v>
      </c>
    </row>
    <row r="1166">
      <c r="P1166" s="27">
        <f>YEAR(Q1166)</f>
        <v/>
      </c>
      <c r="Q1166" s="97" t="n">
        <v>45995</v>
      </c>
      <c r="R1166" s="98" t="n">
        <v>0.07519999999999999</v>
      </c>
      <c r="T1166" s="27">
        <f>YEAR(U1166)</f>
        <v/>
      </c>
      <c r="U1166" s="97" t="n">
        <v>46041</v>
      </c>
      <c r="V1166" s="98" t="n">
        <v>0.07530000000000001</v>
      </c>
    </row>
    <row r="1167">
      <c r="P1167" s="27">
        <f>YEAR(Q1167)</f>
        <v/>
      </c>
      <c r="Q1167" s="95" t="n">
        <v>45996</v>
      </c>
      <c r="R1167" s="96" t="n">
        <v>0.07519999999999999</v>
      </c>
      <c r="T1167" s="27">
        <f>YEAR(U1167)</f>
        <v/>
      </c>
      <c r="U1167" s="95" t="n">
        <v>46042</v>
      </c>
      <c r="V1167" s="96" t="n">
        <v>0.07530000000000001</v>
      </c>
    </row>
    <row r="1168">
      <c r="P1168" s="27">
        <f>YEAR(Q1168)</f>
        <v/>
      </c>
      <c r="Q1168" s="97" t="n">
        <v>45999</v>
      </c>
      <c r="R1168" s="98" t="n">
        <v>0.07519999999999999</v>
      </c>
      <c r="T1168" s="27">
        <f>YEAR(U1168)</f>
        <v/>
      </c>
      <c r="U1168" s="97" t="n">
        <v>46043</v>
      </c>
      <c r="V1168" s="98" t="n">
        <v>0.07530000000000001</v>
      </c>
    </row>
    <row r="1169">
      <c r="P1169" s="27">
        <f>YEAR(Q1169)</f>
        <v/>
      </c>
      <c r="Q1169" s="95" t="n">
        <v>46000</v>
      </c>
      <c r="R1169" s="96" t="n">
        <v>0.07519999999999999</v>
      </c>
      <c r="T1169" s="27">
        <f>YEAR(U1169)</f>
        <v/>
      </c>
      <c r="U1169" s="95" t="n">
        <v>46044</v>
      </c>
      <c r="V1169" s="96" t="n">
        <v>0.07530000000000001</v>
      </c>
    </row>
    <row r="1170">
      <c r="P1170" s="27">
        <f>YEAR(Q1170)</f>
        <v/>
      </c>
      <c r="Q1170" s="97" t="n">
        <v>46001</v>
      </c>
      <c r="R1170" s="98" t="n">
        <v>0.07519999999999999</v>
      </c>
      <c r="T1170" s="27">
        <f>YEAR(U1170)</f>
        <v/>
      </c>
      <c r="U1170" s="97" t="n">
        <v>46045</v>
      </c>
      <c r="V1170" s="98" t="n">
        <v>0.07530000000000001</v>
      </c>
    </row>
    <row r="1171">
      <c r="P1171" s="27">
        <f>YEAR(Q1171)</f>
        <v/>
      </c>
      <c r="Q1171" s="95" t="n">
        <v>46002</v>
      </c>
      <c r="R1171" s="96" t="n">
        <v>0.07519999999999999</v>
      </c>
      <c r="T1171" s="27">
        <f>YEAR(U1171)</f>
        <v/>
      </c>
      <c r="U1171" s="95" t="n">
        <v>46048</v>
      </c>
      <c r="V1171" s="96" t="n">
        <v>0.07769999999999999</v>
      </c>
    </row>
    <row r="1172">
      <c r="P1172" s="27">
        <f>YEAR(Q1172)</f>
        <v/>
      </c>
      <c r="Q1172" s="97" t="n">
        <v>46003</v>
      </c>
      <c r="R1172" s="98" t="n">
        <v>0.0746</v>
      </c>
      <c r="T1172" s="27">
        <f>YEAR(U1172)</f>
        <v/>
      </c>
      <c r="U1172" s="97" t="n">
        <v>46049</v>
      </c>
      <c r="V1172" s="98" t="n">
        <v>0.07769999999999999</v>
      </c>
    </row>
    <row r="1173">
      <c r="P1173" s="27">
        <f>YEAR(Q1173)</f>
        <v/>
      </c>
      <c r="Q1173" s="95" t="n">
        <v>46006</v>
      </c>
      <c r="R1173" s="96" t="n">
        <v>0.0746</v>
      </c>
      <c r="T1173" s="27">
        <f>YEAR(U1173)</f>
        <v/>
      </c>
      <c r="U1173" s="95" t="n">
        <v>46050</v>
      </c>
      <c r="V1173" s="96" t="n">
        <v>0.07769999999999999</v>
      </c>
    </row>
    <row r="1174">
      <c r="P1174" s="27">
        <f>YEAR(Q1174)</f>
        <v/>
      </c>
      <c r="Q1174" s="97" t="n">
        <v>46007</v>
      </c>
      <c r="R1174" s="98" t="n">
        <v>0.0746</v>
      </c>
      <c r="T1174" s="27">
        <f>YEAR(U1174)</f>
        <v/>
      </c>
      <c r="U1174" s="97" t="n">
        <v>46051</v>
      </c>
      <c r="V1174" s="98" t="n">
        <v>0.07769999999999999</v>
      </c>
    </row>
    <row r="1175">
      <c r="P1175" s="27">
        <f>YEAR(Q1175)</f>
        <v/>
      </c>
      <c r="Q1175" s="95" t="n">
        <v>46008</v>
      </c>
      <c r="R1175" s="96" t="n">
        <v>0.0746</v>
      </c>
      <c r="T1175" s="27">
        <f>YEAR(U1175)</f>
        <v/>
      </c>
      <c r="U1175" s="95" t="n">
        <v>46052</v>
      </c>
      <c r="V1175" s="96" t="n">
        <v>0.07769999999999999</v>
      </c>
    </row>
    <row r="1176">
      <c r="P1176" s="27">
        <f>YEAR(Q1176)</f>
        <v/>
      </c>
      <c r="Q1176" s="97" t="n">
        <v>46009</v>
      </c>
      <c r="R1176" s="98" t="n">
        <v>0.0746</v>
      </c>
      <c r="T1176" s="27">
        <f>YEAR(U1176)</f>
        <v/>
      </c>
      <c r="U1176" s="97" t="n">
        <v>46055</v>
      </c>
      <c r="V1176" s="98" t="n">
        <v>0.07769999999999999</v>
      </c>
    </row>
    <row r="1177">
      <c r="P1177" s="27">
        <f>YEAR(Q1177)</f>
        <v/>
      </c>
      <c r="Q1177" s="95" t="n">
        <v>46010</v>
      </c>
      <c r="R1177" s="96" t="n">
        <v>0.0746</v>
      </c>
      <c r="T1177" s="27">
        <f>YEAR(U1177)</f>
        <v/>
      </c>
      <c r="U1177" s="95" t="n">
        <v>46056</v>
      </c>
      <c r="V1177" s="96" t="n">
        <v>0.07769999999999999</v>
      </c>
    </row>
    <row r="1178">
      <c r="P1178" s="27">
        <f>YEAR(Q1178)</f>
        <v/>
      </c>
      <c r="Q1178" s="97" t="n">
        <v>46013</v>
      </c>
      <c r="R1178" s="98" t="n">
        <v>0.0746</v>
      </c>
      <c r="T1178" s="27">
        <f>YEAR(U1178)</f>
        <v/>
      </c>
      <c r="U1178" s="97" t="n">
        <v>46057</v>
      </c>
      <c r="V1178" s="98" t="n">
        <v>0.07769999999999999</v>
      </c>
    </row>
    <row r="1179">
      <c r="P1179" s="27">
        <f>YEAR(Q1179)</f>
        <v/>
      </c>
      <c r="Q1179" s="95" t="n">
        <v>46014</v>
      </c>
      <c r="R1179" s="96" t="n">
        <v>0.0746</v>
      </c>
      <c r="T1179" s="27">
        <f>YEAR(U1179)</f>
        <v/>
      </c>
      <c r="U1179" s="95" t="n">
        <v>46058</v>
      </c>
      <c r="V1179" s="96" t="n">
        <v>0.07769999999999999</v>
      </c>
    </row>
    <row r="1180">
      <c r="P1180" s="27">
        <f>YEAR(Q1180)</f>
        <v/>
      </c>
      <c r="Q1180" s="97" t="n">
        <v>46015</v>
      </c>
      <c r="R1180" s="98" t="n">
        <v>0.0746</v>
      </c>
      <c r="T1180" s="27">
        <f>YEAR(U1180)</f>
        <v/>
      </c>
      <c r="U1180" s="97" t="n">
        <v>46059</v>
      </c>
      <c r="V1180" s="98" t="n">
        <v>0.07769999999999999</v>
      </c>
    </row>
    <row r="1181">
      <c r="P1181" s="27">
        <f>YEAR(Q1181)</f>
        <v/>
      </c>
      <c r="Q1181" s="95" t="n">
        <v>46016</v>
      </c>
      <c r="R1181" s="96" t="n">
        <v>0.0746</v>
      </c>
      <c r="T1181" s="27">
        <f>YEAR(U1181)</f>
        <v/>
      </c>
      <c r="U1181" s="95" t="n">
        <v>46062</v>
      </c>
      <c r="V1181" s="96" t="n">
        <v>0.07769999999999999</v>
      </c>
    </row>
    <row r="1182">
      <c r="P1182" s="27">
        <f>YEAR(Q1182)</f>
        <v/>
      </c>
      <c r="Q1182" s="97" t="n">
        <v>46020</v>
      </c>
      <c r="R1182" s="98" t="n">
        <v>0.0746</v>
      </c>
      <c r="T1182" s="27">
        <f>YEAR(U1182)</f>
        <v/>
      </c>
      <c r="U1182" s="97" t="n">
        <v>46063</v>
      </c>
      <c r="V1182" s="98" t="n">
        <v>0.07769999999999999</v>
      </c>
    </row>
    <row r="1183">
      <c r="P1183" s="27">
        <f>YEAR(Q1183)</f>
        <v/>
      </c>
      <c r="Q1183" s="95" t="n">
        <v>46021</v>
      </c>
      <c r="R1183" s="96" t="n">
        <v>0.0746</v>
      </c>
      <c r="T1183" s="27">
        <f>YEAR(U1183)</f>
        <v/>
      </c>
      <c r="U1183" s="95" t="n">
        <v>46064</v>
      </c>
      <c r="V1183" s="96" t="n">
        <v>0.07769999999999999</v>
      </c>
    </row>
    <row r="1184">
      <c r="P1184" s="27">
        <f>YEAR(Q1184)</f>
        <v/>
      </c>
      <c r="Q1184" s="97" t="n">
        <v>46022</v>
      </c>
      <c r="R1184" s="98" t="n">
        <v>0.0746</v>
      </c>
      <c r="T1184" s="27">
        <f>YEAR(U1184)</f>
        <v/>
      </c>
      <c r="U1184" s="97" t="n">
        <v>46065</v>
      </c>
      <c r="V1184" s="98" t="n">
        <v>0.07769999999999999</v>
      </c>
    </row>
    <row r="1185">
      <c r="P1185" s="27">
        <f>YEAR(Q1185)</f>
        <v/>
      </c>
      <c r="Q1185" s="95" t="n">
        <v>46023</v>
      </c>
      <c r="R1185" s="96" t="n">
        <v>0.0746</v>
      </c>
      <c r="T1185" s="27">
        <f>YEAR(U1185)</f>
        <v/>
      </c>
      <c r="U1185" s="95" t="n">
        <v>46066</v>
      </c>
      <c r="V1185" s="96" t="n">
        <v>0.07769999999999999</v>
      </c>
    </row>
    <row r="1186">
      <c r="P1186" s="27">
        <f>YEAR(Q1186)</f>
        <v/>
      </c>
      <c r="Q1186" s="97" t="n">
        <v>46024</v>
      </c>
      <c r="R1186" s="98" t="n">
        <v>0.0746</v>
      </c>
      <c r="T1186" s="27">
        <f>YEAR(U1186)</f>
        <v/>
      </c>
      <c r="U1186" s="97" t="n">
        <v>46069</v>
      </c>
      <c r="V1186" s="98" t="n">
        <v>0.07769999999999999</v>
      </c>
    </row>
    <row r="1187">
      <c r="P1187" s="27">
        <f>YEAR(Q1187)</f>
        <v/>
      </c>
      <c r="Q1187" s="95" t="n">
        <v>46027</v>
      </c>
      <c r="R1187" s="96" t="n">
        <v>0.0746</v>
      </c>
      <c r="T1187" s="27">
        <f>YEAR(U1187)</f>
        <v/>
      </c>
      <c r="U1187" s="95" t="n">
        <v>46070</v>
      </c>
      <c r="V1187" s="96" t="n">
        <v>0.07769999999999999</v>
      </c>
    </row>
    <row r="1188">
      <c r="P1188" s="27">
        <f>YEAR(Q1188)</f>
        <v/>
      </c>
      <c r="Q1188" s="97" t="n">
        <v>46028</v>
      </c>
      <c r="R1188" s="98" t="n">
        <v>0.0746</v>
      </c>
      <c r="T1188" s="27">
        <f>YEAR(U1188)</f>
        <v/>
      </c>
      <c r="U1188" s="97" t="n">
        <v>46071</v>
      </c>
      <c r="V1188" s="98" t="n">
        <v>0.07769999999999999</v>
      </c>
    </row>
    <row r="1189">
      <c r="P1189" s="27">
        <f>YEAR(Q1189)</f>
        <v/>
      </c>
      <c r="Q1189" s="95" t="n">
        <v>46029</v>
      </c>
      <c r="R1189" s="96" t="n">
        <v>0.0746</v>
      </c>
      <c r="T1189" s="27">
        <f>YEAR(U1189)</f>
        <v/>
      </c>
      <c r="U1189" s="95" t="n">
        <v>46072</v>
      </c>
      <c r="V1189" s="96" t="n">
        <v>0.07780000000000001</v>
      </c>
    </row>
    <row r="1190">
      <c r="P1190" s="27">
        <f>YEAR(Q1190)</f>
        <v/>
      </c>
      <c r="Q1190" s="97" t="n">
        <v>46030</v>
      </c>
      <c r="R1190" s="98" t="n">
        <v>0.0746</v>
      </c>
      <c r="T1190" s="27">
        <f>YEAR(U1190)</f>
        <v/>
      </c>
      <c r="U1190" s="97" t="n">
        <v>46073</v>
      </c>
      <c r="V1190" s="98" t="n">
        <v>0.07780000000000001</v>
      </c>
    </row>
    <row r="1191">
      <c r="P1191" s="27">
        <f>YEAR(Q1191)</f>
        <v/>
      </c>
      <c r="Q1191" s="95" t="n">
        <v>46031</v>
      </c>
      <c r="R1191" s="96" t="n">
        <v>0.0746</v>
      </c>
      <c r="T1191" s="27">
        <f>YEAR(U1191)</f>
        <v/>
      </c>
      <c r="U1191" s="95" t="n">
        <v>46076</v>
      </c>
      <c r="V1191" s="96" t="n">
        <v>0.07780000000000001</v>
      </c>
    </row>
    <row r="1192">
      <c r="P1192" s="27">
        <f>YEAR(Q1192)</f>
        <v/>
      </c>
      <c r="Q1192" s="97" t="n">
        <v>46034</v>
      </c>
      <c r="R1192" s="98" t="n">
        <v>0.0746</v>
      </c>
      <c r="T1192" s="27">
        <f>YEAR(U1192)</f>
        <v/>
      </c>
      <c r="U1192" s="97" t="n">
        <v>46077</v>
      </c>
      <c r="V1192" s="98" t="n">
        <v>0.07780000000000001</v>
      </c>
    </row>
    <row r="1193">
      <c r="P1193" s="27">
        <f>YEAR(Q1193)</f>
        <v/>
      </c>
      <c r="Q1193" s="95" t="n">
        <v>46035</v>
      </c>
      <c r="R1193" s="96" t="n">
        <v>0.0746</v>
      </c>
      <c r="T1193" s="27">
        <f>YEAR(U1193)</f>
        <v/>
      </c>
      <c r="U1193" s="95" t="n">
        <v>46078</v>
      </c>
      <c r="V1193" s="96" t="n">
        <v>0.07780000000000001</v>
      </c>
    </row>
    <row r="1194">
      <c r="P1194" s="27">
        <f>YEAR(Q1194)</f>
        <v/>
      </c>
      <c r="Q1194" s="97" t="n">
        <v>46036</v>
      </c>
      <c r="R1194" s="98" t="n">
        <v>0.0746</v>
      </c>
      <c r="T1194" s="27">
        <f>YEAR(U1194)</f>
        <v/>
      </c>
      <c r="U1194" s="97" t="n">
        <v>46079</v>
      </c>
      <c r="V1194" s="98" t="n">
        <v>0.07780000000000001</v>
      </c>
    </row>
    <row r="1195">
      <c r="P1195" s="27">
        <f>YEAR(Q1195)</f>
        <v/>
      </c>
      <c r="Q1195" s="95" t="n">
        <v>46037</v>
      </c>
      <c r="R1195" s="96" t="n">
        <v>0.0746</v>
      </c>
      <c r="T1195" s="27">
        <f>YEAR(U1195)</f>
        <v/>
      </c>
      <c r="U1195" s="95" t="n">
        <v>46080</v>
      </c>
      <c r="V1195" s="96" t="n">
        <v>0.07780000000000001</v>
      </c>
    </row>
    <row r="1196">
      <c r="P1196" s="27">
        <f>YEAR(Q1196)</f>
        <v/>
      </c>
      <c r="Q1196" s="97" t="n">
        <v>46038</v>
      </c>
      <c r="R1196" s="98" t="n">
        <v>0.0746</v>
      </c>
      <c r="T1196" s="27">
        <f>YEAR(U1196)</f>
        <v/>
      </c>
      <c r="U1196" s="97" t="n">
        <v>46083</v>
      </c>
      <c r="V1196" s="98" t="n">
        <v>0.07780000000000001</v>
      </c>
    </row>
    <row r="1197">
      <c r="P1197" s="27">
        <f>YEAR(Q1197)</f>
        <v/>
      </c>
      <c r="Q1197" s="95" t="n">
        <v>46041</v>
      </c>
      <c r="R1197" s="96" t="n">
        <v>0.0746</v>
      </c>
      <c r="T1197" s="27">
        <f>YEAR(U1197)</f>
        <v/>
      </c>
      <c r="U1197" s="95" t="n">
        <v>46084</v>
      </c>
      <c r="V1197" s="96" t="n">
        <v>0.07780000000000001</v>
      </c>
    </row>
    <row r="1198">
      <c r="P1198" s="27">
        <f>YEAR(Q1198)</f>
        <v/>
      </c>
      <c r="Q1198" s="97" t="n">
        <v>46042</v>
      </c>
      <c r="R1198" s="98" t="n">
        <v>0.0746</v>
      </c>
      <c r="T1198" s="27">
        <f>YEAR(U1198)</f>
        <v/>
      </c>
      <c r="U1198" s="97" t="n">
        <v>46085</v>
      </c>
      <c r="V1198" s="98" t="n">
        <v>0.07780000000000001</v>
      </c>
    </row>
    <row r="1199">
      <c r="P1199" s="27">
        <f>YEAR(Q1199)</f>
        <v/>
      </c>
      <c r="Q1199" s="95" t="n">
        <v>46043</v>
      </c>
      <c r="R1199" s="96" t="n">
        <v>0.0746</v>
      </c>
      <c r="T1199" s="27">
        <f>YEAR(U1199)</f>
        <v/>
      </c>
      <c r="U1199" s="95" t="n">
        <v>46086</v>
      </c>
      <c r="V1199" s="96" t="n">
        <v>0.07780000000000001</v>
      </c>
    </row>
    <row r="1200">
      <c r="P1200" s="27">
        <f>YEAR(Q1200)</f>
        <v/>
      </c>
      <c r="Q1200" s="97" t="n">
        <v>46044</v>
      </c>
      <c r="R1200" s="98" t="n">
        <v>0.0746</v>
      </c>
      <c r="T1200" s="27">
        <f>YEAR(U1200)</f>
        <v/>
      </c>
      <c r="U1200" s="97" t="n">
        <v>46087</v>
      </c>
      <c r="V1200" s="98" t="n">
        <v>0.07780000000000001</v>
      </c>
    </row>
    <row r="1201">
      <c r="P1201" s="27">
        <f>YEAR(Q1201)</f>
        <v/>
      </c>
      <c r="Q1201" s="95" t="n">
        <v>46045</v>
      </c>
      <c r="R1201" s="96" t="n">
        <v>0.0746</v>
      </c>
      <c r="T1201" s="27">
        <f>YEAR(U1201)</f>
        <v/>
      </c>
      <c r="U1201" s="95" t="n">
        <v>46090</v>
      </c>
      <c r="V1201" s="96" t="n">
        <v>0.07780000000000001</v>
      </c>
    </row>
    <row r="1202">
      <c r="P1202" s="27">
        <f>YEAR(Q1202)</f>
        <v/>
      </c>
      <c r="Q1202" s="97" t="n">
        <v>46048</v>
      </c>
      <c r="R1202" s="98" t="n">
        <v>0.07389999999999999</v>
      </c>
      <c r="T1202" s="27">
        <f>YEAR(U1202)</f>
        <v/>
      </c>
      <c r="U1202" s="97" t="n">
        <v>46091</v>
      </c>
      <c r="V1202" s="98" t="n">
        <v>0.07780000000000001</v>
      </c>
    </row>
    <row r="1203">
      <c r="P1203" s="27">
        <f>YEAR(Q1203)</f>
        <v/>
      </c>
      <c r="Q1203" s="95" t="n">
        <v>46049</v>
      </c>
      <c r="R1203" s="96" t="n">
        <v>0.07389999999999999</v>
      </c>
      <c r="T1203" s="27">
        <f>YEAR(U1203)</f>
        <v/>
      </c>
      <c r="U1203" s="95" t="n">
        <v>46092</v>
      </c>
      <c r="V1203" s="96" t="n">
        <v>0.07780000000000001</v>
      </c>
    </row>
    <row r="1204">
      <c r="P1204" s="27">
        <f>YEAR(Q1204)</f>
        <v/>
      </c>
      <c r="Q1204" s="97" t="n">
        <v>46050</v>
      </c>
      <c r="R1204" s="98" t="n">
        <v>0.07389999999999999</v>
      </c>
      <c r="T1204" s="27">
        <f>YEAR(U1204)</f>
        <v/>
      </c>
      <c r="U1204" s="97" t="n">
        <v>46093</v>
      </c>
      <c r="V1204" s="98" t="n">
        <v>0.07780000000000001</v>
      </c>
    </row>
    <row r="1205">
      <c r="P1205" s="27">
        <f>YEAR(Q1205)</f>
        <v/>
      </c>
      <c r="Q1205" s="95" t="n">
        <v>46051</v>
      </c>
      <c r="R1205" s="96" t="n">
        <v>0.07389999999999999</v>
      </c>
      <c r="T1205" s="27">
        <f>YEAR(U1205)</f>
        <v/>
      </c>
      <c r="U1205" s="95" t="n">
        <v>46094</v>
      </c>
      <c r="V1205" s="96" t="n">
        <v>0.07780000000000001</v>
      </c>
    </row>
    <row r="1206">
      <c r="P1206" s="27">
        <f>YEAR(Q1206)</f>
        <v/>
      </c>
      <c r="Q1206" s="97" t="n">
        <v>46052</v>
      </c>
      <c r="R1206" s="98" t="n">
        <v>0.07389999999999999</v>
      </c>
      <c r="T1206" s="27">
        <f>YEAR(U1206)</f>
        <v/>
      </c>
      <c r="U1206" s="97" t="n">
        <v>46098</v>
      </c>
      <c r="V1206" s="98" t="n">
        <v>0.07780000000000001</v>
      </c>
    </row>
    <row r="1207">
      <c r="P1207" s="27">
        <f>YEAR(Q1207)</f>
        <v/>
      </c>
      <c r="Q1207" s="95" t="n">
        <v>46055</v>
      </c>
      <c r="R1207" s="96" t="n">
        <v>0.07389999999999999</v>
      </c>
      <c r="T1207" s="27">
        <f>YEAR(U1207)</f>
        <v/>
      </c>
      <c r="U1207" s="95" t="n">
        <v>46099</v>
      </c>
      <c r="V1207" s="96" t="n">
        <v>0.07780000000000001</v>
      </c>
    </row>
    <row r="1208">
      <c r="P1208" s="27">
        <f>YEAR(Q1208)</f>
        <v/>
      </c>
      <c r="Q1208" s="97" t="n">
        <v>46056</v>
      </c>
      <c r="R1208" s="98" t="n">
        <v>0.07389999999999999</v>
      </c>
      <c r="T1208" s="27">
        <f>YEAR(U1208)</f>
        <v/>
      </c>
      <c r="U1208" s="97" t="n">
        <v>46100</v>
      </c>
      <c r="V1208" s="98" t="n">
        <v>0.07780000000000001</v>
      </c>
    </row>
    <row r="1209">
      <c r="P1209" s="27">
        <f>YEAR(Q1209)</f>
        <v/>
      </c>
      <c r="Q1209" s="95" t="n">
        <v>46057</v>
      </c>
      <c r="R1209" s="96" t="n">
        <v>0.07389999999999999</v>
      </c>
      <c r="T1209" s="27">
        <f>YEAR(U1209)</f>
        <v/>
      </c>
      <c r="U1209" s="95" t="n">
        <v>46101</v>
      </c>
      <c r="V1209" s="96" t="n">
        <v>0.07780000000000001</v>
      </c>
    </row>
    <row r="1210">
      <c r="P1210" s="27">
        <f>YEAR(Q1210)</f>
        <v/>
      </c>
      <c r="Q1210" s="97" t="n">
        <v>46058</v>
      </c>
      <c r="R1210" s="98" t="n">
        <v>0.07389999999999999</v>
      </c>
      <c r="T1210" s="27">
        <f>YEAR(U1210)</f>
        <v/>
      </c>
      <c r="U1210" s="97" t="n">
        <v>46104</v>
      </c>
      <c r="V1210" s="98" t="n">
        <v>0.07780000000000001</v>
      </c>
    </row>
    <row r="1211">
      <c r="P1211" s="27">
        <f>YEAR(Q1211)</f>
        <v/>
      </c>
      <c r="Q1211" s="95" t="n">
        <v>46059</v>
      </c>
      <c r="R1211" s="96" t="n">
        <v>0.07389999999999999</v>
      </c>
      <c r="T1211" s="27">
        <f>YEAR(U1211)</f>
        <v/>
      </c>
      <c r="U1211" s="95" t="n">
        <v>46105</v>
      </c>
      <c r="V1211" s="96" t="n">
        <v>0.07780000000000001</v>
      </c>
    </row>
    <row r="1212">
      <c r="P1212" s="27">
        <f>YEAR(Q1212)</f>
        <v/>
      </c>
      <c r="Q1212" s="97" t="n">
        <v>46062</v>
      </c>
      <c r="R1212" s="98" t="n">
        <v>0.07389999999999999</v>
      </c>
      <c r="T1212" s="27">
        <f>YEAR(U1212)</f>
        <v/>
      </c>
      <c r="U1212" s="97" t="n">
        <v>46106</v>
      </c>
      <c r="V1212" s="98" t="n">
        <v>0.07780000000000001</v>
      </c>
    </row>
    <row r="1213">
      <c r="P1213" s="27">
        <f>YEAR(Q1213)</f>
        <v/>
      </c>
      <c r="Q1213" s="95" t="n">
        <v>46064</v>
      </c>
      <c r="R1213" s="96" t="n">
        <v>0.0738</v>
      </c>
      <c r="T1213" s="27">
        <f>YEAR(U1213)</f>
        <v/>
      </c>
      <c r="U1213" s="95" t="n">
        <v>46107</v>
      </c>
      <c r="V1213" s="96" t="n">
        <v>0.07780000000000001</v>
      </c>
    </row>
    <row r="1214">
      <c r="P1214" s="27">
        <f>YEAR(Q1214)</f>
        <v/>
      </c>
      <c r="Q1214" s="97" t="n">
        <v>46065</v>
      </c>
      <c r="R1214" s="98" t="n">
        <v>0.0738</v>
      </c>
      <c r="T1214" s="27">
        <f>YEAR(U1214)</f>
        <v/>
      </c>
      <c r="U1214" s="97" t="n">
        <v>46108</v>
      </c>
      <c r="V1214" s="98" t="n">
        <v>0.07780000000000001</v>
      </c>
    </row>
    <row r="1215">
      <c r="P1215" s="27">
        <f>YEAR(Q1215)</f>
        <v/>
      </c>
      <c r="Q1215" s="95" t="n">
        <v>46066</v>
      </c>
      <c r="R1215" s="96" t="n">
        <v>0.0738</v>
      </c>
      <c r="T1215" s="27">
        <f>YEAR(U1215)</f>
        <v/>
      </c>
      <c r="U1215" s="95" t="n">
        <v>46111</v>
      </c>
      <c r="V1215" s="96" t="n">
        <v>0.07780000000000001</v>
      </c>
    </row>
    <row r="1216">
      <c r="P1216" s="27">
        <f>YEAR(Q1216)</f>
        <v/>
      </c>
      <c r="Q1216" s="97" t="n">
        <v>46069</v>
      </c>
      <c r="R1216" s="98" t="n">
        <v>0.0738</v>
      </c>
      <c r="T1216" s="27">
        <f>YEAR(U1216)</f>
        <v/>
      </c>
      <c r="U1216" s="97" t="n">
        <v>46112</v>
      </c>
      <c r="V1216" s="98" t="n">
        <v>0.07780000000000001</v>
      </c>
    </row>
    <row r="1217">
      <c r="P1217" s="27">
        <f>YEAR(Q1217)</f>
        <v/>
      </c>
      <c r="Q1217" s="95" t="n">
        <v>46070</v>
      </c>
      <c r="R1217" s="96" t="n">
        <v>0.0738</v>
      </c>
      <c r="T1217" s="27">
        <f>YEAR(U1217)</f>
        <v/>
      </c>
      <c r="U1217" s="95" t="n">
        <v>46113</v>
      </c>
      <c r="V1217" s="96" t="n">
        <v>0.07780000000000001</v>
      </c>
    </row>
    <row r="1218">
      <c r="P1218" s="27">
        <f>YEAR(Q1218)</f>
        <v/>
      </c>
      <c r="Q1218" s="97" t="n">
        <v>46071</v>
      </c>
      <c r="R1218" s="98" t="n">
        <v>0.0738</v>
      </c>
      <c r="T1218" s="27">
        <f>YEAR(U1218)</f>
        <v/>
      </c>
      <c r="U1218" s="97" t="n">
        <v>46114</v>
      </c>
      <c r="V1218" s="98" t="n">
        <v>0.078</v>
      </c>
    </row>
    <row r="1219">
      <c r="P1219" s="27">
        <f>YEAR(Q1219)</f>
        <v/>
      </c>
      <c r="Q1219" s="95" t="n">
        <v>46072</v>
      </c>
      <c r="R1219" s="96" t="n">
        <v>0.0737</v>
      </c>
      <c r="T1219" s="27">
        <f>YEAR(U1219)</f>
        <v/>
      </c>
      <c r="U1219" s="95" t="n">
        <v>46115</v>
      </c>
      <c r="V1219" s="96" t="n">
        <v>0.078</v>
      </c>
    </row>
    <row r="1220">
      <c r="P1220" s="27">
        <f>YEAR(Q1220)</f>
        <v/>
      </c>
      <c r="Q1220" s="97" t="n">
        <v>46073</v>
      </c>
      <c r="R1220" s="98" t="n">
        <v>0.0737</v>
      </c>
      <c r="T1220" s="27">
        <f>YEAR(U1220)</f>
        <v/>
      </c>
      <c r="U1220" s="97" t="n">
        <v>46119</v>
      </c>
      <c r="V1220" s="98" t="n">
        <v>0.078</v>
      </c>
    </row>
    <row r="1221">
      <c r="P1221" s="27">
        <f>YEAR(Q1221)</f>
        <v/>
      </c>
      <c r="Q1221" s="95" t="n">
        <v>46076</v>
      </c>
      <c r="R1221" s="96" t="n">
        <v>0.0737</v>
      </c>
      <c r="T1221" s="27">
        <f>YEAR(U1221)</f>
        <v/>
      </c>
      <c r="U1221" s="95" t="n">
        <v>46120</v>
      </c>
      <c r="V1221" s="96" t="n">
        <v>0.078</v>
      </c>
    </row>
    <row r="1222">
      <c r="P1222" s="27">
        <f>YEAR(Q1222)</f>
        <v/>
      </c>
      <c r="Q1222" s="97" t="n">
        <v>46077</v>
      </c>
      <c r="R1222" s="98" t="n">
        <v>0.0737</v>
      </c>
      <c r="T1222" s="27">
        <f>YEAR(U1222)</f>
        <v/>
      </c>
      <c r="U1222" s="97" t="n">
        <v>46121</v>
      </c>
      <c r="V1222" s="98" t="n">
        <v>0.078</v>
      </c>
    </row>
    <row r="1223">
      <c r="P1223" s="27">
        <f>YEAR(Q1223)</f>
        <v/>
      </c>
      <c r="Q1223" s="95" t="n">
        <v>46078</v>
      </c>
      <c r="R1223" s="96" t="n">
        <v>0.0737</v>
      </c>
      <c r="T1223" s="27">
        <f>YEAR(U1223)</f>
        <v/>
      </c>
      <c r="U1223" s="95" t="n">
        <v>46122</v>
      </c>
      <c r="V1223" s="96" t="n">
        <v>0.078</v>
      </c>
    </row>
    <row r="1224">
      <c r="P1224" s="27">
        <f>YEAR(Q1224)</f>
        <v/>
      </c>
      <c r="Q1224" s="97" t="n">
        <v>46079</v>
      </c>
      <c r="R1224" s="98" t="n">
        <v>0.0737</v>
      </c>
      <c r="T1224" s="27">
        <f>YEAR(U1224)</f>
        <v/>
      </c>
      <c r="U1224" s="97" t="n">
        <v>46125</v>
      </c>
      <c r="V1224" s="98" t="n">
        <v>0.078</v>
      </c>
    </row>
    <row r="1225">
      <c r="P1225" s="27">
        <f>YEAR(Q1225)</f>
        <v/>
      </c>
      <c r="Q1225" s="95" t="n">
        <v>46080</v>
      </c>
      <c r="R1225" s="96" t="n">
        <v>0.0737</v>
      </c>
      <c r="T1225" s="27">
        <f>YEAR(U1225)</f>
        <v/>
      </c>
      <c r="U1225" s="95" t="n">
        <v>46126</v>
      </c>
      <c r="V1225" s="96" t="n">
        <v>0.078</v>
      </c>
    </row>
    <row r="1226">
      <c r="P1226" s="27">
        <f>YEAR(Q1226)</f>
        <v/>
      </c>
      <c r="Q1226" s="97" t="n">
        <v>46083</v>
      </c>
      <c r="R1226" s="98" t="n">
        <v>0.0737</v>
      </c>
      <c r="T1226" s="27">
        <f>YEAR(U1226)</f>
        <v/>
      </c>
      <c r="U1226" s="97" t="n">
        <v>46127</v>
      </c>
      <c r="V1226" s="98" t="n">
        <v>0.078</v>
      </c>
    </row>
    <row r="1227">
      <c r="P1227" s="27">
        <f>YEAR(Q1227)</f>
        <v/>
      </c>
      <c r="Q1227" s="95" t="n">
        <v>46084</v>
      </c>
      <c r="R1227" s="96" t="n">
        <v>0.0737</v>
      </c>
      <c r="T1227" s="27">
        <f>YEAR(U1227)</f>
        <v/>
      </c>
      <c r="U1227" s="95" t="n">
        <v>46128</v>
      </c>
      <c r="V1227" s="96" t="n">
        <v>0.078</v>
      </c>
    </row>
    <row r="1228">
      <c r="P1228" s="27">
        <f>YEAR(Q1228)</f>
        <v/>
      </c>
      <c r="Q1228" s="97" t="n">
        <v>46085</v>
      </c>
      <c r="R1228" s="98" t="n">
        <v>0.0737</v>
      </c>
      <c r="T1228" s="27">
        <f>YEAR(U1228)</f>
        <v/>
      </c>
      <c r="U1228" s="97" t="n">
        <v>46129</v>
      </c>
      <c r="V1228" s="98" t="n">
        <v>0.078</v>
      </c>
    </row>
    <row r="1229">
      <c r="P1229" s="27">
        <f>YEAR(Q1229)</f>
        <v/>
      </c>
      <c r="Q1229" s="95" t="n">
        <v>46086</v>
      </c>
      <c r="R1229" s="96" t="n">
        <v>0.0737</v>
      </c>
      <c r="T1229" s="27">
        <f>YEAR(U1229)</f>
        <v/>
      </c>
      <c r="U1229" s="95" t="n">
        <v>46132</v>
      </c>
      <c r="V1229" s="96" t="n">
        <v>0.078</v>
      </c>
    </row>
    <row r="1230">
      <c r="P1230" s="27">
        <f>YEAR(Q1230)</f>
        <v/>
      </c>
      <c r="Q1230" s="97" t="n">
        <v>46087</v>
      </c>
      <c r="R1230" s="98" t="n">
        <v>0.0737</v>
      </c>
      <c r="T1230" s="27">
        <f>YEAR(U1230)</f>
        <v/>
      </c>
      <c r="U1230" s="97" t="n">
        <v>46133</v>
      </c>
      <c r="V1230" s="98" t="n">
        <v>0.078</v>
      </c>
    </row>
    <row r="1231">
      <c r="P1231" s="27">
        <f>YEAR(Q1231)</f>
        <v/>
      </c>
      <c r="Q1231" s="95" t="n">
        <v>46090</v>
      </c>
      <c r="R1231" s="96" t="n">
        <v>0.0737</v>
      </c>
      <c r="T1231" s="27">
        <f>YEAR(U1231)</f>
        <v/>
      </c>
      <c r="U1231" s="95" t="n">
        <v>46134</v>
      </c>
      <c r="V1231" s="96" t="n">
        <v>0.078</v>
      </c>
    </row>
    <row r="1232">
      <c r="P1232" s="27">
        <f>YEAR(Q1232)</f>
        <v/>
      </c>
      <c r="Q1232" s="97" t="n">
        <v>46091</v>
      </c>
      <c r="R1232" s="98" t="n">
        <v>0.0737</v>
      </c>
      <c r="T1232" s="27">
        <f>YEAR(U1232)</f>
        <v/>
      </c>
      <c r="U1232" s="97" t="n">
        <v>46135</v>
      </c>
      <c r="V1232" s="98" t="n">
        <v>0.078</v>
      </c>
    </row>
    <row r="1233">
      <c r="P1233" s="27">
        <f>YEAR(Q1233)</f>
        <v/>
      </c>
      <c r="Q1233" s="95" t="n">
        <v>46092</v>
      </c>
      <c r="R1233" s="96" t="n">
        <v>0.0737</v>
      </c>
      <c r="T1233" s="27">
        <f>YEAR(U1233)</f>
        <v/>
      </c>
      <c r="U1233" s="95" t="n">
        <v>46136</v>
      </c>
      <c r="V1233" s="96" t="n">
        <v>0.078</v>
      </c>
    </row>
    <row r="1234">
      <c r="P1234" s="27">
        <f>YEAR(Q1234)</f>
        <v/>
      </c>
      <c r="Q1234" s="97" t="n">
        <v>46093</v>
      </c>
      <c r="R1234" s="98" t="n">
        <v>0.0737</v>
      </c>
      <c r="T1234" s="27">
        <f>YEAR(U1234)</f>
        <v/>
      </c>
      <c r="U1234" s="97" t="n">
        <v>46139</v>
      </c>
      <c r="V1234" s="98" t="n">
        <v>0.078</v>
      </c>
    </row>
    <row r="1235">
      <c r="P1235" s="27">
        <f>YEAR(Q1235)</f>
        <v/>
      </c>
      <c r="Q1235" s="95" t="n">
        <v>46094</v>
      </c>
      <c r="R1235" s="96" t="n">
        <v>0.0737</v>
      </c>
      <c r="T1235" s="27">
        <f>YEAR(U1235)</f>
        <v/>
      </c>
      <c r="U1235" s="95" t="n">
        <v>46140</v>
      </c>
      <c r="V1235" s="96" t="n">
        <v>0.078</v>
      </c>
    </row>
    <row r="1236">
      <c r="P1236" s="27">
        <f>YEAR(Q1236)</f>
        <v/>
      </c>
      <c r="Q1236" s="97" t="n">
        <v>46098</v>
      </c>
      <c r="R1236" s="98" t="n">
        <v>0.0737</v>
      </c>
      <c r="T1236" s="27">
        <f>YEAR(U1236)</f>
        <v/>
      </c>
      <c r="U1236" s="97" t="n">
        <v>46141</v>
      </c>
      <c r="V1236" s="98" t="n">
        <v>0.078</v>
      </c>
    </row>
    <row r="1237">
      <c r="P1237" s="27">
        <f>YEAR(Q1237)</f>
        <v/>
      </c>
      <c r="Q1237" s="95" t="n">
        <v>46099</v>
      </c>
      <c r="R1237" s="96" t="n">
        <v>0.0737</v>
      </c>
      <c r="T1237" s="27">
        <f>YEAR(U1237)</f>
        <v/>
      </c>
      <c r="U1237" s="95" t="n">
        <v>46142</v>
      </c>
      <c r="V1237" s="96" t="n">
        <v>0.078</v>
      </c>
    </row>
    <row r="1238">
      <c r="P1238" s="27">
        <f>YEAR(Q1238)</f>
        <v/>
      </c>
      <c r="Q1238" s="97" t="n">
        <v>46100</v>
      </c>
      <c r="R1238" s="98" t="n">
        <v>0.0737</v>
      </c>
      <c r="T1238" s="27">
        <f>YEAR(U1238)</f>
        <v/>
      </c>
      <c r="U1238" s="97" t="n">
        <v>46147</v>
      </c>
      <c r="V1238" s="98" t="n">
        <v>0.078</v>
      </c>
    </row>
    <row r="1239">
      <c r="P1239" s="27">
        <f>YEAR(Q1239)</f>
        <v/>
      </c>
      <c r="Q1239" s="95" t="n">
        <v>46101</v>
      </c>
      <c r="R1239" s="96" t="n">
        <v>0.0737</v>
      </c>
      <c r="T1239" s="27">
        <f>YEAR(U1239)</f>
        <v/>
      </c>
      <c r="U1239" s="95" t="n">
        <v>46148</v>
      </c>
      <c r="V1239" s="96" t="n">
        <v>0.078</v>
      </c>
    </row>
    <row r="1240">
      <c r="P1240" s="27">
        <f>YEAR(Q1240)</f>
        <v/>
      </c>
      <c r="Q1240" s="97" t="n">
        <v>46104</v>
      </c>
      <c r="R1240" s="98" t="n">
        <v>0.0737</v>
      </c>
      <c r="T1240" s="27">
        <f>YEAR(U1240)</f>
        <v/>
      </c>
      <c r="U1240" s="97" t="n">
        <v>46149</v>
      </c>
      <c r="V1240" s="98" t="n">
        <v>0.078</v>
      </c>
    </row>
    <row r="1241">
      <c r="P1241" s="27">
        <f>YEAR(Q1241)</f>
        <v/>
      </c>
      <c r="Q1241" s="95" t="n">
        <v>46105</v>
      </c>
      <c r="R1241" s="96" t="n">
        <v>0.0737</v>
      </c>
      <c r="T1241" s="27">
        <f>YEAR(U1241)</f>
        <v/>
      </c>
      <c r="U1241" s="95" t="n">
        <v>46150</v>
      </c>
      <c r="V1241" s="96" t="n">
        <v>0.078</v>
      </c>
    </row>
    <row r="1242">
      <c r="P1242" s="27">
        <f>YEAR(Q1242)</f>
        <v/>
      </c>
      <c r="Q1242" s="97" t="n">
        <v>46106</v>
      </c>
      <c r="R1242" s="98" t="n">
        <v>0.0737</v>
      </c>
      <c r="T1242" s="27">
        <f>YEAR(U1242)</f>
        <v/>
      </c>
      <c r="U1242" s="97" t="n">
        <v>46153</v>
      </c>
      <c r="V1242" s="98" t="n">
        <v>0.078</v>
      </c>
    </row>
    <row r="1243">
      <c r="P1243" s="27">
        <f>YEAR(Q1243)</f>
        <v/>
      </c>
      <c r="Q1243" s="95" t="n">
        <v>46107</v>
      </c>
      <c r="R1243" s="96" t="n">
        <v>0.0737</v>
      </c>
      <c r="T1243" s="27">
        <f>YEAR(U1243)</f>
        <v/>
      </c>
      <c r="U1243" s="95" t="n">
        <v>46154</v>
      </c>
      <c r="V1243" s="96" t="n">
        <v>0.078</v>
      </c>
    </row>
    <row r="1244">
      <c r="P1244" s="27">
        <f>YEAR(Q1244)</f>
        <v/>
      </c>
      <c r="Q1244" s="97" t="n">
        <v>46108</v>
      </c>
      <c r="R1244" s="98" t="n">
        <v>0.0737</v>
      </c>
      <c r="T1244" s="27">
        <f>YEAR(U1244)</f>
        <v/>
      </c>
      <c r="U1244" s="97" t="n">
        <v>46155</v>
      </c>
      <c r="V1244" s="98" t="n">
        <v>0.078</v>
      </c>
    </row>
    <row r="1245">
      <c r="P1245" s="27">
        <f>YEAR(Q1245)</f>
        <v/>
      </c>
      <c r="Q1245" s="95" t="n">
        <v>46111</v>
      </c>
      <c r="R1245" s="96" t="n">
        <v>0.0737</v>
      </c>
      <c r="T1245" s="27">
        <f>YEAR(U1245)</f>
        <v/>
      </c>
      <c r="U1245" s="95" t="n">
        <v>46157</v>
      </c>
      <c r="V1245" s="96" t="n">
        <v>0.078</v>
      </c>
    </row>
    <row r="1246">
      <c r="P1246" s="27">
        <f>YEAR(Q1246)</f>
        <v/>
      </c>
      <c r="Q1246" s="97" t="n">
        <v>46112</v>
      </c>
      <c r="R1246" s="98" t="n">
        <v>0.0737</v>
      </c>
      <c r="T1246" s="27">
        <f>YEAR(U1246)</f>
        <v/>
      </c>
      <c r="U1246" s="97" t="n">
        <v>46160</v>
      </c>
      <c r="V1246" s="98" t="n">
        <v>0.078</v>
      </c>
    </row>
    <row r="1247">
      <c r="P1247" s="27">
        <f>YEAR(Q1247)</f>
        <v/>
      </c>
      <c r="Q1247" s="95" t="n">
        <v>46113</v>
      </c>
      <c r="R1247" s="96" t="n">
        <v>0.0737</v>
      </c>
      <c r="T1247" s="27">
        <f>YEAR(U1247)</f>
        <v/>
      </c>
      <c r="U1247" s="95" t="n">
        <v>46161</v>
      </c>
      <c r="V1247" s="96" t="n">
        <v>0.078</v>
      </c>
    </row>
    <row r="1248">
      <c r="P1248" s="27">
        <f>YEAR(Q1248)</f>
        <v/>
      </c>
      <c r="Q1248" s="97" t="n">
        <v>46114</v>
      </c>
      <c r="R1248" s="98" t="n">
        <v>0.0736</v>
      </c>
      <c r="T1248" s="27">
        <f>YEAR(U1248)</f>
        <v/>
      </c>
      <c r="U1248" s="97" t="n">
        <v>46162</v>
      </c>
      <c r="V1248" s="98" t="n">
        <v>0.078</v>
      </c>
    </row>
    <row r="1249">
      <c r="P1249" s="27">
        <f>YEAR(Q1249)</f>
        <v/>
      </c>
      <c r="Q1249" s="95" t="n">
        <v>46115</v>
      </c>
      <c r="R1249" s="96" t="n">
        <v>0.0736</v>
      </c>
      <c r="T1249" s="27">
        <f>YEAR(U1249)</f>
        <v/>
      </c>
      <c r="U1249" s="95" t="n">
        <v>46163</v>
      </c>
      <c r="V1249" s="96" t="n">
        <v>0.078</v>
      </c>
    </row>
    <row r="1250">
      <c r="P1250" s="27">
        <f>YEAR(Q1250)</f>
        <v/>
      </c>
      <c r="Q1250" s="97" t="n">
        <v>46119</v>
      </c>
      <c r="R1250" s="98" t="n">
        <v>0.0736</v>
      </c>
      <c r="T1250" s="27">
        <f>YEAR(U1250)</f>
        <v/>
      </c>
      <c r="U1250" s="97" t="n">
        <v>46164</v>
      </c>
      <c r="V1250" s="98" t="n">
        <v>0.078</v>
      </c>
    </row>
    <row r="1251">
      <c r="P1251" s="27">
        <f>YEAR(Q1251)</f>
        <v/>
      </c>
      <c r="Q1251" s="95" t="n">
        <v>46120</v>
      </c>
      <c r="R1251" s="96" t="n">
        <v>0.0736</v>
      </c>
      <c r="T1251" s="27">
        <f>YEAR(U1251)</f>
        <v/>
      </c>
      <c r="U1251" s="95" t="n">
        <v>46168</v>
      </c>
      <c r="V1251" s="96" t="n">
        <v>0.078</v>
      </c>
    </row>
    <row r="1252">
      <c r="P1252" s="27">
        <f>YEAR(Q1252)</f>
        <v/>
      </c>
      <c r="Q1252" s="97" t="n">
        <v>46121</v>
      </c>
      <c r="R1252" s="98" t="n">
        <v>0.0736</v>
      </c>
      <c r="T1252" s="27">
        <f>YEAR(U1252)</f>
        <v/>
      </c>
      <c r="U1252" s="97" t="n">
        <v>46170</v>
      </c>
      <c r="V1252" s="98" t="n">
        <v>0.078</v>
      </c>
    </row>
    <row r="1253">
      <c r="P1253" s="27">
        <f>YEAR(Q1253)</f>
        <v/>
      </c>
      <c r="Q1253" s="95" t="n">
        <v>46122</v>
      </c>
      <c r="R1253" s="96" t="n">
        <v>0.0736</v>
      </c>
      <c r="T1253" s="27">
        <f>YEAR(U1253)</f>
        <v/>
      </c>
      <c r="U1253" s="95" t="n">
        <v>46171</v>
      </c>
      <c r="V1253" s="96" t="n">
        <v>0.078</v>
      </c>
    </row>
    <row r="1254">
      <c r="P1254" s="27">
        <f>YEAR(Q1254)</f>
        <v/>
      </c>
      <c r="Q1254" s="97" t="n">
        <v>46125</v>
      </c>
      <c r="R1254" s="98" t="n">
        <v>0.0736</v>
      </c>
      <c r="T1254" s="27">
        <f>YEAR(U1254)</f>
        <v/>
      </c>
      <c r="U1254" s="97" t="n">
        <v>46174</v>
      </c>
      <c r="V1254" s="98" t="n">
        <v>0.078</v>
      </c>
    </row>
    <row r="1255">
      <c r="P1255" s="27">
        <f>YEAR(Q1255)</f>
        <v/>
      </c>
      <c r="Q1255" s="95" t="n">
        <v>46126</v>
      </c>
      <c r="R1255" s="96" t="n">
        <v>0.0736</v>
      </c>
      <c r="T1255" s="27">
        <f>YEAR(U1255)</f>
        <v/>
      </c>
      <c r="U1255" s="95" t="n">
        <v>46175</v>
      </c>
      <c r="V1255" s="96" t="n">
        <v>0.078</v>
      </c>
    </row>
    <row r="1256">
      <c r="P1256" s="27">
        <f>YEAR(Q1256)</f>
        <v/>
      </c>
      <c r="Q1256" s="97" t="n">
        <v>46127</v>
      </c>
      <c r="R1256" s="98" t="n">
        <v>0.0736</v>
      </c>
      <c r="T1256" s="27">
        <f>YEAR(U1256)</f>
        <v/>
      </c>
      <c r="U1256" s="97" t="n">
        <v>46176</v>
      </c>
      <c r="V1256" s="98" t="n">
        <v>0.078</v>
      </c>
    </row>
    <row r="1257">
      <c r="P1257" s="27">
        <f>YEAR(Q1257)</f>
        <v/>
      </c>
      <c r="Q1257" s="95" t="n">
        <v>46128</v>
      </c>
      <c r="R1257" s="96" t="n">
        <v>0.0736</v>
      </c>
      <c r="T1257" s="27">
        <f>YEAR(U1257)</f>
        <v/>
      </c>
      <c r="U1257" s="95" t="n">
        <v>46177</v>
      </c>
      <c r="V1257" s="96" t="n">
        <v>0.078</v>
      </c>
    </row>
    <row r="1258">
      <c r="P1258" s="27">
        <f>YEAR(Q1258)</f>
        <v/>
      </c>
      <c r="Q1258" s="97" t="n">
        <v>46129</v>
      </c>
      <c r="R1258" s="98" t="n">
        <v>0.0736</v>
      </c>
      <c r="T1258" s="27">
        <f>YEAR(U1258)</f>
        <v/>
      </c>
      <c r="U1258" s="97" t="n">
        <v>46178</v>
      </c>
      <c r="V1258" s="98" t="n">
        <v>0.078</v>
      </c>
    </row>
    <row r="1259">
      <c r="P1259" s="27">
        <f>YEAR(Q1259)</f>
        <v/>
      </c>
      <c r="Q1259" s="95" t="n">
        <v>46132</v>
      </c>
      <c r="R1259" s="96" t="n">
        <v>0.0736</v>
      </c>
      <c r="T1259" s="27">
        <f>YEAR(U1259)</f>
        <v/>
      </c>
      <c r="U1259" s="95" t="n">
        <v>46181</v>
      </c>
      <c r="V1259" s="96" t="n">
        <v>0.078</v>
      </c>
    </row>
    <row r="1260">
      <c r="P1260" s="27">
        <f>YEAR(Q1260)</f>
        <v/>
      </c>
      <c r="Q1260" s="97" t="n">
        <v>46133</v>
      </c>
      <c r="R1260" s="98" t="n">
        <v>0.0736</v>
      </c>
      <c r="T1260" s="27">
        <f>YEAR(U1260)</f>
        <v/>
      </c>
      <c r="U1260" s="97" t="n">
        <v>46182</v>
      </c>
      <c r="V1260" s="98" t="n">
        <v>0.078</v>
      </c>
    </row>
    <row r="1261">
      <c r="P1261" s="27">
        <f>YEAR(Q1261)</f>
        <v/>
      </c>
      <c r="Q1261" s="95" t="n">
        <v>46134</v>
      </c>
      <c r="R1261" s="96" t="n">
        <v>0.0736</v>
      </c>
      <c r="T1261" s="27">
        <f>YEAR(U1261)</f>
        <v/>
      </c>
      <c r="U1261" s="95" t="n">
        <v>46183</v>
      </c>
      <c r="V1261" s="96" t="n">
        <v>0.078</v>
      </c>
    </row>
    <row r="1262">
      <c r="P1262" s="27">
        <f>YEAR(Q1262)</f>
        <v/>
      </c>
      <c r="Q1262" s="97" t="n">
        <v>46135</v>
      </c>
      <c r="R1262" s="98" t="n">
        <v>0.0736</v>
      </c>
      <c r="T1262" s="27">
        <f>YEAR(U1262)</f>
        <v/>
      </c>
      <c r="U1262" s="97" t="n">
        <v>46184</v>
      </c>
      <c r="V1262" s="98" t="n">
        <v>0.078</v>
      </c>
    </row>
    <row r="1263">
      <c r="P1263" s="27">
        <f>YEAR(Q1263)</f>
        <v/>
      </c>
      <c r="Q1263" s="95" t="n">
        <v>46136</v>
      </c>
      <c r="R1263" s="96" t="n">
        <v>0.0736</v>
      </c>
      <c r="T1263" s="27">
        <f>YEAR(U1263)</f>
        <v/>
      </c>
      <c r="U1263" s="95" t="n">
        <v>46185</v>
      </c>
      <c r="V1263" s="96" t="n">
        <v>0.078</v>
      </c>
    </row>
    <row r="1264">
      <c r="P1264" s="27">
        <f>YEAR(Q1264)</f>
        <v/>
      </c>
      <c r="Q1264" s="97" t="n">
        <v>46139</v>
      </c>
      <c r="R1264" s="98" t="n">
        <v>0.0736</v>
      </c>
      <c r="T1264" s="27">
        <f>YEAR(U1264)</f>
        <v/>
      </c>
      <c r="U1264" s="97" t="n">
        <v>46188</v>
      </c>
      <c r="V1264" s="98" t="n">
        <v>0.078</v>
      </c>
    </row>
    <row r="1265">
      <c r="P1265" s="27">
        <f>YEAR(Q1265)</f>
        <v/>
      </c>
      <c r="Q1265" s="95" t="n">
        <v>46140</v>
      </c>
      <c r="R1265" s="96" t="n">
        <v>0.0736</v>
      </c>
      <c r="T1265" s="27">
        <f>YEAR(U1265)</f>
        <v/>
      </c>
      <c r="U1265" s="95" t="n">
        <v>46189</v>
      </c>
      <c r="V1265" s="96" t="n">
        <v>0.078</v>
      </c>
    </row>
    <row r="1266">
      <c r="P1266" s="27">
        <f>YEAR(Q1266)</f>
        <v/>
      </c>
      <c r="Q1266" s="97" t="n">
        <v>46141</v>
      </c>
      <c r="R1266" s="98" t="n">
        <v>0.0736</v>
      </c>
      <c r="T1266" s="27">
        <f>YEAR(U1266)</f>
        <v/>
      </c>
      <c r="U1266" s="97" t="n">
        <v>46190</v>
      </c>
      <c r="V1266" s="98" t="n">
        <v>0.078</v>
      </c>
    </row>
    <row r="1267">
      <c r="P1267" s="27">
        <f>YEAR(Q1267)</f>
        <v/>
      </c>
      <c r="Q1267" s="95" t="n">
        <v>46142</v>
      </c>
      <c r="R1267" s="96" t="n">
        <v>0.0736</v>
      </c>
      <c r="T1267" s="27">
        <f>YEAR(U1267)</f>
        <v/>
      </c>
      <c r="U1267" s="95" t="n">
        <v>46191</v>
      </c>
      <c r="V1267" s="96" t="n">
        <v>0.078</v>
      </c>
    </row>
    <row r="1268">
      <c r="P1268" s="27">
        <f>YEAR(Q1268)</f>
        <v/>
      </c>
      <c r="Q1268" s="97" t="n">
        <v>46147</v>
      </c>
      <c r="R1268" s="98" t="n">
        <v>0.0736</v>
      </c>
      <c r="T1268" s="27">
        <f>YEAR(U1268)</f>
        <v/>
      </c>
      <c r="U1268" s="97" t="n">
        <v>46192</v>
      </c>
      <c r="V1268" s="98" t="n">
        <v>0.078</v>
      </c>
    </row>
    <row r="1269">
      <c r="P1269" s="27">
        <f>YEAR(Q1269)</f>
        <v/>
      </c>
      <c r="Q1269" s="95" t="n">
        <v>46148</v>
      </c>
      <c r="R1269" s="96" t="n">
        <v>0.0736</v>
      </c>
      <c r="T1269" s="27">
        <f>YEAR(U1269)</f>
        <v/>
      </c>
      <c r="U1269" s="95" t="n">
        <v>46195</v>
      </c>
      <c r="V1269" s="96" t="n">
        <v>0.078</v>
      </c>
    </row>
    <row r="1270">
      <c r="P1270" s="27">
        <f>YEAR(Q1270)</f>
        <v/>
      </c>
      <c r="Q1270" s="97" t="n">
        <v>46149</v>
      </c>
      <c r="R1270" s="98" t="n">
        <v>0.0736</v>
      </c>
      <c r="T1270" s="27">
        <f>YEAR(U1270)</f>
        <v/>
      </c>
      <c r="U1270" s="97" t="n">
        <v>46196</v>
      </c>
      <c r="V1270" s="98" t="n">
        <v>0.078</v>
      </c>
    </row>
    <row r="1271">
      <c r="P1271" s="27">
        <f>YEAR(Q1271)</f>
        <v/>
      </c>
      <c r="Q1271" s="95" t="n">
        <v>46150</v>
      </c>
      <c r="R1271" s="96" t="n">
        <v>0.0736</v>
      </c>
      <c r="T1271" s="27">
        <f>YEAR(U1271)</f>
        <v/>
      </c>
      <c r="U1271" s="95" t="n">
        <v>46197</v>
      </c>
      <c r="V1271" s="96" t="n">
        <v>0.078</v>
      </c>
    </row>
    <row r="1272">
      <c r="P1272" s="27">
        <f>YEAR(Q1272)</f>
        <v/>
      </c>
      <c r="Q1272" s="97" t="n">
        <v>46153</v>
      </c>
      <c r="R1272" s="98" t="n">
        <v>0.0736</v>
      </c>
      <c r="T1272" s="27">
        <f>YEAR(U1272)</f>
        <v/>
      </c>
      <c r="U1272" s="97" t="n">
        <v>46198</v>
      </c>
      <c r="V1272" s="98" t="n">
        <v>0.078</v>
      </c>
    </row>
    <row r="1273">
      <c r="P1273" s="27">
        <f>YEAR(Q1273)</f>
        <v/>
      </c>
      <c r="Q1273" s="95" t="n">
        <v>46154</v>
      </c>
      <c r="R1273" s="96" t="n">
        <v>0.0736</v>
      </c>
      <c r="T1273" s="27">
        <f>YEAR(U1273)</f>
        <v/>
      </c>
      <c r="U1273" s="95" t="n">
        <v>46199</v>
      </c>
      <c r="V1273" s="96" t="n">
        <v>0.078</v>
      </c>
    </row>
    <row r="1274">
      <c r="P1274" s="27">
        <f>YEAR(Q1274)</f>
        <v/>
      </c>
      <c r="Q1274" s="97" t="n">
        <v>46155</v>
      </c>
      <c r="R1274" s="98" t="n">
        <v>0.0736</v>
      </c>
      <c r="T1274" s="27">
        <f>YEAR(U1274)</f>
        <v/>
      </c>
      <c r="U1274" s="97" t="n">
        <v>46202</v>
      </c>
      <c r="V1274" s="98" t="n">
        <v>0.0775</v>
      </c>
    </row>
    <row r="1275">
      <c r="P1275" s="27">
        <f>YEAR(Q1275)</f>
        <v/>
      </c>
      <c r="Q1275" s="95" t="n">
        <v>46157</v>
      </c>
      <c r="R1275" s="96" t="n">
        <v>0.0736</v>
      </c>
      <c r="T1275" s="27">
        <f>YEAR(U1275)</f>
        <v/>
      </c>
      <c r="U1275" s="95" t="n">
        <v>46203</v>
      </c>
      <c r="V1275" s="96" t="n">
        <v>0.0775</v>
      </c>
    </row>
    <row r="1276">
      <c r="P1276" s="27">
        <f>YEAR(Q1276)</f>
        <v/>
      </c>
      <c r="Q1276" s="97" t="n">
        <v>46160</v>
      </c>
      <c r="R1276" s="98" t="n">
        <v>0.0736</v>
      </c>
      <c r="T1276" s="27">
        <f>YEAR(U1276)</f>
        <v/>
      </c>
      <c r="U1276" s="97" t="n">
        <v>46204</v>
      </c>
      <c r="V1276" s="98" t="n">
        <v>0.0775</v>
      </c>
    </row>
    <row r="1277">
      <c r="P1277" s="27">
        <f>YEAR(Q1277)</f>
        <v/>
      </c>
      <c r="Q1277" s="95" t="n">
        <v>46161</v>
      </c>
      <c r="R1277" s="96" t="n">
        <v>0.0736</v>
      </c>
      <c r="T1277" s="27">
        <f>YEAR(U1277)</f>
        <v/>
      </c>
      <c r="U1277" s="95" t="n">
        <v>46205</v>
      </c>
      <c r="V1277" s="96" t="n">
        <v>0.0775</v>
      </c>
    </row>
    <row r="1278">
      <c r="P1278" s="27">
        <f>YEAR(Q1278)</f>
        <v/>
      </c>
      <c r="Q1278" s="97" t="n">
        <v>46162</v>
      </c>
      <c r="R1278" s="98" t="n">
        <v>0.07000000000000001</v>
      </c>
      <c r="T1278" s="27">
        <f>YEAR(U1278)</f>
        <v/>
      </c>
      <c r="U1278" s="97" t="n">
        <v>46206</v>
      </c>
      <c r="V1278" s="98" t="n">
        <v>0.0775</v>
      </c>
    </row>
    <row r="1279">
      <c r="P1279" s="27">
        <f>YEAR(Q1279)</f>
        <v/>
      </c>
      <c r="Q1279" s="95" t="n">
        <v>46163</v>
      </c>
      <c r="R1279" s="96" t="n">
        <v>0.07000000000000001</v>
      </c>
      <c r="T1279" s="27">
        <f>YEAR(U1279)</f>
        <v/>
      </c>
      <c r="U1279" s="95" t="n">
        <v>46209</v>
      </c>
      <c r="V1279" s="96" t="n">
        <v>0.0775</v>
      </c>
    </row>
    <row r="1280">
      <c r="P1280" s="27">
        <f>YEAR(Q1280)</f>
        <v/>
      </c>
      <c r="Q1280" s="97" t="n">
        <v>46164</v>
      </c>
      <c r="R1280" s="98" t="n">
        <v>0.07000000000000001</v>
      </c>
      <c r="T1280" s="27">
        <f>YEAR(U1280)</f>
        <v/>
      </c>
      <c r="U1280" s="97" t="n">
        <v>46210</v>
      </c>
      <c r="V1280" s="98" t="n">
        <v>0.0775</v>
      </c>
    </row>
    <row r="1281">
      <c r="P1281" s="27">
        <f>YEAR(Q1281)</f>
        <v/>
      </c>
      <c r="Q1281" s="95" t="n">
        <v>46168</v>
      </c>
      <c r="R1281" s="96" t="n">
        <v>0.07000000000000001</v>
      </c>
      <c r="T1281" s="27">
        <f>YEAR(U1281)</f>
        <v/>
      </c>
      <c r="U1281" s="95" t="n">
        <v>46211</v>
      </c>
      <c r="V1281" s="96" t="n">
        <v>0.0775</v>
      </c>
    </row>
    <row r="1282">
      <c r="P1282" s="27">
        <f>YEAR(Q1282)</f>
        <v/>
      </c>
      <c r="Q1282" s="97" t="n">
        <v>46170</v>
      </c>
      <c r="R1282" s="98" t="n">
        <v>0.07000000000000001</v>
      </c>
      <c r="T1282" s="27">
        <f>YEAR(U1282)</f>
        <v/>
      </c>
      <c r="U1282" s="97" t="n">
        <v>46212</v>
      </c>
      <c r="V1282" s="98" t="n">
        <v>0.0775</v>
      </c>
    </row>
    <row r="1283">
      <c r="P1283" s="27">
        <f>YEAR(Q1283)</f>
        <v/>
      </c>
      <c r="Q1283" s="95" t="n">
        <v>46171</v>
      </c>
      <c r="R1283" s="96" t="n">
        <v>0.07000000000000001</v>
      </c>
      <c r="T1283" s="27">
        <f>YEAR(U1283)</f>
        <v/>
      </c>
      <c r="U1283" s="95" t="n">
        <v>46213</v>
      </c>
      <c r="V1283" s="96" t="n">
        <v>0.0775</v>
      </c>
    </row>
    <row r="1284">
      <c r="P1284" s="27">
        <f>YEAR(Q1284)</f>
        <v/>
      </c>
      <c r="Q1284" s="97" t="n">
        <v>46174</v>
      </c>
      <c r="R1284" s="98" t="n">
        <v>0.07000000000000001</v>
      </c>
      <c r="T1284" s="27">
        <f>YEAR(U1284)</f>
        <v/>
      </c>
      <c r="U1284" s="97" t="n">
        <v>46216</v>
      </c>
      <c r="V1284" s="98" t="n">
        <v>0.0775</v>
      </c>
    </row>
    <row r="1285">
      <c r="P1285" s="27">
        <f>YEAR(Q1285)</f>
        <v/>
      </c>
      <c r="Q1285" s="95" t="n">
        <v>46175</v>
      </c>
      <c r="R1285" s="96" t="n">
        <v>0.07000000000000001</v>
      </c>
      <c r="T1285" s="27">
        <f>YEAR(U1285)</f>
        <v/>
      </c>
      <c r="U1285" s="95" t="n">
        <v>46217</v>
      </c>
      <c r="V1285" s="96" t="n">
        <v>0.0775</v>
      </c>
    </row>
    <row r="1286">
      <c r="P1286" s="27">
        <f>YEAR(Q1286)</f>
        <v/>
      </c>
      <c r="Q1286" s="97" t="n">
        <v>46176</v>
      </c>
      <c r="R1286" s="98" t="n">
        <v>0.07000000000000001</v>
      </c>
      <c r="T1286" s="27">
        <f>YEAR(U1286)</f>
        <v/>
      </c>
      <c r="U1286" s="97" t="n">
        <v>46218</v>
      </c>
      <c r="V1286" s="98" t="n">
        <v>0.07730000000000001</v>
      </c>
    </row>
    <row r="1287">
      <c r="P1287" s="27">
        <f>YEAR(Q1287)</f>
        <v/>
      </c>
      <c r="Q1287" s="95" t="n">
        <v>46177</v>
      </c>
      <c r="R1287" s="96" t="n">
        <v>0.07000000000000001</v>
      </c>
      <c r="T1287" s="27">
        <f>YEAR(U1287)</f>
        <v/>
      </c>
      <c r="U1287" s="95" t="n">
        <v>46219</v>
      </c>
      <c r="V1287" s="96" t="n">
        <v>0.07730000000000001</v>
      </c>
    </row>
    <row r="1288">
      <c r="P1288" s="27">
        <f>YEAR(Q1288)</f>
        <v/>
      </c>
      <c r="Q1288" s="97" t="n">
        <v>46178</v>
      </c>
      <c r="R1288" s="98" t="n">
        <v>0.07000000000000001</v>
      </c>
      <c r="T1288" s="27">
        <f>YEAR(U1288)</f>
        <v/>
      </c>
      <c r="U1288" s="97" t="n">
        <v>46220</v>
      </c>
      <c r="V1288" s="98" t="n">
        <v>0.07730000000000001</v>
      </c>
    </row>
    <row r="1289">
      <c r="P1289" s="27">
        <f>YEAR(Q1289)</f>
        <v/>
      </c>
      <c r="Q1289" s="95" t="n">
        <v>46181</v>
      </c>
      <c r="R1289" s="96" t="n">
        <v>0.07000000000000001</v>
      </c>
      <c r="T1289" s="27">
        <f>YEAR(U1289)</f>
        <v/>
      </c>
      <c r="U1289" s="95" t="n">
        <v>46223</v>
      </c>
      <c r="V1289" s="96" t="n">
        <v>0.07730000000000001</v>
      </c>
    </row>
    <row r="1290">
      <c r="P1290" s="27">
        <f>YEAR(Q1290)</f>
        <v/>
      </c>
      <c r="Q1290" s="97" t="n">
        <v>46182</v>
      </c>
      <c r="R1290" s="98" t="n">
        <v>0.07000000000000001</v>
      </c>
      <c r="T1290" s="27">
        <f>YEAR(U1290)</f>
        <v/>
      </c>
      <c r="U1290" s="97" t="n">
        <v>46224</v>
      </c>
      <c r="V1290" s="98" t="n">
        <v>0.07730000000000001</v>
      </c>
    </row>
    <row r="1291">
      <c r="P1291" s="27">
        <f>YEAR(Q1291)</f>
        <v/>
      </c>
      <c r="Q1291" s="95" t="n">
        <v>46183</v>
      </c>
      <c r="R1291" s="96" t="n">
        <v>0.07000000000000001</v>
      </c>
      <c r="T1291" s="27">
        <f>YEAR(U1291)</f>
        <v/>
      </c>
      <c r="U1291" s="95" t="n">
        <v>46225</v>
      </c>
      <c r="V1291" s="96" t="n">
        <v>0.07730000000000001</v>
      </c>
    </row>
    <row r="1292">
      <c r="P1292" s="27">
        <f>YEAR(Q1292)</f>
        <v/>
      </c>
      <c r="Q1292" s="97" t="n">
        <v>46184</v>
      </c>
      <c r="R1292" s="98" t="n">
        <v>0.07000000000000001</v>
      </c>
      <c r="T1292" s="27">
        <f>YEAR(U1292)</f>
        <v/>
      </c>
      <c r="U1292" s="97" t="n">
        <v>46226</v>
      </c>
      <c r="V1292" s="98" t="n">
        <v>0.07730000000000001</v>
      </c>
    </row>
    <row r="1293">
      <c r="P1293" s="27">
        <f>YEAR(Q1293)</f>
        <v/>
      </c>
      <c r="Q1293" s="95" t="n">
        <v>46185</v>
      </c>
      <c r="R1293" s="96" t="n">
        <v>0.07000000000000001</v>
      </c>
      <c r="T1293" s="27">
        <f>YEAR(U1293)</f>
        <v/>
      </c>
      <c r="U1293" s="95" t="n">
        <v>46227</v>
      </c>
      <c r="V1293" s="96" t="n">
        <v>0.07730000000000001</v>
      </c>
    </row>
    <row r="1294">
      <c r="P1294" s="27">
        <f>YEAR(Q1294)</f>
        <v/>
      </c>
      <c r="Q1294" s="97" t="n">
        <v>46198</v>
      </c>
      <c r="R1294" s="98" t="n">
        <v>0.07240000000000001</v>
      </c>
      <c r="T1294" s="27">
        <f>YEAR(U1294)</f>
        <v/>
      </c>
      <c r="U1294" s="97" t="n">
        <v>46230</v>
      </c>
      <c r="V1294" s="98" t="n">
        <v>0.07730000000000001</v>
      </c>
    </row>
    <row r="1295">
      <c r="P1295" s="27">
        <f>YEAR(Q1295)</f>
        <v/>
      </c>
      <c r="Q1295" s="95" t="n">
        <v>46202</v>
      </c>
      <c r="R1295" s="96" t="n">
        <v>0.07190000000000001</v>
      </c>
      <c r="T1295" s="27">
        <f>YEAR(U1295)</f>
        <v/>
      </c>
      <c r="U1295" s="95" t="n">
        <v>46231</v>
      </c>
      <c r="V1295" s="96" t="n">
        <v>0.07730000000000001</v>
      </c>
    </row>
    <row r="1296">
      <c r="P1296" s="27">
        <f>YEAR(Q1296)</f>
        <v/>
      </c>
      <c r="Q1296" s="97" t="n">
        <v>46218</v>
      </c>
      <c r="R1296" s="98" t="n">
        <v>0.0717</v>
      </c>
      <c r="T1296" s="27">
        <f>YEAR(U1296)</f>
        <v/>
      </c>
      <c r="U1296" s="97" t="n">
        <v>46232</v>
      </c>
      <c r="V1296" s="98" t="n">
        <v>0.07730000000000001</v>
      </c>
    </row>
    <row r="1297">
      <c r="P1297" s="27">
        <f>YEAR(Q1297)</f>
        <v/>
      </c>
      <c r="Q1297" s="95" t="n">
        <v>46246</v>
      </c>
      <c r="R1297" s="96" t="n">
        <v>0.07190000000000001</v>
      </c>
      <c r="T1297" s="27">
        <f>YEAR(U1297)</f>
        <v/>
      </c>
      <c r="U1297" s="95" t="n">
        <v>46233</v>
      </c>
      <c r="V1297" s="96" t="n">
        <v>0.07730000000000001</v>
      </c>
    </row>
    <row r="1298">
      <c r="P1298" s="27">
        <f>YEAR(Q1298)</f>
        <v/>
      </c>
      <c r="Q1298" s="97" t="n">
        <v>46253</v>
      </c>
      <c r="R1298" s="98" t="n">
        <v>0.0716</v>
      </c>
      <c r="T1298" s="27">
        <f>YEAR(U1298)</f>
        <v/>
      </c>
      <c r="U1298" s="97" t="n">
        <v>46234</v>
      </c>
      <c r="V1298" s="98" t="n">
        <v>0.07730000000000001</v>
      </c>
    </row>
    <row r="1299">
      <c r="P1299" s="27">
        <f>YEAR(Q1299)</f>
        <v/>
      </c>
      <c r="Q1299" s="95" t="n">
        <v>46260</v>
      </c>
      <c r="R1299" s="96" t="n">
        <v>0.07139999999999999</v>
      </c>
      <c r="T1299" s="27">
        <f>YEAR(U1299)</f>
        <v/>
      </c>
      <c r="U1299" s="95" t="n">
        <v>46237</v>
      </c>
      <c r="V1299" s="96" t="n">
        <v>0.07730000000000001</v>
      </c>
    </row>
    <row r="1300">
      <c r="P1300" s="27">
        <f>YEAR(Q1300)</f>
        <v/>
      </c>
      <c r="Q1300" s="97" t="n">
        <v>46267</v>
      </c>
      <c r="R1300" s="98" t="n">
        <v>0.0711</v>
      </c>
      <c r="T1300" s="27">
        <f>YEAR(U1300)</f>
        <v/>
      </c>
      <c r="U1300" s="97" t="n">
        <v>46238</v>
      </c>
      <c r="V1300" s="98" t="n">
        <v>0.07730000000000001</v>
      </c>
    </row>
    <row r="1301">
      <c r="P1301" s="27">
        <f>YEAR(Q1301)</f>
        <v/>
      </c>
      <c r="Q1301" s="95" t="n">
        <v>46295</v>
      </c>
      <c r="R1301" s="96" t="n">
        <v>0.07099999999999999</v>
      </c>
      <c r="T1301" s="27">
        <f>YEAR(U1301)</f>
        <v/>
      </c>
      <c r="U1301" s="95" t="n">
        <v>46239</v>
      </c>
      <c r="V1301" s="96" t="n">
        <v>0.07730000000000001</v>
      </c>
    </row>
    <row r="1302">
      <c r="P1302" s="27">
        <f>YEAR(Q1302)</f>
        <v/>
      </c>
      <c r="Q1302" s="97" t="n">
        <v>46302</v>
      </c>
      <c r="R1302" s="98" t="n">
        <v>0.0711</v>
      </c>
      <c r="T1302" s="27">
        <f>YEAR(U1302)</f>
        <v/>
      </c>
      <c r="U1302" s="97" t="n">
        <v>46240</v>
      </c>
      <c r="V1302" s="98" t="n">
        <v>0.07730000000000001</v>
      </c>
    </row>
    <row r="1303">
      <c r="P1303" s="27">
        <f>YEAR(Q1303)</f>
        <v/>
      </c>
      <c r="Q1303" s="95" t="n">
        <v>46310</v>
      </c>
      <c r="R1303" s="96" t="n">
        <v>0.0711</v>
      </c>
      <c r="T1303" s="27">
        <f>YEAR(U1303)</f>
        <v/>
      </c>
      <c r="U1303" s="95" t="n">
        <v>46244</v>
      </c>
      <c r="V1303" s="96" t="n">
        <v>0.07730000000000001</v>
      </c>
    </row>
    <row r="1304">
      <c r="T1304" s="27">
        <f>YEAR(U1304)</f>
        <v/>
      </c>
      <c r="U1304" s="97" t="n">
        <v>46245</v>
      </c>
      <c r="V1304" s="98" t="n">
        <v>0.07730000000000001</v>
      </c>
    </row>
    <row r="1305">
      <c r="T1305" s="27">
        <f>YEAR(U1305)</f>
        <v/>
      </c>
      <c r="U1305" s="95" t="n">
        <v>46246</v>
      </c>
      <c r="V1305" s="96" t="n">
        <v>0.07539999999999999</v>
      </c>
    </row>
    <row r="1306">
      <c r="T1306" s="27">
        <f>YEAR(U1306)</f>
        <v/>
      </c>
      <c r="U1306" s="97" t="n">
        <v>46247</v>
      </c>
      <c r="V1306" s="98" t="n">
        <v>0.07539999999999999</v>
      </c>
    </row>
    <row r="1307">
      <c r="T1307" s="27">
        <f>YEAR(U1307)</f>
        <v/>
      </c>
      <c r="U1307" s="95" t="n">
        <v>46248</v>
      </c>
      <c r="V1307" s="96" t="n">
        <v>0.07539999999999999</v>
      </c>
    </row>
    <row r="1308">
      <c r="T1308" s="27">
        <f>YEAR(U1308)</f>
        <v/>
      </c>
      <c r="U1308" s="97" t="n">
        <v>46251</v>
      </c>
      <c r="V1308" s="98" t="n">
        <v>0.07539999999999999</v>
      </c>
    </row>
    <row r="1309">
      <c r="T1309" s="27">
        <f>YEAR(U1309)</f>
        <v/>
      </c>
      <c r="U1309" s="95" t="n">
        <v>46252</v>
      </c>
      <c r="V1309" s="96" t="n">
        <v>0.07539999999999999</v>
      </c>
    </row>
    <row r="1310">
      <c r="T1310" s="27">
        <f>YEAR(U1310)</f>
        <v/>
      </c>
      <c r="U1310" s="97" t="n">
        <v>46253</v>
      </c>
      <c r="V1310" s="98" t="n">
        <v>0.07429999999999999</v>
      </c>
    </row>
    <row r="1311">
      <c r="T1311" s="27">
        <f>YEAR(U1311)</f>
        <v/>
      </c>
      <c r="U1311" s="95" t="n">
        <v>46254</v>
      </c>
      <c r="V1311" s="96" t="n">
        <v>0.07429999999999999</v>
      </c>
    </row>
    <row r="1312">
      <c r="T1312" s="27">
        <f>YEAR(U1312)</f>
        <v/>
      </c>
      <c r="U1312" s="97" t="n">
        <v>46255</v>
      </c>
      <c r="V1312" s="98" t="n">
        <v>0.07429999999999999</v>
      </c>
    </row>
    <row r="1313">
      <c r="T1313" s="27">
        <f>YEAR(U1313)</f>
        <v/>
      </c>
      <c r="U1313" s="95" t="n">
        <v>46258</v>
      </c>
      <c r="V1313" s="96" t="n">
        <v>0.07429999999999999</v>
      </c>
    </row>
    <row r="1314">
      <c r="T1314" s="27">
        <f>YEAR(U1314)</f>
        <v/>
      </c>
      <c r="U1314" s="97" t="n">
        <v>46259</v>
      </c>
      <c r="V1314" s="98" t="n">
        <v>0.07429999999999999</v>
      </c>
    </row>
    <row r="1315">
      <c r="T1315" s="27">
        <f>YEAR(U1315)</f>
        <v/>
      </c>
      <c r="U1315" s="95" t="n">
        <v>46260</v>
      </c>
      <c r="V1315" s="96" t="n">
        <v>0.07389999999999999</v>
      </c>
    </row>
    <row r="1316">
      <c r="T1316" s="27">
        <f>YEAR(U1316)</f>
        <v/>
      </c>
      <c r="U1316" s="97" t="n">
        <v>46261</v>
      </c>
      <c r="V1316" s="98" t="n">
        <v>0.07389999999999999</v>
      </c>
    </row>
    <row r="1317">
      <c r="T1317" s="27">
        <f>YEAR(U1317)</f>
        <v/>
      </c>
      <c r="U1317" s="95" t="n">
        <v>46262</v>
      </c>
      <c r="V1317" s="96" t="n">
        <v>0.07389999999999999</v>
      </c>
    </row>
    <row r="1318">
      <c r="T1318" s="27">
        <f>YEAR(U1318)</f>
        <v/>
      </c>
      <c r="U1318" s="97" t="n">
        <v>46265</v>
      </c>
      <c r="V1318" s="98" t="n">
        <v>0.07389999999999999</v>
      </c>
    </row>
    <row r="1319">
      <c r="T1319" s="27">
        <f>YEAR(U1319)</f>
        <v/>
      </c>
      <c r="U1319" s="95" t="n">
        <v>46266</v>
      </c>
      <c r="V1319" s="96" t="n">
        <v>0.07389999999999999</v>
      </c>
    </row>
    <row r="1320">
      <c r="T1320" s="27">
        <f>YEAR(U1320)</f>
        <v/>
      </c>
      <c r="U1320" s="97" t="n">
        <v>46267</v>
      </c>
      <c r="V1320" s="98" t="n">
        <v>0.07389999999999999</v>
      </c>
    </row>
    <row r="1321">
      <c r="T1321" s="27">
        <f>YEAR(U1321)</f>
        <v/>
      </c>
      <c r="U1321" s="95" t="n">
        <v>46268</v>
      </c>
      <c r="V1321" s="96" t="n">
        <v>0.07389999999999999</v>
      </c>
    </row>
    <row r="1322">
      <c r="T1322" s="27">
        <f>YEAR(U1322)</f>
        <v/>
      </c>
      <c r="U1322" s="97" t="n">
        <v>46269</v>
      </c>
      <c r="V1322" s="98" t="n">
        <v>0.07389999999999999</v>
      </c>
    </row>
    <row r="1323">
      <c r="T1323" s="27">
        <f>YEAR(U1323)</f>
        <v/>
      </c>
      <c r="U1323" s="95" t="n">
        <v>46272</v>
      </c>
      <c r="V1323" s="96" t="n">
        <v>0.07389999999999999</v>
      </c>
    </row>
    <row r="1324">
      <c r="T1324" s="27">
        <f>YEAR(U1324)</f>
        <v/>
      </c>
      <c r="U1324" s="97" t="n">
        <v>46273</v>
      </c>
      <c r="V1324" s="98" t="n">
        <v>0.07389999999999999</v>
      </c>
    </row>
    <row r="1325">
      <c r="T1325" s="27">
        <f>YEAR(U1325)</f>
        <v/>
      </c>
      <c r="U1325" s="95" t="n">
        <v>46274</v>
      </c>
      <c r="V1325" s="96" t="n">
        <v>0.07389999999999999</v>
      </c>
    </row>
    <row r="1326">
      <c r="T1326" s="27">
        <f>YEAR(U1326)</f>
        <v/>
      </c>
      <c r="U1326" s="97" t="n">
        <v>46275</v>
      </c>
      <c r="V1326" s="98" t="n">
        <v>0.07389999999999999</v>
      </c>
    </row>
    <row r="1327">
      <c r="T1327" s="27">
        <f>YEAR(U1327)</f>
        <v/>
      </c>
      <c r="U1327" s="95" t="n">
        <v>46276</v>
      </c>
      <c r="V1327" s="96" t="n">
        <v>0.07389999999999999</v>
      </c>
    </row>
    <row r="1328">
      <c r="T1328" s="27">
        <f>YEAR(U1328)</f>
        <v/>
      </c>
      <c r="U1328" s="97" t="n">
        <v>46279</v>
      </c>
      <c r="V1328" s="98" t="n">
        <v>0.07389999999999999</v>
      </c>
    </row>
    <row r="1329">
      <c r="T1329" s="27">
        <f>YEAR(U1329)</f>
        <v/>
      </c>
      <c r="U1329" s="95" t="n">
        <v>46280</v>
      </c>
      <c r="V1329" s="96" t="n">
        <v>0.07389999999999999</v>
      </c>
    </row>
    <row r="1330">
      <c r="T1330" s="27">
        <f>YEAR(U1330)</f>
        <v/>
      </c>
      <c r="U1330" s="97" t="n">
        <v>46281</v>
      </c>
      <c r="V1330" s="98" t="n">
        <v>0.0738</v>
      </c>
    </row>
    <row r="1331">
      <c r="T1331" s="27">
        <f>YEAR(U1331)</f>
        <v/>
      </c>
      <c r="U1331" s="95" t="n">
        <v>46282</v>
      </c>
      <c r="V1331" s="96" t="n">
        <v>0.0738</v>
      </c>
    </row>
    <row r="1332">
      <c r="T1332" s="27">
        <f>YEAR(U1332)</f>
        <v/>
      </c>
      <c r="U1332" s="97" t="n">
        <v>46283</v>
      </c>
      <c r="V1332" s="98" t="n">
        <v>0.0738</v>
      </c>
    </row>
    <row r="1333">
      <c r="T1333" s="27">
        <f>YEAR(U1333)</f>
        <v/>
      </c>
      <c r="U1333" s="95" t="n">
        <v>46286</v>
      </c>
      <c r="V1333" s="96" t="n">
        <v>0.0738</v>
      </c>
    </row>
    <row r="1334">
      <c r="T1334" s="27">
        <f>YEAR(U1334)</f>
        <v/>
      </c>
      <c r="U1334" s="97" t="n">
        <v>46287</v>
      </c>
      <c r="V1334" s="98" t="n">
        <v>0.0738</v>
      </c>
    </row>
    <row r="1335">
      <c r="T1335" s="27">
        <f>YEAR(U1335)</f>
        <v/>
      </c>
      <c r="U1335" s="95" t="n">
        <v>46288</v>
      </c>
      <c r="V1335" s="96" t="n">
        <v>0.0738</v>
      </c>
    </row>
    <row r="1336">
      <c r="T1336" s="27">
        <f>YEAR(U1336)</f>
        <v/>
      </c>
      <c r="U1336" s="97" t="n">
        <v>46289</v>
      </c>
      <c r="V1336" s="98" t="n">
        <v>0.0738</v>
      </c>
    </row>
    <row r="1337">
      <c r="T1337" s="27">
        <f>YEAR(U1337)</f>
        <v/>
      </c>
      <c r="U1337" s="95" t="n">
        <v>46290</v>
      </c>
      <c r="V1337" s="96" t="n">
        <v>0.0738</v>
      </c>
    </row>
    <row r="1338">
      <c r="T1338" s="27">
        <f>YEAR(U1338)</f>
        <v/>
      </c>
      <c r="U1338" s="97" t="n">
        <v>46293</v>
      </c>
      <c r="V1338" s="98" t="n">
        <v>0.0738</v>
      </c>
    </row>
    <row r="1339">
      <c r="T1339" s="27">
        <f>YEAR(U1339)</f>
        <v/>
      </c>
      <c r="U1339" s="95" t="n">
        <v>46294</v>
      </c>
      <c r="V1339" s="96" t="n">
        <v>0.0738</v>
      </c>
    </row>
    <row r="1340">
      <c r="T1340" s="27">
        <f>YEAR(U1340)</f>
        <v/>
      </c>
      <c r="U1340" s="97" t="n">
        <v>46295</v>
      </c>
      <c r="V1340" s="98" t="n">
        <v>0.07400000000000001</v>
      </c>
    </row>
    <row r="1341">
      <c r="T1341" s="27">
        <f>YEAR(U1341)</f>
        <v/>
      </c>
      <c r="U1341" s="95" t="n">
        <v>46296</v>
      </c>
      <c r="V1341" s="96" t="n">
        <v>0.07400000000000001</v>
      </c>
    </row>
    <row r="1342">
      <c r="T1342" s="27">
        <f>YEAR(U1342)</f>
        <v/>
      </c>
      <c r="U1342" s="97" t="n">
        <v>46297</v>
      </c>
      <c r="V1342" s="98" t="n">
        <v>0.07400000000000001</v>
      </c>
    </row>
    <row r="1343">
      <c r="T1343" s="27">
        <f>YEAR(U1343)</f>
        <v/>
      </c>
      <c r="U1343" s="95" t="n">
        <v>46300</v>
      </c>
      <c r="V1343" s="96" t="n">
        <v>0.07400000000000001</v>
      </c>
    </row>
    <row r="1344">
      <c r="T1344" s="27">
        <f>YEAR(U1344)</f>
        <v/>
      </c>
      <c r="U1344" s="97" t="n">
        <v>46301</v>
      </c>
      <c r="V1344" s="98" t="n">
        <v>0.07400000000000001</v>
      </c>
    </row>
    <row r="1345">
      <c r="T1345" s="27">
        <f>YEAR(U1345)</f>
        <v/>
      </c>
      <c r="U1345" s="95" t="n">
        <v>46302</v>
      </c>
      <c r="V1345" s="96" t="n">
        <v>0.07400000000000001</v>
      </c>
    </row>
    <row r="1346">
      <c r="T1346" s="27">
        <f>YEAR(U1346)</f>
        <v/>
      </c>
      <c r="U1346" s="97" t="n">
        <v>46303</v>
      </c>
      <c r="V1346" s="98" t="n">
        <v>0.07400000000000001</v>
      </c>
    </row>
    <row r="1347">
      <c r="T1347" s="27">
        <f>YEAR(U1347)</f>
        <v/>
      </c>
      <c r="U1347" s="95" t="n">
        <v>46304</v>
      </c>
      <c r="V1347" s="96" t="n">
        <v>0.07400000000000001</v>
      </c>
    </row>
    <row r="1348">
      <c r="T1348" s="27">
        <f>YEAR(U1348)</f>
        <v/>
      </c>
      <c r="U1348" s="97" t="n">
        <v>46307</v>
      </c>
      <c r="V1348" s="98" t="n">
        <v>0.07400000000000001</v>
      </c>
    </row>
    <row r="1349">
      <c r="T1349" s="27">
        <f>YEAR(U1349)</f>
        <v/>
      </c>
      <c r="U1349" s="95" t="n">
        <v>46308</v>
      </c>
      <c r="V1349" s="96" t="n">
        <v>0.07400000000000001</v>
      </c>
    </row>
    <row r="1350">
      <c r="T1350" s="27">
        <f>YEAR(U1350)</f>
        <v/>
      </c>
      <c r="U1350" s="97" t="n">
        <v>46309</v>
      </c>
      <c r="V1350" s="98" t="n">
        <v>0.07400000000000001</v>
      </c>
    </row>
    <row r="1351">
      <c r="T1351" s="27">
        <f>YEAR(U1351)</f>
        <v/>
      </c>
      <c r="U1351" s="95" t="n">
        <v>46310</v>
      </c>
      <c r="V1351" s="96" t="n">
        <v>0.07400000000000001</v>
      </c>
    </row>
    <row r="1352">
      <c r="T1352" s="27">
        <f>YEAR(U1352)</f>
        <v/>
      </c>
      <c r="U1352" s="97" t="n">
        <v>46311</v>
      </c>
      <c r="V1352" s="98" t="n">
        <v>0.07400000000000001</v>
      </c>
    </row>
    <row r="1353">
      <c r="T1353" s="27">
        <f>YEAR(U1353)</f>
        <v/>
      </c>
      <c r="U1353" s="95" t="n">
        <v>46314</v>
      </c>
      <c r="V1353" s="96" t="n">
        <v>0.07400000000000001</v>
      </c>
    </row>
  </sheetData>
  <mergeCells count="1">
    <mergeCell ref="A2:L2"/>
  </mergeCells>
  <conditionalFormatting sqref="A1:V1353">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82.xml><?xml version="1.0" encoding="utf-8"?>
<worksheet xmlns="http://schemas.openxmlformats.org/spreadsheetml/2006/main">
  <sheetPr>
    <tabColor rgb="00EFAC62"/>
    <outlinePr summaryBelow="1" summaryRight="1"/>
    <pageSetUpPr fitToPage="1"/>
  </sheetPr>
  <dimension ref="A1:O28"/>
  <sheetViews>
    <sheetView showGridLines="0"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5" t="inlineStr">
        <is>
          <t>Effet d'un choc de 100 000 000 FCFA sur chaque ratio (exercice de référence) et faisabilité conjointe des normes</t>
        </is>
      </c>
    </row>
    <row r="2" ht="42" customHeight="1">
      <c r="A2" s="62" t="inlineStr">
        <is>
          <t>Écritures du choc en partie double : L1 cotisations encaissées (+ produits, + résultat, + fonds propres, + trésorerie) ; L2 prestations payées (inverse) ; L3 charges de fonctionnement évitées (+ résultat, + trésorerie) ; L4 dotation à la réserve légale (affectation interne aux fonds propres) ; L5 placement long transformé en disponibilités dédiées à l'épargne et désignées comme réserve de trésorerie ; L7 apport en fonds propres (dons et legs) encaissé.</t>
        </is>
      </c>
    </row>
    <row r="3"/>
    <row r="4">
      <c r="A4" s="8" t="inlineStr">
        <is>
          <t>Choc</t>
        </is>
      </c>
      <c r="B4" s="8" t="inlineStr">
        <is>
          <t>SIN</t>
        </is>
      </c>
      <c r="C4" s="8" t="inlineStr">
        <is>
          <t>ROB</t>
        </is>
      </c>
      <c r="D4" s="8" t="inlineStr">
        <is>
          <t>FEP</t>
        </is>
      </c>
      <c r="E4" s="8" t="inlineStr">
        <is>
          <t>LIQ</t>
        </is>
      </c>
      <c r="F4" s="8" t="inlineStr">
        <is>
          <t>EQS</t>
        </is>
      </c>
      <c r="G4" s="8" t="inlineStr">
        <is>
          <t>EXN</t>
        </is>
      </c>
      <c r="H4" s="8" t="inlineStr">
        <is>
          <t>RL1</t>
        </is>
      </c>
      <c r="I4" s="8" t="inlineStr">
        <is>
          <t>RL2</t>
        </is>
      </c>
      <c r="J4" s="8" t="inlineStr">
        <is>
          <t>RL3</t>
        </is>
      </c>
      <c r="K4" s="8" t="inlineStr">
        <is>
          <t>RL4</t>
        </is>
      </c>
      <c r="L4" s="8" t="inlineStr">
        <is>
          <t>RL5</t>
        </is>
      </c>
      <c r="M4" s="8" t="inlineStr">
        <is>
          <t>CHF</t>
        </is>
      </c>
      <c r="N4" s="8" t="inlineStr">
        <is>
          <t>CHB</t>
        </is>
      </c>
      <c r="O4" s="8" t="inlineStr">
        <is>
          <t>CUP</t>
        </is>
      </c>
    </row>
    <row r="5">
      <c r="A5" s="27" t="inlineStr">
        <is>
          <t>Avant choc</t>
        </is>
      </c>
      <c r="B5" s="32">
        <f>INDEX('13c_donnees'!$C$6:$I$6,1,'13b_parametres'!$C$25-2019)/INDEX('13c_donnees'!$C$5:$I$5,1,'13b_parametres'!$C$25-2019)</f>
        <v/>
      </c>
      <c r="C5" s="37">
        <f>INDEX('13c_donnees'!$C$12:$I$12,1,'13b_parametres'!$C$25-2019)*12/INDEX('13c_donnees'!$C$6:$I$6,1,'13b_parametres'!$C$25-2019)</f>
        <v/>
      </c>
      <c r="D5" s="37">
        <f>INDEX('13c_donnees'!$C$13:$I$13,1,'13b_parametres'!$C$25-2019)/INDEX('13c_donnees'!$C$14:$I$14,1,'13b_parametres'!$C$25-2019)</f>
        <v/>
      </c>
      <c r="E5" s="37">
        <f>INDEX('13c_donnees'!$C$15:$I$15,1,'13b_parametres'!$C$25-2019)/INDEX('13c_donnees'!$C$16:$I$16,1,'13b_parametres'!$C$25-2019)</f>
        <v/>
      </c>
      <c r="F5" s="37">
        <f>INDEX('13c_donnees'!$C$18:$I$18,1,'13b_parametres'!$C$25-2019)/INDEX('13c_donnees'!$C$19:$I$19,1,'13b_parametres'!$C$25-2019)</f>
        <v/>
      </c>
      <c r="G5" s="32">
        <f>INDEX('13c_donnees'!$C$11:$I$11,1,'13b_parametres'!$C$25-2019)/INDEX('13c_donnees'!$C$5:$I$5,1,'13b_parametres'!$C$25-2019)</f>
        <v/>
      </c>
      <c r="H5" s="37">
        <f>INDEX('13c_donnees'!$C$20:$I$20,1,'13b_parametres'!$C$25-2019)/INDEX('13c_donnees'!$C$21:$I$21,1,'13b_parametres'!$C$25-2019)</f>
        <v/>
      </c>
      <c r="I5" s="37">
        <f>INDEX('13c_donnees'!$C$17:$I$17,1,'13b_parametres'!$C$25-2019)/INDEX('13c_donnees'!$C$16:$I$16,1,'13b_parametres'!$C$25-2019)</f>
        <v/>
      </c>
      <c r="J5" s="37">
        <f>INDEX('13c_donnees'!$C$15:$I$15,1,'13b_parametres'!$C$25-2019)/INDEX('13c_donnees'!$C$16:$I$16,1,'13b_parametres'!$C$25-2019)</f>
        <v/>
      </c>
      <c r="K5" s="37">
        <f>INDEX('13c_donnees'!$C$22:$I$22,1,'13b_parametres'!$C$25-2019)/INDEX('13c_donnees'!$C$23:$I$23,1,'13b_parametres'!$C$25-2019)</f>
        <v/>
      </c>
      <c r="L5" s="37">
        <f>INDEX('13c_donnees'!$C$24:$I$24,1,'13b_parametres'!$C$25-2019)/INDEX('13c_donnees'!$C$25:$I$25,1,'13b_parametres'!$C$25-2019)</f>
        <v/>
      </c>
      <c r="M5" s="32">
        <f>INDEX('13c_donnees'!$C$7:$I$7,1,'13b_parametres'!$C$25-2019)/INDEX('13c_donnees'!$C$5:$I$5,1,'13b_parametres'!$C$25-2019)</f>
        <v/>
      </c>
      <c r="N5" s="32">
        <f>INDEX('13c_donnees'!$C$9:$I$9,1,'13b_parametres'!$C$25-2019)/INDEX('13c_donnees'!$C$10:$I$10,1,'13b_parametres'!$C$25-2019)</f>
        <v/>
      </c>
      <c r="O5" s="32">
        <f>INDEX('13c_donnees'!$C$7:$I$7,1,'13b_parametres'!$C$25-2019)/INDEX('13c_donnees'!$C$6:$I$6,1,'13b_parametres'!$C$25-2019)</f>
        <v/>
      </c>
    </row>
    <row r="6">
      <c r="A6" s="27" t="inlineStr">
        <is>
          <t>L1 cotisations +</t>
        </is>
      </c>
      <c r="B6" s="33">
        <f>INDEX('13c_donnees'!$C$6:$I$6,1,'13b_parametres'!$C$25-2019)/(INDEX('13c_donnees'!$C$5:$I$5,1,'13b_parametres'!$C$25-2019)+'13b_parametres'!$C$22)</f>
        <v/>
      </c>
      <c r="C6" s="38">
        <f>INDEX('13c_donnees'!$C$12:$I$12,1,'13b_parametres'!$C$25-2019)*12/INDEX('13c_donnees'!$C$6:$I$6,1,'13b_parametres'!$C$25-2019)</f>
        <v/>
      </c>
      <c r="D6" s="38">
        <f>(INDEX('13c_donnees'!$C$13:$I$13,1,'13b_parametres'!$C$25-2019)+'13b_parametres'!$C$22)/INDEX('13c_donnees'!$C$14:$I$14,1,'13b_parametres'!$C$25-2019)</f>
        <v/>
      </c>
      <c r="E6" s="38">
        <f>(INDEX('13c_donnees'!$C$15:$I$15,1,'13b_parametres'!$C$25-2019)+'13b_parametres'!$C$22)/INDEX('13c_donnees'!$C$16:$I$16,1,'13b_parametres'!$C$25-2019)</f>
        <v/>
      </c>
      <c r="F6" s="38">
        <f>INDEX('13c_donnees'!$C$18:$I$18,1,'13b_parametres'!$C$25-2019)/(INDEX('13c_donnees'!$C$19:$I$19,1,'13b_parametres'!$C$25-2019)+'13b_parametres'!$C$22)</f>
        <v/>
      </c>
      <c r="G6" s="33">
        <f>(INDEX('13c_donnees'!$C$11:$I$11,1,'13b_parametres'!$C$25-2019)+'13b_parametres'!$C$22)/(INDEX('13c_donnees'!$C$5:$I$5,1,'13b_parametres'!$C$25-2019)+'13b_parametres'!$C$22)</f>
        <v/>
      </c>
      <c r="H6" s="38">
        <f>INDEX('13c_donnees'!$C$20:$I$20,1,'13b_parametres'!$C$25-2019)/INDEX('13c_donnees'!$C$21:$I$21,1,'13b_parametres'!$C$25-2019)</f>
        <v/>
      </c>
      <c r="I6" s="38">
        <f>(INDEX('13c_donnees'!$C$17:$I$17,1,'13b_parametres'!$C$25-2019)+'13b_parametres'!$C$22)/INDEX('13c_donnees'!$C$16:$I$16,1,'13b_parametres'!$C$25-2019)</f>
        <v/>
      </c>
      <c r="J6" s="38">
        <f>(INDEX('13c_donnees'!$C$15:$I$15,1,'13b_parametres'!$C$25-2019)+'13b_parametres'!$C$22)/INDEX('13c_donnees'!$C$16:$I$16,1,'13b_parametres'!$C$25-2019)</f>
        <v/>
      </c>
      <c r="K6" s="38">
        <f>INDEX('13c_donnees'!$C$22:$I$22,1,'13b_parametres'!$C$25-2019)/INDEX('13c_donnees'!$C$23:$I$23,1,'13b_parametres'!$C$25-2019)</f>
        <v/>
      </c>
      <c r="L6" s="38">
        <f>(INDEX('13c_donnees'!$C$24:$I$24,1,'13b_parametres'!$C$25-2019)+'13b_parametres'!$C$22)/INDEX('13c_donnees'!$C$25:$I$25,1,'13b_parametres'!$C$25-2019)</f>
        <v/>
      </c>
      <c r="M6" s="33">
        <f>INDEX('13c_donnees'!$C$7:$I$7,1,'13b_parametres'!$C$25-2019)/(INDEX('13c_donnees'!$C$5:$I$5,1,'13b_parametres'!$C$25-2019)+'13b_parametres'!$C$22)</f>
        <v/>
      </c>
      <c r="N6" s="33">
        <f>INDEX('13c_donnees'!$C$9:$I$9,1,'13b_parametres'!$C$25-2019)/(INDEX('13c_donnees'!$C$10:$I$10,1,'13b_parametres'!$C$25-2019)+'13b_parametres'!$C$22)</f>
        <v/>
      </c>
      <c r="O6" s="33">
        <f>INDEX('13c_donnees'!$C$7:$I$7,1,'13b_parametres'!$C$25-2019)/INDEX('13c_donnees'!$C$6:$I$6,1,'13b_parametres'!$C$25-2019)</f>
        <v/>
      </c>
    </row>
    <row r="7">
      <c r="A7" s="27" t="inlineStr">
        <is>
          <t>L2 prestations +</t>
        </is>
      </c>
      <c r="B7" s="32">
        <f>(INDEX('13c_donnees'!$C$6:$I$6,1,'13b_parametres'!$C$25-2019)+'13b_parametres'!$C$22)/INDEX('13c_donnees'!$C$5:$I$5,1,'13b_parametres'!$C$25-2019)</f>
        <v/>
      </c>
      <c r="C7" s="37">
        <f>INDEX('13c_donnees'!$C$12:$I$12,1,'13b_parametres'!$C$25-2019)*12/(INDEX('13c_donnees'!$C$6:$I$6,1,'13b_parametres'!$C$25-2019)+'13b_parametres'!$C$22)</f>
        <v/>
      </c>
      <c r="D7" s="37">
        <f>(INDEX('13c_donnees'!$C$13:$I$13,1,'13b_parametres'!$C$25-2019)-'13b_parametres'!$C$22)/INDEX('13c_donnees'!$C$14:$I$14,1,'13b_parametres'!$C$25-2019)</f>
        <v/>
      </c>
      <c r="E7" s="37">
        <f>(INDEX('13c_donnees'!$C$15:$I$15,1,'13b_parametres'!$C$25-2019)-'13b_parametres'!$C$22)/INDEX('13c_donnees'!$C$16:$I$16,1,'13b_parametres'!$C$25-2019)</f>
        <v/>
      </c>
      <c r="F7" s="37">
        <f>INDEX('13c_donnees'!$C$18:$I$18,1,'13b_parametres'!$C$25-2019)/(INDEX('13c_donnees'!$C$19:$I$19,1,'13b_parametres'!$C$25-2019)-'13b_parametres'!$C$22)</f>
        <v/>
      </c>
      <c r="G7" s="32">
        <f>(INDEX('13c_donnees'!$C$11:$I$11,1,'13b_parametres'!$C$25-2019)-'13b_parametres'!$C$22)/INDEX('13c_donnees'!$C$5:$I$5,1,'13b_parametres'!$C$25-2019)</f>
        <v/>
      </c>
      <c r="H7" s="37">
        <f>INDEX('13c_donnees'!$C$20:$I$20,1,'13b_parametres'!$C$25-2019)/INDEX('13c_donnees'!$C$21:$I$21,1,'13b_parametres'!$C$25-2019)</f>
        <v/>
      </c>
      <c r="I7" s="37">
        <f>(INDEX('13c_donnees'!$C$17:$I$17,1,'13b_parametres'!$C$25-2019)-'13b_parametres'!$C$22)/INDEX('13c_donnees'!$C$16:$I$16,1,'13b_parametres'!$C$25-2019)</f>
        <v/>
      </c>
      <c r="J7" s="37">
        <f>(INDEX('13c_donnees'!$C$15:$I$15,1,'13b_parametres'!$C$25-2019)-'13b_parametres'!$C$22)/INDEX('13c_donnees'!$C$16:$I$16,1,'13b_parametres'!$C$25-2019)</f>
        <v/>
      </c>
      <c r="K7" s="37">
        <f>INDEX('13c_donnees'!$C$22:$I$22,1,'13b_parametres'!$C$25-2019)/INDEX('13c_donnees'!$C$23:$I$23,1,'13b_parametres'!$C$25-2019)</f>
        <v/>
      </c>
      <c r="L7" s="37">
        <f>(INDEX('13c_donnees'!$C$24:$I$24,1,'13b_parametres'!$C$25-2019)-'13b_parametres'!$C$22)/INDEX('13c_donnees'!$C$25:$I$25,1,'13b_parametres'!$C$25-2019)</f>
        <v/>
      </c>
      <c r="M7" s="32">
        <f>INDEX('13c_donnees'!$C$7:$I$7,1,'13b_parametres'!$C$25-2019)/INDEX('13c_donnees'!$C$5:$I$5,1,'13b_parametres'!$C$25-2019)</f>
        <v/>
      </c>
      <c r="N7" s="32">
        <f>INDEX('13c_donnees'!$C$9:$I$9,1,'13b_parametres'!$C$25-2019)/INDEX('13c_donnees'!$C$10:$I$10,1,'13b_parametres'!$C$25-2019)</f>
        <v/>
      </c>
      <c r="O7" s="32">
        <f>INDEX('13c_donnees'!$C$7:$I$7,1,'13b_parametres'!$C$25-2019)/(INDEX('13c_donnees'!$C$6:$I$6,1,'13b_parametres'!$C$25-2019)+'13b_parametres'!$C$22)</f>
        <v/>
      </c>
    </row>
    <row r="8">
      <c r="A8" s="27" t="inlineStr">
        <is>
          <t>L3 charges -</t>
        </is>
      </c>
      <c r="B8" s="33">
        <f>INDEX('13c_donnees'!$C$6:$I$6,1,'13b_parametres'!$C$25-2019)/INDEX('13c_donnees'!$C$5:$I$5,1,'13b_parametres'!$C$25-2019)</f>
        <v/>
      </c>
      <c r="C8" s="38">
        <f>INDEX('13c_donnees'!$C$12:$I$12,1,'13b_parametres'!$C$25-2019)*12/INDEX('13c_donnees'!$C$6:$I$6,1,'13b_parametres'!$C$25-2019)</f>
        <v/>
      </c>
      <c r="D8" s="38">
        <f>(INDEX('13c_donnees'!$C$13:$I$13,1,'13b_parametres'!$C$25-2019)+'13b_parametres'!$C$22)/INDEX('13c_donnees'!$C$14:$I$14,1,'13b_parametres'!$C$25-2019)</f>
        <v/>
      </c>
      <c r="E8" s="38">
        <f>(INDEX('13c_donnees'!$C$15:$I$15,1,'13b_parametres'!$C$25-2019)+'13b_parametres'!$C$22)/INDEX('13c_donnees'!$C$16:$I$16,1,'13b_parametres'!$C$25-2019)</f>
        <v/>
      </c>
      <c r="F8" s="38">
        <f>INDEX('13c_donnees'!$C$18:$I$18,1,'13b_parametres'!$C$25-2019)/(INDEX('13c_donnees'!$C$19:$I$19,1,'13b_parametres'!$C$25-2019)+'13b_parametres'!$C$22)</f>
        <v/>
      </c>
      <c r="G8" s="33">
        <f>(INDEX('13c_donnees'!$C$11:$I$11,1,'13b_parametres'!$C$25-2019)+'13b_parametres'!$C$22)/INDEX('13c_donnees'!$C$5:$I$5,1,'13b_parametres'!$C$25-2019)</f>
        <v/>
      </c>
      <c r="H8" s="38">
        <f>INDEX('13c_donnees'!$C$20:$I$20,1,'13b_parametres'!$C$25-2019)/INDEX('13c_donnees'!$C$21:$I$21,1,'13b_parametres'!$C$25-2019)</f>
        <v/>
      </c>
      <c r="I8" s="38">
        <f>(INDEX('13c_donnees'!$C$17:$I$17,1,'13b_parametres'!$C$25-2019)+'13b_parametres'!$C$22)/INDEX('13c_donnees'!$C$16:$I$16,1,'13b_parametres'!$C$25-2019)</f>
        <v/>
      </c>
      <c r="J8" s="38">
        <f>(INDEX('13c_donnees'!$C$15:$I$15,1,'13b_parametres'!$C$25-2019)+'13b_parametres'!$C$22)/INDEX('13c_donnees'!$C$16:$I$16,1,'13b_parametres'!$C$25-2019)</f>
        <v/>
      </c>
      <c r="K8" s="38">
        <f>INDEX('13c_donnees'!$C$22:$I$22,1,'13b_parametres'!$C$25-2019)/INDEX('13c_donnees'!$C$23:$I$23,1,'13b_parametres'!$C$25-2019)</f>
        <v/>
      </c>
      <c r="L8" s="38">
        <f>(INDEX('13c_donnees'!$C$24:$I$24,1,'13b_parametres'!$C$25-2019)+'13b_parametres'!$C$22)/INDEX('13c_donnees'!$C$25:$I$25,1,'13b_parametres'!$C$25-2019)</f>
        <v/>
      </c>
      <c r="M8" s="33">
        <f>(INDEX('13c_donnees'!$C$7:$I$7,1,'13b_parametres'!$C$25-2019)-'13b_parametres'!$C$22)/INDEX('13c_donnees'!$C$5:$I$5,1,'13b_parametres'!$C$25-2019)</f>
        <v/>
      </c>
      <c r="N8" s="33">
        <f>(INDEX('13c_donnees'!$C$9:$I$9,1,'13b_parametres'!$C$25-2019)-'13b_parametres'!$C$22)/INDEX('13c_donnees'!$C$10:$I$10,1,'13b_parametres'!$C$25-2019)</f>
        <v/>
      </c>
      <c r="O8" s="33">
        <f>(INDEX('13c_donnees'!$C$7:$I$7,1,'13b_parametres'!$C$25-2019)-'13b_parametres'!$C$22)/INDEX('13c_donnees'!$C$6:$I$6,1,'13b_parametres'!$C$25-2019)</f>
        <v/>
      </c>
    </row>
    <row r="9">
      <c r="A9" s="27" t="inlineStr">
        <is>
          <t>L4 réserve légale +</t>
        </is>
      </c>
      <c r="B9" s="32">
        <f>INDEX('13c_donnees'!$C$6:$I$6,1,'13b_parametres'!$C$25-2019)/INDEX('13c_donnees'!$C$5:$I$5,1,'13b_parametres'!$C$25-2019)</f>
        <v/>
      </c>
      <c r="C9" s="37">
        <f>(INDEX('13c_donnees'!$C$12:$I$12,1,'13b_parametres'!$C$25-2019)+'13b_parametres'!$C$22)*12/INDEX('13c_donnees'!$C$6:$I$6,1,'13b_parametres'!$C$25-2019)</f>
        <v/>
      </c>
      <c r="D9" s="37">
        <f>INDEX('13c_donnees'!$C$13:$I$13,1,'13b_parametres'!$C$25-2019)/INDEX('13c_donnees'!$C$14:$I$14,1,'13b_parametres'!$C$25-2019)</f>
        <v/>
      </c>
      <c r="E9" s="37">
        <f>INDEX('13c_donnees'!$C$15:$I$15,1,'13b_parametres'!$C$25-2019)/INDEX('13c_donnees'!$C$16:$I$16,1,'13b_parametres'!$C$25-2019)</f>
        <v/>
      </c>
      <c r="F9" s="37">
        <f>INDEX('13c_donnees'!$C$18:$I$18,1,'13b_parametres'!$C$25-2019)/INDEX('13c_donnees'!$C$19:$I$19,1,'13b_parametres'!$C$25-2019)</f>
        <v/>
      </c>
      <c r="G9" s="32">
        <f>INDEX('13c_donnees'!$C$11:$I$11,1,'13b_parametres'!$C$25-2019)/INDEX('13c_donnees'!$C$5:$I$5,1,'13b_parametres'!$C$25-2019)</f>
        <v/>
      </c>
      <c r="H9" s="37">
        <f>INDEX('13c_donnees'!$C$20:$I$20,1,'13b_parametres'!$C$25-2019)/INDEX('13c_donnees'!$C$21:$I$21,1,'13b_parametres'!$C$25-2019)</f>
        <v/>
      </c>
      <c r="I9" s="37">
        <f>INDEX('13c_donnees'!$C$17:$I$17,1,'13b_parametres'!$C$25-2019)/INDEX('13c_donnees'!$C$16:$I$16,1,'13b_parametres'!$C$25-2019)</f>
        <v/>
      </c>
      <c r="J9" s="37">
        <f>INDEX('13c_donnees'!$C$15:$I$15,1,'13b_parametres'!$C$25-2019)/INDEX('13c_donnees'!$C$16:$I$16,1,'13b_parametres'!$C$25-2019)</f>
        <v/>
      </c>
      <c r="K9" s="37">
        <f>INDEX('13c_donnees'!$C$22:$I$22,1,'13b_parametres'!$C$25-2019)/INDEX('13c_donnees'!$C$23:$I$23,1,'13b_parametres'!$C$25-2019)</f>
        <v/>
      </c>
      <c r="L9" s="37">
        <f>INDEX('13c_donnees'!$C$24:$I$24,1,'13b_parametres'!$C$25-2019)/INDEX('13c_donnees'!$C$25:$I$25,1,'13b_parametres'!$C$25-2019)</f>
        <v/>
      </c>
      <c r="M9" s="32">
        <f>INDEX('13c_donnees'!$C$7:$I$7,1,'13b_parametres'!$C$25-2019)/INDEX('13c_donnees'!$C$5:$I$5,1,'13b_parametres'!$C$25-2019)</f>
        <v/>
      </c>
      <c r="N9" s="32">
        <f>INDEX('13c_donnees'!$C$9:$I$9,1,'13b_parametres'!$C$25-2019)/INDEX('13c_donnees'!$C$10:$I$10,1,'13b_parametres'!$C$25-2019)</f>
        <v/>
      </c>
      <c r="O9" s="32">
        <f>INDEX('13c_donnees'!$C$7:$I$7,1,'13b_parametres'!$C$25-2019)/INDEX('13c_donnees'!$C$6:$I$6,1,'13b_parametres'!$C$25-2019)</f>
        <v/>
      </c>
    </row>
    <row r="10">
      <c r="A10" s="27" t="inlineStr">
        <is>
          <t>L5 réallocation</t>
        </is>
      </c>
      <c r="B10" s="33">
        <f>INDEX('13c_donnees'!$C$6:$I$6,1,'13b_parametres'!$C$25-2019)/INDEX('13c_donnees'!$C$5:$I$5,1,'13b_parametres'!$C$25-2019)</f>
        <v/>
      </c>
      <c r="C10" s="38">
        <f>INDEX('13c_donnees'!$C$12:$I$12,1,'13b_parametres'!$C$25-2019)*12/INDEX('13c_donnees'!$C$6:$I$6,1,'13b_parametres'!$C$25-2019)</f>
        <v/>
      </c>
      <c r="D10" s="38">
        <f>INDEX('13c_donnees'!$C$13:$I$13,1,'13b_parametres'!$C$25-2019)/INDEX('13c_donnees'!$C$14:$I$14,1,'13b_parametres'!$C$25-2019)</f>
        <v/>
      </c>
      <c r="E10" s="38">
        <f>(INDEX('13c_donnees'!$C$15:$I$15,1,'13b_parametres'!$C$25-2019)+'13b_parametres'!$C$22)/INDEX('13c_donnees'!$C$16:$I$16,1,'13b_parametres'!$C$25-2019)</f>
        <v/>
      </c>
      <c r="F10" s="38">
        <f>(INDEX('13c_donnees'!$C$18:$I$18,1,'13b_parametres'!$C$25-2019)-'13b_parametres'!$C$22)/INDEX('13c_donnees'!$C$19:$I$19,1,'13b_parametres'!$C$25-2019)</f>
        <v/>
      </c>
      <c r="G10" s="33">
        <f>INDEX('13c_donnees'!$C$11:$I$11,1,'13b_parametres'!$C$25-2019)/INDEX('13c_donnees'!$C$5:$I$5,1,'13b_parametres'!$C$25-2019)</f>
        <v/>
      </c>
      <c r="H10" s="38">
        <f>(INDEX('13c_donnees'!$C$20:$I$20,1,'13b_parametres'!$C$25-2019)+'13b_parametres'!$C$22)/INDEX('13c_donnees'!$C$21:$I$21,1,'13b_parametres'!$C$25-2019)</f>
        <v/>
      </c>
      <c r="I10" s="38">
        <f>(INDEX('13c_donnees'!$C$17:$I$17,1,'13b_parametres'!$C$25-2019)+'13b_parametres'!$C$22)/INDEX('13c_donnees'!$C$16:$I$16,1,'13b_parametres'!$C$25-2019)</f>
        <v/>
      </c>
      <c r="J10" s="38">
        <f>(INDEX('13c_donnees'!$C$15:$I$15,1,'13b_parametres'!$C$25-2019)+'13b_parametres'!$C$22)/INDEX('13c_donnees'!$C$16:$I$16,1,'13b_parametres'!$C$25-2019)</f>
        <v/>
      </c>
      <c r="K10" s="38">
        <f>(INDEX('13c_donnees'!$C$22:$I$22,1,'13b_parametres'!$C$25-2019)+'13b_parametres'!$C$22)/INDEX('13c_donnees'!$C$23:$I$23,1,'13b_parametres'!$C$25-2019)</f>
        <v/>
      </c>
      <c r="L10" s="38">
        <f>INDEX('13c_donnees'!$C$24:$I$24,1,'13b_parametres'!$C$25-2019)/INDEX('13c_donnees'!$C$25:$I$25,1,'13b_parametres'!$C$25-2019)</f>
        <v/>
      </c>
      <c r="M10" s="33">
        <f>INDEX('13c_donnees'!$C$7:$I$7,1,'13b_parametres'!$C$25-2019)/INDEX('13c_donnees'!$C$5:$I$5,1,'13b_parametres'!$C$25-2019)</f>
        <v/>
      </c>
      <c r="N10" s="33">
        <f>INDEX('13c_donnees'!$C$9:$I$9,1,'13b_parametres'!$C$25-2019)/INDEX('13c_donnees'!$C$10:$I$10,1,'13b_parametres'!$C$25-2019)</f>
        <v/>
      </c>
      <c r="O10" s="33">
        <f>INDEX('13c_donnees'!$C$7:$I$7,1,'13b_parametres'!$C$25-2019)/INDEX('13c_donnees'!$C$6:$I$6,1,'13b_parametres'!$C$25-2019)</f>
        <v/>
      </c>
    </row>
    <row r="11">
      <c r="A11" s="27" t="inlineStr">
        <is>
          <t>L7 fonds propres +</t>
        </is>
      </c>
      <c r="B11" s="32">
        <f>INDEX('13c_donnees'!$C$6:$I$6,1,'13b_parametres'!$C$25-2019)/INDEX('13c_donnees'!$C$5:$I$5,1,'13b_parametres'!$C$25-2019)</f>
        <v/>
      </c>
      <c r="C11" s="37">
        <f>INDEX('13c_donnees'!$C$12:$I$12,1,'13b_parametres'!$C$25-2019)*12/INDEX('13c_donnees'!$C$6:$I$6,1,'13b_parametres'!$C$25-2019)</f>
        <v/>
      </c>
      <c r="D11" s="37">
        <f>(INDEX('13c_donnees'!$C$13:$I$13,1,'13b_parametres'!$C$25-2019)+'13b_parametres'!$C$22)/INDEX('13c_donnees'!$C$14:$I$14,1,'13b_parametres'!$C$25-2019)</f>
        <v/>
      </c>
      <c r="E11" s="37">
        <f>(INDEX('13c_donnees'!$C$15:$I$15,1,'13b_parametres'!$C$25-2019)+'13b_parametres'!$C$22)/INDEX('13c_donnees'!$C$16:$I$16,1,'13b_parametres'!$C$25-2019)</f>
        <v/>
      </c>
      <c r="F11" s="37">
        <f>INDEX('13c_donnees'!$C$18:$I$18,1,'13b_parametres'!$C$25-2019)/(INDEX('13c_donnees'!$C$19:$I$19,1,'13b_parametres'!$C$25-2019)+'13b_parametres'!$C$22)</f>
        <v/>
      </c>
      <c r="G11" s="32">
        <f>INDEX('13c_donnees'!$C$11:$I$11,1,'13b_parametres'!$C$25-2019)/INDEX('13c_donnees'!$C$5:$I$5,1,'13b_parametres'!$C$25-2019)</f>
        <v/>
      </c>
      <c r="H11" s="37">
        <f>INDEX('13c_donnees'!$C$20:$I$20,1,'13b_parametres'!$C$25-2019)/INDEX('13c_donnees'!$C$21:$I$21,1,'13b_parametres'!$C$25-2019)</f>
        <v/>
      </c>
      <c r="I11" s="37">
        <f>(INDEX('13c_donnees'!$C$17:$I$17,1,'13b_parametres'!$C$25-2019)+'13b_parametres'!$C$22)/INDEX('13c_donnees'!$C$16:$I$16,1,'13b_parametres'!$C$25-2019)</f>
        <v/>
      </c>
      <c r="J11" s="37">
        <f>(INDEX('13c_donnees'!$C$15:$I$15,1,'13b_parametres'!$C$25-2019)+'13b_parametres'!$C$22)/INDEX('13c_donnees'!$C$16:$I$16,1,'13b_parametres'!$C$25-2019)</f>
        <v/>
      </c>
      <c r="K11" s="37">
        <f>INDEX('13c_donnees'!$C$22:$I$22,1,'13b_parametres'!$C$25-2019)/INDEX('13c_donnees'!$C$23:$I$23,1,'13b_parametres'!$C$25-2019)</f>
        <v/>
      </c>
      <c r="L11" s="37">
        <f>(INDEX('13c_donnees'!$C$24:$I$24,1,'13b_parametres'!$C$25-2019)+'13b_parametres'!$C$22)/INDEX('13c_donnees'!$C$25:$I$25,1,'13b_parametres'!$C$25-2019)</f>
        <v/>
      </c>
      <c r="M11" s="32">
        <f>INDEX('13c_donnees'!$C$7:$I$7,1,'13b_parametres'!$C$25-2019)/INDEX('13c_donnees'!$C$5:$I$5,1,'13b_parametres'!$C$25-2019)</f>
        <v/>
      </c>
      <c r="N11" s="32">
        <f>INDEX('13c_donnees'!$C$9:$I$9,1,'13b_parametres'!$C$25-2019)/INDEX('13c_donnees'!$C$10:$I$10,1,'13b_parametres'!$C$25-2019)</f>
        <v/>
      </c>
      <c r="O11" s="32">
        <f>INDEX('13c_donnees'!$C$7:$I$7,1,'13b_parametres'!$C$25-2019)/INDEX('13c_donnees'!$C$6:$I$6,1,'13b_parametres'!$C$25-2019)</f>
        <v/>
      </c>
    </row>
    <row r="12"/>
    <row r="13">
      <c r="A13" s="87" t="inlineStr">
        <is>
          <t>Sens de l'effet (distance à la norme avant et après le choc)</t>
        </is>
      </c>
    </row>
    <row r="14">
      <c r="A14" s="8" t="inlineStr">
        <is>
          <t>Levier</t>
        </is>
      </c>
      <c r="B14" s="8" t="inlineStr">
        <is>
          <t>SIN</t>
        </is>
      </c>
      <c r="C14" s="8" t="inlineStr">
        <is>
          <t>ROB</t>
        </is>
      </c>
      <c r="D14" s="8" t="inlineStr">
        <is>
          <t>FEP</t>
        </is>
      </c>
      <c r="E14" s="8" t="inlineStr">
        <is>
          <t>LIQ</t>
        </is>
      </c>
      <c r="F14" s="8" t="inlineStr">
        <is>
          <t>EQS</t>
        </is>
      </c>
      <c r="G14" s="8" t="inlineStr">
        <is>
          <t>EXN</t>
        </is>
      </c>
      <c r="H14" s="8" t="inlineStr">
        <is>
          <t>RL1</t>
        </is>
      </c>
      <c r="I14" s="8" t="inlineStr">
        <is>
          <t>RL2</t>
        </is>
      </c>
      <c r="J14" s="8" t="inlineStr">
        <is>
          <t>RL3</t>
        </is>
      </c>
      <c r="K14" s="8" t="inlineStr">
        <is>
          <t>RL4</t>
        </is>
      </c>
      <c r="L14" s="8" t="inlineStr">
        <is>
          <t>RL5</t>
        </is>
      </c>
      <c r="M14" s="8" t="inlineStr">
        <is>
          <t>CHF</t>
        </is>
      </c>
      <c r="N14" s="8" t="inlineStr">
        <is>
          <t>CHB</t>
        </is>
      </c>
      <c r="O14" s="8" t="inlineStr">
        <is>
          <t>CUP</t>
        </is>
      </c>
    </row>
    <row r="15">
      <c r="A15" s="27" t="inlineStr">
        <is>
          <t>L1 cotisations +</t>
        </is>
      </c>
      <c r="B15" s="28">
        <f>IF(ABS(B6-B5)&lt;1E-12,"Sans effet",IF((MAX('13b_parametres'!$C$5-B6,0)+MAX(B6-'13b_parametres'!$D$5,0))&lt;(MAX('13b_parametres'!$C$5-B5,0)+MAX(B5-'13b_parametres'!$D$5,0)),"Améliore",IF((MAX('13b_parametres'!$C$5-B6,0)+MAX(B6-'13b_parametres'!$D$5,0))&gt;(MAX('13b_parametres'!$C$5-B5,0)+MAX(B5-'13b_parametres'!$D$5,0)),"Dégrade","Sans effet sur l'écart")))</f>
        <v/>
      </c>
      <c r="C15" s="28">
        <f>IF(ABS(C6-C5)&lt;1E-12,"Sans effet",IF((MAX('13b_parametres'!$C$6-C6,0)+MAX(C6-'13b_parametres'!$D$6,0))&lt;(MAX('13b_parametres'!$C$6-C5,0)+MAX(C5-'13b_parametres'!$D$6,0)),"Améliore",IF((MAX('13b_parametres'!$C$6-C6,0)+MAX(C6-'13b_parametres'!$D$6,0))&gt;(MAX('13b_parametres'!$C$6-C5,0)+MAX(C5-'13b_parametres'!$D$6,0)),"Dégrade","Sans effet sur l'écart")))</f>
        <v/>
      </c>
      <c r="D15" s="28">
        <f>IF(ABS(D6-D5)&lt;1E-12,"Sans effet",IF((MAX('13b_parametres'!$C$7-D6,0)+MAX(D6-'13b_parametres'!$D$7,0))&lt;(MAX('13b_parametres'!$C$7-D5,0)+MAX(D5-'13b_parametres'!$D$7,0)),"Améliore",IF((MAX('13b_parametres'!$C$7-D6,0)+MAX(D6-'13b_parametres'!$D$7,0))&gt;(MAX('13b_parametres'!$C$7-D5,0)+MAX(D5-'13b_parametres'!$D$7,0)),"Dégrade","Sans effet sur l'écart")))</f>
        <v/>
      </c>
      <c r="E15" s="28">
        <f>IF(ABS(E6-E5)&lt;1E-12,"Sans effet",IF((MAX('13b_parametres'!$C$8-E6,0)+MAX(E6-'13b_parametres'!$D$8,0))&lt;(MAX('13b_parametres'!$C$8-E5,0)+MAX(E5-'13b_parametres'!$D$8,0)),"Améliore",IF((MAX('13b_parametres'!$C$8-E6,0)+MAX(E6-'13b_parametres'!$D$8,0))&gt;(MAX('13b_parametres'!$C$8-E5,0)+MAX(E5-'13b_parametres'!$D$8,0)),"Dégrade","Sans effet sur l'écart")))</f>
        <v/>
      </c>
      <c r="F15" s="28">
        <f>IF(ABS(F6-F5)&lt;1E-12,"Sans effet",IF((MAX('13b_parametres'!$C$9-F6,0)+MAX(F6-'13b_parametres'!$D$9,0))&lt;(MAX('13b_parametres'!$C$9-F5,0)+MAX(F5-'13b_parametres'!$D$9,0)),"Améliore",IF((MAX('13b_parametres'!$C$9-F6,0)+MAX(F6-'13b_parametres'!$D$9,0))&gt;(MAX('13b_parametres'!$C$9-F5,0)+MAX(F5-'13b_parametres'!$D$9,0)),"Dégrade","Sans effet sur l'écart")))</f>
        <v/>
      </c>
      <c r="G15" s="28">
        <f>IF(ABS(G6-G5)&lt;1E-12,"Sans effet",IF((MAX('13b_parametres'!$C$10-G6,0)+MAX(G6-'13b_parametres'!$D$10,0))&lt;(MAX('13b_parametres'!$C$10-G5,0)+MAX(G5-'13b_parametres'!$D$10,0)),"Améliore",IF((MAX('13b_parametres'!$C$10-G6,0)+MAX(G6-'13b_parametres'!$D$10,0))&gt;(MAX('13b_parametres'!$C$10-G5,0)+MAX(G5-'13b_parametres'!$D$10,0)),"Dégrade","Sans effet sur l'écart")))</f>
        <v/>
      </c>
      <c r="H15" s="28">
        <f>IF(ABS(H6-H5)&lt;1E-12,"Sans effet",IF((MAX('13b_parametres'!$C$11-H6,0)+MAX(H6-'13b_parametres'!$D$11,0))&lt;(MAX('13b_parametres'!$C$11-H5,0)+MAX(H5-'13b_parametres'!$D$11,0)),"Améliore",IF((MAX('13b_parametres'!$C$11-H6,0)+MAX(H6-'13b_parametres'!$D$11,0))&gt;(MAX('13b_parametres'!$C$11-H5,0)+MAX(H5-'13b_parametres'!$D$11,0)),"Dégrade","Sans effet sur l'écart")))</f>
        <v/>
      </c>
      <c r="I15" s="28">
        <f>IF(ABS(I6-I5)&lt;1E-12,"Sans effet",IF((MAX('13b_parametres'!$C$12-I6,0)+MAX(I6-'13b_parametres'!$D$12,0))&lt;(MAX('13b_parametres'!$C$12-I5,0)+MAX(I5-'13b_parametres'!$D$12,0)),"Améliore",IF((MAX('13b_parametres'!$C$12-I6,0)+MAX(I6-'13b_parametres'!$D$12,0))&gt;(MAX('13b_parametres'!$C$12-I5,0)+MAX(I5-'13b_parametres'!$D$12,0)),"Dégrade","Sans effet sur l'écart")))</f>
        <v/>
      </c>
      <c r="J15" s="28">
        <f>IF(ABS(J6-J5)&lt;1E-12,"Sans effet",IF((MAX('13b_parametres'!$C$13-J6,0)+MAX(J6-'13b_parametres'!$D$13,0))&lt;(MAX('13b_parametres'!$C$13-J5,0)+MAX(J5-'13b_parametres'!$D$13,0)),"Améliore",IF((MAX('13b_parametres'!$C$13-J6,0)+MAX(J6-'13b_parametres'!$D$13,0))&gt;(MAX('13b_parametres'!$C$13-J5,0)+MAX(J5-'13b_parametres'!$D$13,0)),"Dégrade","Sans effet sur l'écart")))</f>
        <v/>
      </c>
      <c r="K15" s="28">
        <f>IF(ABS(K6-K5)&lt;1E-12,"Sans effet",IF((MAX('13b_parametres'!$C$14-K6,0)+MAX(K6-'13b_parametres'!$D$14,0))&lt;(MAX('13b_parametres'!$C$14-K5,0)+MAX(K5-'13b_parametres'!$D$14,0)),"Améliore",IF((MAX('13b_parametres'!$C$14-K6,0)+MAX(K6-'13b_parametres'!$D$14,0))&gt;(MAX('13b_parametres'!$C$14-K5,0)+MAX(K5-'13b_parametres'!$D$14,0)),"Dégrade","Sans effet sur l'écart")))</f>
        <v/>
      </c>
      <c r="L15" s="28">
        <f>IF(ABS(L6-L5)&lt;1E-12,"Sans effet",IF((MAX('13b_parametres'!$C$15-L6,0)+MAX(L6-'13b_parametres'!$D$15,0))&lt;(MAX('13b_parametres'!$C$15-L5,0)+MAX(L5-'13b_parametres'!$D$15,0)),"Améliore",IF((MAX('13b_parametres'!$C$15-L6,0)+MAX(L6-'13b_parametres'!$D$15,0))&gt;(MAX('13b_parametres'!$C$15-L5,0)+MAX(L5-'13b_parametres'!$D$15,0)),"Dégrade","Sans effet sur l'écart")))</f>
        <v/>
      </c>
      <c r="M15" s="28">
        <f>IF(ABS(M6-M5)&lt;1E-12,"Sans effet",IF((MAX('13b_parametres'!$C$16-M6,0)+MAX(M6-'13b_parametres'!$D$16,0))&lt;(MAX('13b_parametres'!$C$16-M5,0)+MAX(M5-'13b_parametres'!$D$16,0)),"Améliore",IF((MAX('13b_parametres'!$C$16-M6,0)+MAX(M6-'13b_parametres'!$D$16,0))&gt;(MAX('13b_parametres'!$C$16-M5,0)+MAX(M5-'13b_parametres'!$D$16,0)),"Dégrade","Sans effet sur l'écart")))</f>
        <v/>
      </c>
      <c r="N15" s="28">
        <f>IF(ABS(N6-N5)&lt;1E-12,"Sans effet",IF((MAX('13b_parametres'!$C$17-N6,0)+MAX(N6-'13b_parametres'!$D$17,0))&lt;(MAX('13b_parametres'!$C$17-N5,0)+MAX(N5-'13b_parametres'!$D$17,0)),"Améliore",IF((MAX('13b_parametres'!$C$17-N6,0)+MAX(N6-'13b_parametres'!$D$17,0))&gt;(MAX('13b_parametres'!$C$17-N5,0)+MAX(N5-'13b_parametres'!$D$17,0)),"Dégrade","Sans effet sur l'écart")))</f>
        <v/>
      </c>
      <c r="O15" s="28">
        <f>IF(ABS(O6-O5)&lt;1E-12,"Sans effet",IF((MAX('13b_parametres'!$C$18-O6,0)+MAX(O6-'13b_parametres'!$D$18,0))&lt;(MAX('13b_parametres'!$C$18-O5,0)+MAX(O5-'13b_parametres'!$D$18,0)),"Améliore",IF((MAX('13b_parametres'!$C$18-O6,0)+MAX(O6-'13b_parametres'!$D$18,0))&gt;(MAX('13b_parametres'!$C$18-O5,0)+MAX(O5-'13b_parametres'!$D$18,0)),"Dégrade","Sans effet sur l'écart")))</f>
        <v/>
      </c>
    </row>
    <row r="16">
      <c r="A16" s="27" t="inlineStr">
        <is>
          <t>L2 prestations +</t>
        </is>
      </c>
      <c r="B16" s="30">
        <f>IF(ABS(B7-B5)&lt;1E-12,"Sans effet",IF((MAX('13b_parametres'!$C$5-B7,0)+MAX(B7-'13b_parametres'!$D$5,0))&lt;(MAX('13b_parametres'!$C$5-B5,0)+MAX(B5-'13b_parametres'!$D$5,0)),"Améliore",IF((MAX('13b_parametres'!$C$5-B7,0)+MAX(B7-'13b_parametres'!$D$5,0))&gt;(MAX('13b_parametres'!$C$5-B5,0)+MAX(B5-'13b_parametres'!$D$5,0)),"Dégrade","Sans effet sur l'écart")))</f>
        <v/>
      </c>
      <c r="C16" s="30">
        <f>IF(ABS(C7-C5)&lt;1E-12,"Sans effet",IF((MAX('13b_parametres'!$C$6-C7,0)+MAX(C7-'13b_parametres'!$D$6,0))&lt;(MAX('13b_parametres'!$C$6-C5,0)+MAX(C5-'13b_parametres'!$D$6,0)),"Améliore",IF((MAX('13b_parametres'!$C$6-C7,0)+MAX(C7-'13b_parametres'!$D$6,0))&gt;(MAX('13b_parametres'!$C$6-C5,0)+MAX(C5-'13b_parametres'!$D$6,0)),"Dégrade","Sans effet sur l'écart")))</f>
        <v/>
      </c>
      <c r="D16" s="30">
        <f>IF(ABS(D7-D5)&lt;1E-12,"Sans effet",IF((MAX('13b_parametres'!$C$7-D7,0)+MAX(D7-'13b_parametres'!$D$7,0))&lt;(MAX('13b_parametres'!$C$7-D5,0)+MAX(D5-'13b_parametres'!$D$7,0)),"Améliore",IF((MAX('13b_parametres'!$C$7-D7,0)+MAX(D7-'13b_parametres'!$D$7,0))&gt;(MAX('13b_parametres'!$C$7-D5,0)+MAX(D5-'13b_parametres'!$D$7,0)),"Dégrade","Sans effet sur l'écart")))</f>
        <v/>
      </c>
      <c r="E16" s="30">
        <f>IF(ABS(E7-E5)&lt;1E-12,"Sans effet",IF((MAX('13b_parametres'!$C$8-E7,0)+MAX(E7-'13b_parametres'!$D$8,0))&lt;(MAX('13b_parametres'!$C$8-E5,0)+MAX(E5-'13b_parametres'!$D$8,0)),"Améliore",IF((MAX('13b_parametres'!$C$8-E7,0)+MAX(E7-'13b_parametres'!$D$8,0))&gt;(MAX('13b_parametres'!$C$8-E5,0)+MAX(E5-'13b_parametres'!$D$8,0)),"Dégrade","Sans effet sur l'écart")))</f>
        <v/>
      </c>
      <c r="F16" s="30">
        <f>IF(ABS(F7-F5)&lt;1E-12,"Sans effet",IF((MAX('13b_parametres'!$C$9-F7,0)+MAX(F7-'13b_parametres'!$D$9,0))&lt;(MAX('13b_parametres'!$C$9-F5,0)+MAX(F5-'13b_parametres'!$D$9,0)),"Améliore",IF((MAX('13b_parametres'!$C$9-F7,0)+MAX(F7-'13b_parametres'!$D$9,0))&gt;(MAX('13b_parametres'!$C$9-F5,0)+MAX(F5-'13b_parametres'!$D$9,0)),"Dégrade","Sans effet sur l'écart")))</f>
        <v/>
      </c>
      <c r="G16" s="30">
        <f>IF(ABS(G7-G5)&lt;1E-12,"Sans effet",IF((MAX('13b_parametres'!$C$10-G7,0)+MAX(G7-'13b_parametres'!$D$10,0))&lt;(MAX('13b_parametres'!$C$10-G5,0)+MAX(G5-'13b_parametres'!$D$10,0)),"Améliore",IF((MAX('13b_parametres'!$C$10-G7,0)+MAX(G7-'13b_parametres'!$D$10,0))&gt;(MAX('13b_parametres'!$C$10-G5,0)+MAX(G5-'13b_parametres'!$D$10,0)),"Dégrade","Sans effet sur l'écart")))</f>
        <v/>
      </c>
      <c r="H16" s="30">
        <f>IF(ABS(H7-H5)&lt;1E-12,"Sans effet",IF((MAX('13b_parametres'!$C$11-H7,0)+MAX(H7-'13b_parametres'!$D$11,0))&lt;(MAX('13b_parametres'!$C$11-H5,0)+MAX(H5-'13b_parametres'!$D$11,0)),"Améliore",IF((MAX('13b_parametres'!$C$11-H7,0)+MAX(H7-'13b_parametres'!$D$11,0))&gt;(MAX('13b_parametres'!$C$11-H5,0)+MAX(H5-'13b_parametres'!$D$11,0)),"Dégrade","Sans effet sur l'écart")))</f>
        <v/>
      </c>
      <c r="I16" s="30">
        <f>IF(ABS(I7-I5)&lt;1E-12,"Sans effet",IF((MAX('13b_parametres'!$C$12-I7,0)+MAX(I7-'13b_parametres'!$D$12,0))&lt;(MAX('13b_parametres'!$C$12-I5,0)+MAX(I5-'13b_parametres'!$D$12,0)),"Améliore",IF((MAX('13b_parametres'!$C$12-I7,0)+MAX(I7-'13b_parametres'!$D$12,0))&gt;(MAX('13b_parametres'!$C$12-I5,0)+MAX(I5-'13b_parametres'!$D$12,0)),"Dégrade","Sans effet sur l'écart")))</f>
        <v/>
      </c>
      <c r="J16" s="30">
        <f>IF(ABS(J7-J5)&lt;1E-12,"Sans effet",IF((MAX('13b_parametres'!$C$13-J7,0)+MAX(J7-'13b_parametres'!$D$13,0))&lt;(MAX('13b_parametres'!$C$13-J5,0)+MAX(J5-'13b_parametres'!$D$13,0)),"Améliore",IF((MAX('13b_parametres'!$C$13-J7,0)+MAX(J7-'13b_parametres'!$D$13,0))&gt;(MAX('13b_parametres'!$C$13-J5,0)+MAX(J5-'13b_parametres'!$D$13,0)),"Dégrade","Sans effet sur l'écart")))</f>
        <v/>
      </c>
      <c r="K16" s="30">
        <f>IF(ABS(K7-K5)&lt;1E-12,"Sans effet",IF((MAX('13b_parametres'!$C$14-K7,0)+MAX(K7-'13b_parametres'!$D$14,0))&lt;(MAX('13b_parametres'!$C$14-K5,0)+MAX(K5-'13b_parametres'!$D$14,0)),"Améliore",IF((MAX('13b_parametres'!$C$14-K7,0)+MAX(K7-'13b_parametres'!$D$14,0))&gt;(MAX('13b_parametres'!$C$14-K5,0)+MAX(K5-'13b_parametres'!$D$14,0)),"Dégrade","Sans effet sur l'écart")))</f>
        <v/>
      </c>
      <c r="L16" s="30">
        <f>IF(ABS(L7-L5)&lt;1E-12,"Sans effet",IF((MAX('13b_parametres'!$C$15-L7,0)+MAX(L7-'13b_parametres'!$D$15,0))&lt;(MAX('13b_parametres'!$C$15-L5,0)+MAX(L5-'13b_parametres'!$D$15,0)),"Améliore",IF((MAX('13b_parametres'!$C$15-L7,0)+MAX(L7-'13b_parametres'!$D$15,0))&gt;(MAX('13b_parametres'!$C$15-L5,0)+MAX(L5-'13b_parametres'!$D$15,0)),"Dégrade","Sans effet sur l'écart")))</f>
        <v/>
      </c>
      <c r="M16" s="30">
        <f>IF(ABS(M7-M5)&lt;1E-12,"Sans effet",IF((MAX('13b_parametres'!$C$16-M7,0)+MAX(M7-'13b_parametres'!$D$16,0))&lt;(MAX('13b_parametres'!$C$16-M5,0)+MAX(M5-'13b_parametres'!$D$16,0)),"Améliore",IF((MAX('13b_parametres'!$C$16-M7,0)+MAX(M7-'13b_parametres'!$D$16,0))&gt;(MAX('13b_parametres'!$C$16-M5,0)+MAX(M5-'13b_parametres'!$D$16,0)),"Dégrade","Sans effet sur l'écart")))</f>
        <v/>
      </c>
      <c r="N16" s="30">
        <f>IF(ABS(N7-N5)&lt;1E-12,"Sans effet",IF((MAX('13b_parametres'!$C$17-N7,0)+MAX(N7-'13b_parametres'!$D$17,0))&lt;(MAX('13b_parametres'!$C$17-N5,0)+MAX(N5-'13b_parametres'!$D$17,0)),"Améliore",IF((MAX('13b_parametres'!$C$17-N7,0)+MAX(N7-'13b_parametres'!$D$17,0))&gt;(MAX('13b_parametres'!$C$17-N5,0)+MAX(N5-'13b_parametres'!$D$17,0)),"Dégrade","Sans effet sur l'écart")))</f>
        <v/>
      </c>
      <c r="O16" s="30">
        <f>IF(ABS(O7-O5)&lt;1E-12,"Sans effet",IF((MAX('13b_parametres'!$C$18-O7,0)+MAX(O7-'13b_parametres'!$D$18,0))&lt;(MAX('13b_parametres'!$C$18-O5,0)+MAX(O5-'13b_parametres'!$D$18,0)),"Améliore",IF((MAX('13b_parametres'!$C$18-O7,0)+MAX(O7-'13b_parametres'!$D$18,0))&gt;(MAX('13b_parametres'!$C$18-O5,0)+MAX(O5-'13b_parametres'!$D$18,0)),"Dégrade","Sans effet sur l'écart")))</f>
        <v/>
      </c>
    </row>
    <row r="17">
      <c r="A17" s="27" t="inlineStr">
        <is>
          <t>L3 charges -</t>
        </is>
      </c>
      <c r="B17" s="28">
        <f>IF(ABS(B8-B5)&lt;1E-12,"Sans effet",IF((MAX('13b_parametres'!$C$5-B8,0)+MAX(B8-'13b_parametres'!$D$5,0))&lt;(MAX('13b_parametres'!$C$5-B5,0)+MAX(B5-'13b_parametres'!$D$5,0)),"Améliore",IF((MAX('13b_parametres'!$C$5-B8,0)+MAX(B8-'13b_parametres'!$D$5,0))&gt;(MAX('13b_parametres'!$C$5-B5,0)+MAX(B5-'13b_parametres'!$D$5,0)),"Dégrade","Sans effet sur l'écart")))</f>
        <v/>
      </c>
      <c r="C17" s="28">
        <f>IF(ABS(C8-C5)&lt;1E-12,"Sans effet",IF((MAX('13b_parametres'!$C$6-C8,0)+MAX(C8-'13b_parametres'!$D$6,0))&lt;(MAX('13b_parametres'!$C$6-C5,0)+MAX(C5-'13b_parametres'!$D$6,0)),"Améliore",IF((MAX('13b_parametres'!$C$6-C8,0)+MAX(C8-'13b_parametres'!$D$6,0))&gt;(MAX('13b_parametres'!$C$6-C5,0)+MAX(C5-'13b_parametres'!$D$6,0)),"Dégrade","Sans effet sur l'écart")))</f>
        <v/>
      </c>
      <c r="D17" s="28">
        <f>IF(ABS(D8-D5)&lt;1E-12,"Sans effet",IF((MAX('13b_parametres'!$C$7-D8,0)+MAX(D8-'13b_parametres'!$D$7,0))&lt;(MAX('13b_parametres'!$C$7-D5,0)+MAX(D5-'13b_parametres'!$D$7,0)),"Améliore",IF((MAX('13b_parametres'!$C$7-D8,0)+MAX(D8-'13b_parametres'!$D$7,0))&gt;(MAX('13b_parametres'!$C$7-D5,0)+MAX(D5-'13b_parametres'!$D$7,0)),"Dégrade","Sans effet sur l'écart")))</f>
        <v/>
      </c>
      <c r="E17" s="28">
        <f>IF(ABS(E8-E5)&lt;1E-12,"Sans effet",IF((MAX('13b_parametres'!$C$8-E8,0)+MAX(E8-'13b_parametres'!$D$8,0))&lt;(MAX('13b_parametres'!$C$8-E5,0)+MAX(E5-'13b_parametres'!$D$8,0)),"Améliore",IF((MAX('13b_parametres'!$C$8-E8,0)+MAX(E8-'13b_parametres'!$D$8,0))&gt;(MAX('13b_parametres'!$C$8-E5,0)+MAX(E5-'13b_parametres'!$D$8,0)),"Dégrade","Sans effet sur l'écart")))</f>
        <v/>
      </c>
      <c r="F17" s="28">
        <f>IF(ABS(F8-F5)&lt;1E-12,"Sans effet",IF((MAX('13b_parametres'!$C$9-F8,0)+MAX(F8-'13b_parametres'!$D$9,0))&lt;(MAX('13b_parametres'!$C$9-F5,0)+MAX(F5-'13b_parametres'!$D$9,0)),"Améliore",IF((MAX('13b_parametres'!$C$9-F8,0)+MAX(F8-'13b_parametres'!$D$9,0))&gt;(MAX('13b_parametres'!$C$9-F5,0)+MAX(F5-'13b_parametres'!$D$9,0)),"Dégrade","Sans effet sur l'écart")))</f>
        <v/>
      </c>
      <c r="G17" s="28">
        <f>IF(ABS(G8-G5)&lt;1E-12,"Sans effet",IF((MAX('13b_parametres'!$C$10-G8,0)+MAX(G8-'13b_parametres'!$D$10,0))&lt;(MAX('13b_parametres'!$C$10-G5,0)+MAX(G5-'13b_parametres'!$D$10,0)),"Améliore",IF((MAX('13b_parametres'!$C$10-G8,0)+MAX(G8-'13b_parametres'!$D$10,0))&gt;(MAX('13b_parametres'!$C$10-G5,0)+MAX(G5-'13b_parametres'!$D$10,0)),"Dégrade","Sans effet sur l'écart")))</f>
        <v/>
      </c>
      <c r="H17" s="28">
        <f>IF(ABS(H8-H5)&lt;1E-12,"Sans effet",IF((MAX('13b_parametres'!$C$11-H8,0)+MAX(H8-'13b_parametres'!$D$11,0))&lt;(MAX('13b_parametres'!$C$11-H5,0)+MAX(H5-'13b_parametres'!$D$11,0)),"Améliore",IF((MAX('13b_parametres'!$C$11-H8,0)+MAX(H8-'13b_parametres'!$D$11,0))&gt;(MAX('13b_parametres'!$C$11-H5,0)+MAX(H5-'13b_parametres'!$D$11,0)),"Dégrade","Sans effet sur l'écart")))</f>
        <v/>
      </c>
      <c r="I17" s="28">
        <f>IF(ABS(I8-I5)&lt;1E-12,"Sans effet",IF((MAX('13b_parametres'!$C$12-I8,0)+MAX(I8-'13b_parametres'!$D$12,0))&lt;(MAX('13b_parametres'!$C$12-I5,0)+MAX(I5-'13b_parametres'!$D$12,0)),"Améliore",IF((MAX('13b_parametres'!$C$12-I8,0)+MAX(I8-'13b_parametres'!$D$12,0))&gt;(MAX('13b_parametres'!$C$12-I5,0)+MAX(I5-'13b_parametres'!$D$12,0)),"Dégrade","Sans effet sur l'écart")))</f>
        <v/>
      </c>
      <c r="J17" s="28">
        <f>IF(ABS(J8-J5)&lt;1E-12,"Sans effet",IF((MAX('13b_parametres'!$C$13-J8,0)+MAX(J8-'13b_parametres'!$D$13,0))&lt;(MAX('13b_parametres'!$C$13-J5,0)+MAX(J5-'13b_parametres'!$D$13,0)),"Améliore",IF((MAX('13b_parametres'!$C$13-J8,0)+MAX(J8-'13b_parametres'!$D$13,0))&gt;(MAX('13b_parametres'!$C$13-J5,0)+MAX(J5-'13b_parametres'!$D$13,0)),"Dégrade","Sans effet sur l'écart")))</f>
        <v/>
      </c>
      <c r="K17" s="28">
        <f>IF(ABS(K8-K5)&lt;1E-12,"Sans effet",IF((MAX('13b_parametres'!$C$14-K8,0)+MAX(K8-'13b_parametres'!$D$14,0))&lt;(MAX('13b_parametres'!$C$14-K5,0)+MAX(K5-'13b_parametres'!$D$14,0)),"Améliore",IF((MAX('13b_parametres'!$C$14-K8,0)+MAX(K8-'13b_parametres'!$D$14,0))&gt;(MAX('13b_parametres'!$C$14-K5,0)+MAX(K5-'13b_parametres'!$D$14,0)),"Dégrade","Sans effet sur l'écart")))</f>
        <v/>
      </c>
      <c r="L17" s="28">
        <f>IF(ABS(L8-L5)&lt;1E-12,"Sans effet",IF((MAX('13b_parametres'!$C$15-L8,0)+MAX(L8-'13b_parametres'!$D$15,0))&lt;(MAX('13b_parametres'!$C$15-L5,0)+MAX(L5-'13b_parametres'!$D$15,0)),"Améliore",IF((MAX('13b_parametres'!$C$15-L8,0)+MAX(L8-'13b_parametres'!$D$15,0))&gt;(MAX('13b_parametres'!$C$15-L5,0)+MAX(L5-'13b_parametres'!$D$15,0)),"Dégrade","Sans effet sur l'écart")))</f>
        <v/>
      </c>
      <c r="M17" s="28">
        <f>IF(ABS(M8-M5)&lt;1E-12,"Sans effet",IF((MAX('13b_parametres'!$C$16-M8,0)+MAX(M8-'13b_parametres'!$D$16,0))&lt;(MAX('13b_parametres'!$C$16-M5,0)+MAX(M5-'13b_parametres'!$D$16,0)),"Améliore",IF((MAX('13b_parametres'!$C$16-M8,0)+MAX(M8-'13b_parametres'!$D$16,0))&gt;(MAX('13b_parametres'!$C$16-M5,0)+MAX(M5-'13b_parametres'!$D$16,0)),"Dégrade","Sans effet sur l'écart")))</f>
        <v/>
      </c>
      <c r="N17" s="28">
        <f>IF(ABS(N8-N5)&lt;1E-12,"Sans effet",IF((MAX('13b_parametres'!$C$17-N8,0)+MAX(N8-'13b_parametres'!$D$17,0))&lt;(MAX('13b_parametres'!$C$17-N5,0)+MAX(N5-'13b_parametres'!$D$17,0)),"Améliore",IF((MAX('13b_parametres'!$C$17-N8,0)+MAX(N8-'13b_parametres'!$D$17,0))&gt;(MAX('13b_parametres'!$C$17-N5,0)+MAX(N5-'13b_parametres'!$D$17,0)),"Dégrade","Sans effet sur l'écart")))</f>
        <v/>
      </c>
      <c r="O17" s="28">
        <f>IF(ABS(O8-O5)&lt;1E-12,"Sans effet",IF((MAX('13b_parametres'!$C$18-O8,0)+MAX(O8-'13b_parametres'!$D$18,0))&lt;(MAX('13b_parametres'!$C$18-O5,0)+MAX(O5-'13b_parametres'!$D$18,0)),"Améliore",IF((MAX('13b_parametres'!$C$18-O8,0)+MAX(O8-'13b_parametres'!$D$18,0))&gt;(MAX('13b_parametres'!$C$18-O5,0)+MAX(O5-'13b_parametres'!$D$18,0)),"Dégrade","Sans effet sur l'écart")))</f>
        <v/>
      </c>
    </row>
    <row r="18">
      <c r="A18" s="27" t="inlineStr">
        <is>
          <t>L4 réserve légale +</t>
        </is>
      </c>
      <c r="B18" s="30">
        <f>IF(ABS(B9-B5)&lt;1E-12,"Sans effet",IF((MAX('13b_parametres'!$C$5-B9,0)+MAX(B9-'13b_parametres'!$D$5,0))&lt;(MAX('13b_parametres'!$C$5-B5,0)+MAX(B5-'13b_parametres'!$D$5,0)),"Améliore",IF((MAX('13b_parametres'!$C$5-B9,0)+MAX(B9-'13b_parametres'!$D$5,0))&gt;(MAX('13b_parametres'!$C$5-B5,0)+MAX(B5-'13b_parametres'!$D$5,0)),"Dégrade","Sans effet sur l'écart")))</f>
        <v/>
      </c>
      <c r="C18" s="30">
        <f>IF(ABS(C9-C5)&lt;1E-12,"Sans effet",IF((MAX('13b_parametres'!$C$6-C9,0)+MAX(C9-'13b_parametres'!$D$6,0))&lt;(MAX('13b_parametres'!$C$6-C5,0)+MAX(C5-'13b_parametres'!$D$6,0)),"Améliore",IF((MAX('13b_parametres'!$C$6-C9,0)+MAX(C9-'13b_parametres'!$D$6,0))&gt;(MAX('13b_parametres'!$C$6-C5,0)+MAX(C5-'13b_parametres'!$D$6,0)),"Dégrade","Sans effet sur l'écart")))</f>
        <v/>
      </c>
      <c r="D18" s="30">
        <f>IF(ABS(D9-D5)&lt;1E-12,"Sans effet",IF((MAX('13b_parametres'!$C$7-D9,0)+MAX(D9-'13b_parametres'!$D$7,0))&lt;(MAX('13b_parametres'!$C$7-D5,0)+MAX(D5-'13b_parametres'!$D$7,0)),"Améliore",IF((MAX('13b_parametres'!$C$7-D9,0)+MAX(D9-'13b_parametres'!$D$7,0))&gt;(MAX('13b_parametres'!$C$7-D5,0)+MAX(D5-'13b_parametres'!$D$7,0)),"Dégrade","Sans effet sur l'écart")))</f>
        <v/>
      </c>
      <c r="E18" s="30">
        <f>IF(ABS(E9-E5)&lt;1E-12,"Sans effet",IF((MAX('13b_parametres'!$C$8-E9,0)+MAX(E9-'13b_parametres'!$D$8,0))&lt;(MAX('13b_parametres'!$C$8-E5,0)+MAX(E5-'13b_parametres'!$D$8,0)),"Améliore",IF((MAX('13b_parametres'!$C$8-E9,0)+MAX(E9-'13b_parametres'!$D$8,0))&gt;(MAX('13b_parametres'!$C$8-E5,0)+MAX(E5-'13b_parametres'!$D$8,0)),"Dégrade","Sans effet sur l'écart")))</f>
        <v/>
      </c>
      <c r="F18" s="30">
        <f>IF(ABS(F9-F5)&lt;1E-12,"Sans effet",IF((MAX('13b_parametres'!$C$9-F9,0)+MAX(F9-'13b_parametres'!$D$9,0))&lt;(MAX('13b_parametres'!$C$9-F5,0)+MAX(F5-'13b_parametres'!$D$9,0)),"Améliore",IF((MAX('13b_parametres'!$C$9-F9,0)+MAX(F9-'13b_parametres'!$D$9,0))&gt;(MAX('13b_parametres'!$C$9-F5,0)+MAX(F5-'13b_parametres'!$D$9,0)),"Dégrade","Sans effet sur l'écart")))</f>
        <v/>
      </c>
      <c r="G18" s="30">
        <f>IF(ABS(G9-G5)&lt;1E-12,"Sans effet",IF((MAX('13b_parametres'!$C$10-G9,0)+MAX(G9-'13b_parametres'!$D$10,0))&lt;(MAX('13b_parametres'!$C$10-G5,0)+MAX(G5-'13b_parametres'!$D$10,0)),"Améliore",IF((MAX('13b_parametres'!$C$10-G9,0)+MAX(G9-'13b_parametres'!$D$10,0))&gt;(MAX('13b_parametres'!$C$10-G5,0)+MAX(G5-'13b_parametres'!$D$10,0)),"Dégrade","Sans effet sur l'écart")))</f>
        <v/>
      </c>
      <c r="H18" s="30">
        <f>IF(ABS(H9-H5)&lt;1E-12,"Sans effet",IF((MAX('13b_parametres'!$C$11-H9,0)+MAX(H9-'13b_parametres'!$D$11,0))&lt;(MAX('13b_parametres'!$C$11-H5,0)+MAX(H5-'13b_parametres'!$D$11,0)),"Améliore",IF((MAX('13b_parametres'!$C$11-H9,0)+MAX(H9-'13b_parametres'!$D$11,0))&gt;(MAX('13b_parametres'!$C$11-H5,0)+MAX(H5-'13b_parametres'!$D$11,0)),"Dégrade","Sans effet sur l'écart")))</f>
        <v/>
      </c>
      <c r="I18" s="30">
        <f>IF(ABS(I9-I5)&lt;1E-12,"Sans effet",IF((MAX('13b_parametres'!$C$12-I9,0)+MAX(I9-'13b_parametres'!$D$12,0))&lt;(MAX('13b_parametres'!$C$12-I5,0)+MAX(I5-'13b_parametres'!$D$12,0)),"Améliore",IF((MAX('13b_parametres'!$C$12-I9,0)+MAX(I9-'13b_parametres'!$D$12,0))&gt;(MAX('13b_parametres'!$C$12-I5,0)+MAX(I5-'13b_parametres'!$D$12,0)),"Dégrade","Sans effet sur l'écart")))</f>
        <v/>
      </c>
      <c r="J18" s="30">
        <f>IF(ABS(J9-J5)&lt;1E-12,"Sans effet",IF((MAX('13b_parametres'!$C$13-J9,0)+MAX(J9-'13b_parametres'!$D$13,0))&lt;(MAX('13b_parametres'!$C$13-J5,0)+MAX(J5-'13b_parametres'!$D$13,0)),"Améliore",IF((MAX('13b_parametres'!$C$13-J9,0)+MAX(J9-'13b_parametres'!$D$13,0))&gt;(MAX('13b_parametres'!$C$13-J5,0)+MAX(J5-'13b_parametres'!$D$13,0)),"Dégrade","Sans effet sur l'écart")))</f>
        <v/>
      </c>
      <c r="K18" s="30">
        <f>IF(ABS(K9-K5)&lt;1E-12,"Sans effet",IF((MAX('13b_parametres'!$C$14-K9,0)+MAX(K9-'13b_parametres'!$D$14,0))&lt;(MAX('13b_parametres'!$C$14-K5,0)+MAX(K5-'13b_parametres'!$D$14,0)),"Améliore",IF((MAX('13b_parametres'!$C$14-K9,0)+MAX(K9-'13b_parametres'!$D$14,0))&gt;(MAX('13b_parametres'!$C$14-K5,0)+MAX(K5-'13b_parametres'!$D$14,0)),"Dégrade","Sans effet sur l'écart")))</f>
        <v/>
      </c>
      <c r="L18" s="30">
        <f>IF(ABS(L9-L5)&lt;1E-12,"Sans effet",IF((MAX('13b_parametres'!$C$15-L9,0)+MAX(L9-'13b_parametres'!$D$15,0))&lt;(MAX('13b_parametres'!$C$15-L5,0)+MAX(L5-'13b_parametres'!$D$15,0)),"Améliore",IF((MAX('13b_parametres'!$C$15-L9,0)+MAX(L9-'13b_parametres'!$D$15,0))&gt;(MAX('13b_parametres'!$C$15-L5,0)+MAX(L5-'13b_parametres'!$D$15,0)),"Dégrade","Sans effet sur l'écart")))</f>
        <v/>
      </c>
      <c r="M18" s="30">
        <f>IF(ABS(M9-M5)&lt;1E-12,"Sans effet",IF((MAX('13b_parametres'!$C$16-M9,0)+MAX(M9-'13b_parametres'!$D$16,0))&lt;(MAX('13b_parametres'!$C$16-M5,0)+MAX(M5-'13b_parametres'!$D$16,0)),"Améliore",IF((MAX('13b_parametres'!$C$16-M9,0)+MAX(M9-'13b_parametres'!$D$16,0))&gt;(MAX('13b_parametres'!$C$16-M5,0)+MAX(M5-'13b_parametres'!$D$16,0)),"Dégrade","Sans effet sur l'écart")))</f>
        <v/>
      </c>
      <c r="N18" s="30">
        <f>IF(ABS(N9-N5)&lt;1E-12,"Sans effet",IF((MAX('13b_parametres'!$C$17-N9,0)+MAX(N9-'13b_parametres'!$D$17,0))&lt;(MAX('13b_parametres'!$C$17-N5,0)+MAX(N5-'13b_parametres'!$D$17,0)),"Améliore",IF((MAX('13b_parametres'!$C$17-N9,0)+MAX(N9-'13b_parametres'!$D$17,0))&gt;(MAX('13b_parametres'!$C$17-N5,0)+MAX(N5-'13b_parametres'!$D$17,0)),"Dégrade","Sans effet sur l'écart")))</f>
        <v/>
      </c>
      <c r="O18" s="30">
        <f>IF(ABS(O9-O5)&lt;1E-12,"Sans effet",IF((MAX('13b_parametres'!$C$18-O9,0)+MAX(O9-'13b_parametres'!$D$18,0))&lt;(MAX('13b_parametres'!$C$18-O5,0)+MAX(O5-'13b_parametres'!$D$18,0)),"Améliore",IF((MAX('13b_parametres'!$C$18-O9,0)+MAX(O9-'13b_parametres'!$D$18,0))&gt;(MAX('13b_parametres'!$C$18-O5,0)+MAX(O5-'13b_parametres'!$D$18,0)),"Dégrade","Sans effet sur l'écart")))</f>
        <v/>
      </c>
    </row>
    <row r="19">
      <c r="A19" s="27" t="inlineStr">
        <is>
          <t>L5 réallocation</t>
        </is>
      </c>
      <c r="B19" s="28">
        <f>IF(ABS(B10-B5)&lt;1E-12,"Sans effet",IF((MAX('13b_parametres'!$C$5-B10,0)+MAX(B10-'13b_parametres'!$D$5,0))&lt;(MAX('13b_parametres'!$C$5-B5,0)+MAX(B5-'13b_parametres'!$D$5,0)),"Améliore",IF((MAX('13b_parametres'!$C$5-B10,0)+MAX(B10-'13b_parametres'!$D$5,0))&gt;(MAX('13b_parametres'!$C$5-B5,0)+MAX(B5-'13b_parametres'!$D$5,0)),"Dégrade","Sans effet sur l'écart")))</f>
        <v/>
      </c>
      <c r="C19" s="28">
        <f>IF(ABS(C10-C5)&lt;1E-12,"Sans effet",IF((MAX('13b_parametres'!$C$6-C10,0)+MAX(C10-'13b_parametres'!$D$6,0))&lt;(MAX('13b_parametres'!$C$6-C5,0)+MAX(C5-'13b_parametres'!$D$6,0)),"Améliore",IF((MAX('13b_parametres'!$C$6-C10,0)+MAX(C10-'13b_parametres'!$D$6,0))&gt;(MAX('13b_parametres'!$C$6-C5,0)+MAX(C5-'13b_parametres'!$D$6,0)),"Dégrade","Sans effet sur l'écart")))</f>
        <v/>
      </c>
      <c r="D19" s="28">
        <f>IF(ABS(D10-D5)&lt;1E-12,"Sans effet",IF((MAX('13b_parametres'!$C$7-D10,0)+MAX(D10-'13b_parametres'!$D$7,0))&lt;(MAX('13b_parametres'!$C$7-D5,0)+MAX(D5-'13b_parametres'!$D$7,0)),"Améliore",IF((MAX('13b_parametres'!$C$7-D10,0)+MAX(D10-'13b_parametres'!$D$7,0))&gt;(MAX('13b_parametres'!$C$7-D5,0)+MAX(D5-'13b_parametres'!$D$7,0)),"Dégrade","Sans effet sur l'écart")))</f>
        <v/>
      </c>
      <c r="E19" s="28">
        <f>IF(ABS(E10-E5)&lt;1E-12,"Sans effet",IF((MAX('13b_parametres'!$C$8-E10,0)+MAX(E10-'13b_parametres'!$D$8,0))&lt;(MAX('13b_parametres'!$C$8-E5,0)+MAX(E5-'13b_parametres'!$D$8,0)),"Améliore",IF((MAX('13b_parametres'!$C$8-E10,0)+MAX(E10-'13b_parametres'!$D$8,0))&gt;(MAX('13b_parametres'!$C$8-E5,0)+MAX(E5-'13b_parametres'!$D$8,0)),"Dégrade","Sans effet sur l'écart")))</f>
        <v/>
      </c>
      <c r="F19" s="28">
        <f>IF(ABS(F10-F5)&lt;1E-12,"Sans effet",IF((MAX('13b_parametres'!$C$9-F10,0)+MAX(F10-'13b_parametres'!$D$9,0))&lt;(MAX('13b_parametres'!$C$9-F5,0)+MAX(F5-'13b_parametres'!$D$9,0)),"Améliore",IF((MAX('13b_parametres'!$C$9-F10,0)+MAX(F10-'13b_parametres'!$D$9,0))&gt;(MAX('13b_parametres'!$C$9-F5,0)+MAX(F5-'13b_parametres'!$D$9,0)),"Dégrade","Sans effet sur l'écart")))</f>
        <v/>
      </c>
      <c r="G19" s="28">
        <f>IF(ABS(G10-G5)&lt;1E-12,"Sans effet",IF((MAX('13b_parametres'!$C$10-G10,0)+MAX(G10-'13b_parametres'!$D$10,0))&lt;(MAX('13b_parametres'!$C$10-G5,0)+MAX(G5-'13b_parametres'!$D$10,0)),"Améliore",IF((MAX('13b_parametres'!$C$10-G10,0)+MAX(G10-'13b_parametres'!$D$10,0))&gt;(MAX('13b_parametres'!$C$10-G5,0)+MAX(G5-'13b_parametres'!$D$10,0)),"Dégrade","Sans effet sur l'écart")))</f>
        <v/>
      </c>
      <c r="H19" s="28">
        <f>IF(ABS(H10-H5)&lt;1E-12,"Sans effet",IF((MAX('13b_parametres'!$C$11-H10,0)+MAX(H10-'13b_parametres'!$D$11,0))&lt;(MAX('13b_parametres'!$C$11-H5,0)+MAX(H5-'13b_parametres'!$D$11,0)),"Améliore",IF((MAX('13b_parametres'!$C$11-H10,0)+MAX(H10-'13b_parametres'!$D$11,0))&gt;(MAX('13b_parametres'!$C$11-H5,0)+MAX(H5-'13b_parametres'!$D$11,0)),"Dégrade","Sans effet sur l'écart")))</f>
        <v/>
      </c>
      <c r="I19" s="28">
        <f>IF(ABS(I10-I5)&lt;1E-12,"Sans effet",IF((MAX('13b_parametres'!$C$12-I10,0)+MAX(I10-'13b_parametres'!$D$12,0))&lt;(MAX('13b_parametres'!$C$12-I5,0)+MAX(I5-'13b_parametres'!$D$12,0)),"Améliore",IF((MAX('13b_parametres'!$C$12-I10,0)+MAX(I10-'13b_parametres'!$D$12,0))&gt;(MAX('13b_parametres'!$C$12-I5,0)+MAX(I5-'13b_parametres'!$D$12,0)),"Dégrade","Sans effet sur l'écart")))</f>
        <v/>
      </c>
      <c r="J19" s="28">
        <f>IF(ABS(J10-J5)&lt;1E-12,"Sans effet",IF((MAX('13b_parametres'!$C$13-J10,0)+MAX(J10-'13b_parametres'!$D$13,0))&lt;(MAX('13b_parametres'!$C$13-J5,0)+MAX(J5-'13b_parametres'!$D$13,0)),"Améliore",IF((MAX('13b_parametres'!$C$13-J10,0)+MAX(J10-'13b_parametres'!$D$13,0))&gt;(MAX('13b_parametres'!$C$13-J5,0)+MAX(J5-'13b_parametres'!$D$13,0)),"Dégrade","Sans effet sur l'écart")))</f>
        <v/>
      </c>
      <c r="K19" s="28">
        <f>IF(ABS(K10-K5)&lt;1E-12,"Sans effet",IF((MAX('13b_parametres'!$C$14-K10,0)+MAX(K10-'13b_parametres'!$D$14,0))&lt;(MAX('13b_parametres'!$C$14-K5,0)+MAX(K5-'13b_parametres'!$D$14,0)),"Améliore",IF((MAX('13b_parametres'!$C$14-K10,0)+MAX(K10-'13b_parametres'!$D$14,0))&gt;(MAX('13b_parametres'!$C$14-K5,0)+MAX(K5-'13b_parametres'!$D$14,0)),"Dégrade","Sans effet sur l'écart")))</f>
        <v/>
      </c>
      <c r="L19" s="28">
        <f>IF(ABS(L10-L5)&lt;1E-12,"Sans effet",IF((MAX('13b_parametres'!$C$15-L10,0)+MAX(L10-'13b_parametres'!$D$15,0))&lt;(MAX('13b_parametres'!$C$15-L5,0)+MAX(L5-'13b_parametres'!$D$15,0)),"Améliore",IF((MAX('13b_parametres'!$C$15-L10,0)+MAX(L10-'13b_parametres'!$D$15,0))&gt;(MAX('13b_parametres'!$C$15-L5,0)+MAX(L5-'13b_parametres'!$D$15,0)),"Dégrade","Sans effet sur l'écart")))</f>
        <v/>
      </c>
      <c r="M19" s="28">
        <f>IF(ABS(M10-M5)&lt;1E-12,"Sans effet",IF((MAX('13b_parametres'!$C$16-M10,0)+MAX(M10-'13b_parametres'!$D$16,0))&lt;(MAX('13b_parametres'!$C$16-M5,0)+MAX(M5-'13b_parametres'!$D$16,0)),"Améliore",IF((MAX('13b_parametres'!$C$16-M10,0)+MAX(M10-'13b_parametres'!$D$16,0))&gt;(MAX('13b_parametres'!$C$16-M5,0)+MAX(M5-'13b_parametres'!$D$16,0)),"Dégrade","Sans effet sur l'écart")))</f>
        <v/>
      </c>
      <c r="N19" s="28">
        <f>IF(ABS(N10-N5)&lt;1E-12,"Sans effet",IF((MAX('13b_parametres'!$C$17-N10,0)+MAX(N10-'13b_parametres'!$D$17,0))&lt;(MAX('13b_parametres'!$C$17-N5,0)+MAX(N5-'13b_parametres'!$D$17,0)),"Améliore",IF((MAX('13b_parametres'!$C$17-N10,0)+MAX(N10-'13b_parametres'!$D$17,0))&gt;(MAX('13b_parametres'!$C$17-N5,0)+MAX(N5-'13b_parametres'!$D$17,0)),"Dégrade","Sans effet sur l'écart")))</f>
        <v/>
      </c>
      <c r="O19" s="28">
        <f>IF(ABS(O10-O5)&lt;1E-12,"Sans effet",IF((MAX('13b_parametres'!$C$18-O10,0)+MAX(O10-'13b_parametres'!$D$18,0))&lt;(MAX('13b_parametres'!$C$18-O5,0)+MAX(O5-'13b_parametres'!$D$18,0)),"Améliore",IF((MAX('13b_parametres'!$C$18-O10,0)+MAX(O10-'13b_parametres'!$D$18,0))&gt;(MAX('13b_parametres'!$C$18-O5,0)+MAX(O5-'13b_parametres'!$D$18,0)),"Dégrade","Sans effet sur l'écart")))</f>
        <v/>
      </c>
    </row>
    <row r="20">
      <c r="A20" s="27" t="inlineStr">
        <is>
          <t>L7 fonds propres +</t>
        </is>
      </c>
      <c r="B20" s="30">
        <f>IF(ABS(B11-B5)&lt;1E-12,"Sans effet",IF((MAX('13b_parametres'!$C$5-B11,0)+MAX(B11-'13b_parametres'!$D$5,0))&lt;(MAX('13b_parametres'!$C$5-B5,0)+MAX(B5-'13b_parametres'!$D$5,0)),"Améliore",IF((MAX('13b_parametres'!$C$5-B11,0)+MAX(B11-'13b_parametres'!$D$5,0))&gt;(MAX('13b_parametres'!$C$5-B5,0)+MAX(B5-'13b_parametres'!$D$5,0)),"Dégrade","Sans effet sur l'écart")))</f>
        <v/>
      </c>
      <c r="C20" s="30">
        <f>IF(ABS(C11-C5)&lt;1E-12,"Sans effet",IF((MAX('13b_parametres'!$C$6-C11,0)+MAX(C11-'13b_parametres'!$D$6,0))&lt;(MAX('13b_parametres'!$C$6-C5,0)+MAX(C5-'13b_parametres'!$D$6,0)),"Améliore",IF((MAX('13b_parametres'!$C$6-C11,0)+MAX(C11-'13b_parametres'!$D$6,0))&gt;(MAX('13b_parametres'!$C$6-C5,0)+MAX(C5-'13b_parametres'!$D$6,0)),"Dégrade","Sans effet sur l'écart")))</f>
        <v/>
      </c>
      <c r="D20" s="30">
        <f>IF(ABS(D11-D5)&lt;1E-12,"Sans effet",IF((MAX('13b_parametres'!$C$7-D11,0)+MAX(D11-'13b_parametres'!$D$7,0))&lt;(MAX('13b_parametres'!$C$7-D5,0)+MAX(D5-'13b_parametres'!$D$7,0)),"Améliore",IF((MAX('13b_parametres'!$C$7-D11,0)+MAX(D11-'13b_parametres'!$D$7,0))&gt;(MAX('13b_parametres'!$C$7-D5,0)+MAX(D5-'13b_parametres'!$D$7,0)),"Dégrade","Sans effet sur l'écart")))</f>
        <v/>
      </c>
      <c r="E20" s="30">
        <f>IF(ABS(E11-E5)&lt;1E-12,"Sans effet",IF((MAX('13b_parametres'!$C$8-E11,0)+MAX(E11-'13b_parametres'!$D$8,0))&lt;(MAX('13b_parametres'!$C$8-E5,0)+MAX(E5-'13b_parametres'!$D$8,0)),"Améliore",IF((MAX('13b_parametres'!$C$8-E11,0)+MAX(E11-'13b_parametres'!$D$8,0))&gt;(MAX('13b_parametres'!$C$8-E5,0)+MAX(E5-'13b_parametres'!$D$8,0)),"Dégrade","Sans effet sur l'écart")))</f>
        <v/>
      </c>
      <c r="F20" s="30">
        <f>IF(ABS(F11-F5)&lt;1E-12,"Sans effet",IF((MAX('13b_parametres'!$C$9-F11,0)+MAX(F11-'13b_parametres'!$D$9,0))&lt;(MAX('13b_parametres'!$C$9-F5,0)+MAX(F5-'13b_parametres'!$D$9,0)),"Améliore",IF((MAX('13b_parametres'!$C$9-F11,0)+MAX(F11-'13b_parametres'!$D$9,0))&gt;(MAX('13b_parametres'!$C$9-F5,0)+MAX(F5-'13b_parametres'!$D$9,0)),"Dégrade","Sans effet sur l'écart")))</f>
        <v/>
      </c>
      <c r="G20" s="30">
        <f>IF(ABS(G11-G5)&lt;1E-12,"Sans effet",IF((MAX('13b_parametres'!$C$10-G11,0)+MAX(G11-'13b_parametres'!$D$10,0))&lt;(MAX('13b_parametres'!$C$10-G5,0)+MAX(G5-'13b_parametres'!$D$10,0)),"Améliore",IF((MAX('13b_parametres'!$C$10-G11,0)+MAX(G11-'13b_parametres'!$D$10,0))&gt;(MAX('13b_parametres'!$C$10-G5,0)+MAX(G5-'13b_parametres'!$D$10,0)),"Dégrade","Sans effet sur l'écart")))</f>
        <v/>
      </c>
      <c r="H20" s="30">
        <f>IF(ABS(H11-H5)&lt;1E-12,"Sans effet",IF((MAX('13b_parametres'!$C$11-H11,0)+MAX(H11-'13b_parametres'!$D$11,0))&lt;(MAX('13b_parametres'!$C$11-H5,0)+MAX(H5-'13b_parametres'!$D$11,0)),"Améliore",IF((MAX('13b_parametres'!$C$11-H11,0)+MAX(H11-'13b_parametres'!$D$11,0))&gt;(MAX('13b_parametres'!$C$11-H5,0)+MAX(H5-'13b_parametres'!$D$11,0)),"Dégrade","Sans effet sur l'écart")))</f>
        <v/>
      </c>
      <c r="I20" s="30">
        <f>IF(ABS(I11-I5)&lt;1E-12,"Sans effet",IF((MAX('13b_parametres'!$C$12-I11,0)+MAX(I11-'13b_parametres'!$D$12,0))&lt;(MAX('13b_parametres'!$C$12-I5,0)+MAX(I5-'13b_parametres'!$D$12,0)),"Améliore",IF((MAX('13b_parametres'!$C$12-I11,0)+MAX(I11-'13b_parametres'!$D$12,0))&gt;(MAX('13b_parametres'!$C$12-I5,0)+MAX(I5-'13b_parametres'!$D$12,0)),"Dégrade","Sans effet sur l'écart")))</f>
        <v/>
      </c>
      <c r="J20" s="30">
        <f>IF(ABS(J11-J5)&lt;1E-12,"Sans effet",IF((MAX('13b_parametres'!$C$13-J11,0)+MAX(J11-'13b_parametres'!$D$13,0))&lt;(MAX('13b_parametres'!$C$13-J5,0)+MAX(J5-'13b_parametres'!$D$13,0)),"Améliore",IF((MAX('13b_parametres'!$C$13-J11,0)+MAX(J11-'13b_parametres'!$D$13,0))&gt;(MAX('13b_parametres'!$C$13-J5,0)+MAX(J5-'13b_parametres'!$D$13,0)),"Dégrade","Sans effet sur l'écart")))</f>
        <v/>
      </c>
      <c r="K20" s="30">
        <f>IF(ABS(K11-K5)&lt;1E-12,"Sans effet",IF((MAX('13b_parametres'!$C$14-K11,0)+MAX(K11-'13b_parametres'!$D$14,0))&lt;(MAX('13b_parametres'!$C$14-K5,0)+MAX(K5-'13b_parametres'!$D$14,0)),"Améliore",IF((MAX('13b_parametres'!$C$14-K11,0)+MAX(K11-'13b_parametres'!$D$14,0))&gt;(MAX('13b_parametres'!$C$14-K5,0)+MAX(K5-'13b_parametres'!$D$14,0)),"Dégrade","Sans effet sur l'écart")))</f>
        <v/>
      </c>
      <c r="L20" s="30">
        <f>IF(ABS(L11-L5)&lt;1E-12,"Sans effet",IF((MAX('13b_parametres'!$C$15-L11,0)+MAX(L11-'13b_parametres'!$D$15,0))&lt;(MAX('13b_parametres'!$C$15-L5,0)+MAX(L5-'13b_parametres'!$D$15,0)),"Améliore",IF((MAX('13b_parametres'!$C$15-L11,0)+MAX(L11-'13b_parametres'!$D$15,0))&gt;(MAX('13b_parametres'!$C$15-L5,0)+MAX(L5-'13b_parametres'!$D$15,0)),"Dégrade","Sans effet sur l'écart")))</f>
        <v/>
      </c>
      <c r="M20" s="30">
        <f>IF(ABS(M11-M5)&lt;1E-12,"Sans effet",IF((MAX('13b_parametres'!$C$16-M11,0)+MAX(M11-'13b_parametres'!$D$16,0))&lt;(MAX('13b_parametres'!$C$16-M5,0)+MAX(M5-'13b_parametres'!$D$16,0)),"Améliore",IF((MAX('13b_parametres'!$C$16-M11,0)+MAX(M11-'13b_parametres'!$D$16,0))&gt;(MAX('13b_parametres'!$C$16-M5,0)+MAX(M5-'13b_parametres'!$D$16,0)),"Dégrade","Sans effet sur l'écart")))</f>
        <v/>
      </c>
      <c r="N20" s="30">
        <f>IF(ABS(N11-N5)&lt;1E-12,"Sans effet",IF((MAX('13b_parametres'!$C$17-N11,0)+MAX(N11-'13b_parametres'!$D$17,0))&lt;(MAX('13b_parametres'!$C$17-N5,0)+MAX(N5-'13b_parametres'!$D$17,0)),"Améliore",IF((MAX('13b_parametres'!$C$17-N11,0)+MAX(N11-'13b_parametres'!$D$17,0))&gt;(MAX('13b_parametres'!$C$17-N5,0)+MAX(N5-'13b_parametres'!$D$17,0)),"Dégrade","Sans effet sur l'écart")))</f>
        <v/>
      </c>
      <c r="O20" s="30">
        <f>IF(ABS(O11-O5)&lt;1E-12,"Sans effet",IF((MAX('13b_parametres'!$C$18-O11,0)+MAX(O11-'13b_parametres'!$D$18,0))&lt;(MAX('13b_parametres'!$C$18-O5,0)+MAX(O5-'13b_parametres'!$D$18,0)),"Améliore",IF((MAX('13b_parametres'!$C$18-O11,0)+MAX(O11-'13b_parametres'!$D$18,0))&gt;(MAX('13b_parametres'!$C$18-O5,0)+MAX(O5-'13b_parametres'!$D$18,0)),"Dégrade","Sans effet sur l'écart")))</f>
        <v/>
      </c>
    </row>
    <row r="21"/>
    <row r="22">
      <c r="A22" s="87" t="inlineStr">
        <is>
          <t>Faisabilité conjointe des normes de flux (démonstration)</t>
        </is>
      </c>
    </row>
    <row r="23">
      <c r="A23" s="8" t="inlineStr">
        <is>
          <t>Indicateur</t>
        </is>
      </c>
      <c r="B23" s="8" t="inlineStr">
        <is>
          <t>2020</t>
        </is>
      </c>
      <c r="C23" s="8" t="inlineStr">
        <is>
          <t>2021</t>
        </is>
      </c>
      <c r="D23" s="8" t="inlineStr">
        <is>
          <t>2022</t>
        </is>
      </c>
      <c r="E23" s="8" t="inlineStr">
        <is>
          <t>2023</t>
        </is>
      </c>
      <c r="F23" s="8" t="inlineStr">
        <is>
          <t>2024</t>
        </is>
      </c>
      <c r="G23" s="8" t="inlineStr">
        <is>
          <t>2025</t>
        </is>
      </c>
      <c r="H23" s="8" t="inlineStr">
        <is>
          <t>2026</t>
        </is>
      </c>
    </row>
    <row r="24" ht="30" customHeight="1">
      <c r="A24" s="9" t="inlineStr">
        <is>
          <t>Autres éléments du résultat A = excédent - cotisations + prestations + charges de fonctionnement</t>
        </is>
      </c>
      <c r="B24" s="29">
        <f>'13c_donnees'!C11-'13c_donnees'!C5+'13c_donnees'!C6+'13c_donnees'!C7</f>
        <v/>
      </c>
      <c r="C24" s="29">
        <f>'13c_donnees'!D11-'13c_donnees'!D5+'13c_donnees'!D6+'13c_donnees'!D7</f>
        <v/>
      </c>
      <c r="D24" s="29">
        <f>'13c_donnees'!E11-'13c_donnees'!E5+'13c_donnees'!E6+'13c_donnees'!E7</f>
        <v/>
      </c>
      <c r="E24" s="29">
        <f>'13c_donnees'!F11-'13c_donnees'!F5+'13c_donnees'!F6+'13c_donnees'!F7</f>
        <v/>
      </c>
      <c r="F24" s="29">
        <f>'13c_donnees'!G11-'13c_donnees'!G5+'13c_donnees'!G6+'13c_donnees'!G7</f>
        <v/>
      </c>
      <c r="G24" s="29">
        <f>'13c_donnees'!H11-'13c_donnees'!H5+'13c_donnees'!H6+'13c_donnees'!H7</f>
        <v/>
      </c>
      <c r="H24" s="29">
        <f>'13c_donnees'!I11-'13c_donnees'!I5+'13c_donnees'!I6+'13c_donnees'!I7</f>
        <v/>
      </c>
    </row>
    <row r="25" ht="30" customHeight="1">
      <c r="A25" s="9" t="inlineStr">
        <is>
          <t>A en % des cotisations</t>
        </is>
      </c>
      <c r="B25" s="33">
        <f>('13c_donnees'!C11-'13c_donnees'!C5+'13c_donnees'!C6+'13c_donnees'!C7)/'13c_donnees'!C5</f>
        <v/>
      </c>
      <c r="C25" s="33">
        <f>('13c_donnees'!D11-'13c_donnees'!D5+'13c_donnees'!D6+'13c_donnees'!D7)/'13c_donnees'!D5</f>
        <v/>
      </c>
      <c r="D25" s="33">
        <f>('13c_donnees'!E11-'13c_donnees'!E5+'13c_donnees'!E6+'13c_donnees'!E7)/'13c_donnees'!E5</f>
        <v/>
      </c>
      <c r="E25" s="33">
        <f>('13c_donnees'!F11-'13c_donnees'!F5+'13c_donnees'!F6+'13c_donnees'!F7)/'13c_donnees'!F5</f>
        <v/>
      </c>
      <c r="F25" s="33">
        <f>('13c_donnees'!G11-'13c_donnees'!G5+'13c_donnees'!G6+'13c_donnees'!G7)/'13c_donnees'!G5</f>
        <v/>
      </c>
      <c r="G25" s="33">
        <f>('13c_donnees'!H11-'13c_donnees'!H5+'13c_donnees'!H6+'13c_donnees'!H7)/'13c_donnees'!H5</f>
        <v/>
      </c>
      <c r="H25" s="33">
        <f>('13c_donnees'!I11-'13c_donnees'!I5+'13c_donnees'!I6+'13c_donnees'!I7)/'13c_donnees'!I5</f>
        <v/>
      </c>
    </row>
    <row r="26" ht="30" customHeight="1">
      <c r="A26" s="9" t="inlineStr">
        <is>
          <t>Seuil maximal de A pour respecter ensemble SIN, CUP et EXN (en % des cotisations)</t>
        </is>
      </c>
      <c r="B26" s="32">
        <f>'13b_parametres'!$D$10-1+'13b_parametres'!$D$5*(1+'13b_parametres'!$D$18)</f>
        <v/>
      </c>
      <c r="C26" s="32">
        <f>'13b_parametres'!$D$10-1+'13b_parametres'!$D$5*(1+'13b_parametres'!$D$18)</f>
        <v/>
      </c>
      <c r="D26" s="32">
        <f>'13b_parametres'!$D$10-1+'13b_parametres'!$D$5*(1+'13b_parametres'!$D$18)</f>
        <v/>
      </c>
      <c r="E26" s="32">
        <f>'13b_parametres'!$D$10-1+'13b_parametres'!$D$5*(1+'13b_parametres'!$D$18)</f>
        <v/>
      </c>
      <c r="F26" s="32">
        <f>'13b_parametres'!$D$10-1+'13b_parametres'!$D$5*(1+'13b_parametres'!$D$18)</f>
        <v/>
      </c>
      <c r="G26" s="32">
        <f>'13b_parametres'!$D$10-1+'13b_parametres'!$D$5*(1+'13b_parametres'!$D$18)</f>
        <v/>
      </c>
      <c r="H26" s="32">
        <f>'13b_parametres'!$D$10-1+'13b_parametres'!$D$5*(1+'13b_parametres'!$D$18)</f>
        <v/>
      </c>
    </row>
    <row r="27" ht="30" customHeight="1">
      <c r="A27" s="9" t="inlineStr">
        <is>
          <t>Normes de flux conciliables ?</t>
        </is>
      </c>
      <c r="B27" s="86">
        <f>IF(B24&lt;=B25,"Oui","Non")</f>
        <v/>
      </c>
      <c r="C27" s="86">
        <f>IF(C24&lt;=C25,"Oui","Non")</f>
        <v/>
      </c>
      <c r="D27" s="86">
        <f>IF(D24&lt;=D25,"Oui","Non")</f>
        <v/>
      </c>
      <c r="E27" s="86">
        <f>IF(E24&lt;=E25,"Oui","Non")</f>
        <v/>
      </c>
      <c r="F27" s="86">
        <f>IF(F24&lt;=F25,"Oui","Non")</f>
        <v/>
      </c>
      <c r="G27" s="86">
        <f>IF(G24&lt;=G25,"Oui","Non")</f>
        <v/>
      </c>
      <c r="H27" s="86">
        <f>IF(H24&lt;=H25,"Oui","Non")</f>
        <v/>
      </c>
    </row>
    <row r="28" ht="30" customHeight="1">
      <c r="A28" s="9" t="inlineStr">
        <is>
          <t>Exercices pour constituer 6 mois de réserve avec l'excédent maximal autorisé (5 %), à SIN constant</t>
        </is>
      </c>
      <c r="B28" s="37">
        <f>'13b_parametres'!$C$6/12*'13c_donnees'!C6/('13b_parametres'!$D$10*'13c_donnees'!C5)</f>
        <v/>
      </c>
      <c r="C28" s="37">
        <f>'13b_parametres'!$C$6/12*'13c_donnees'!D6/('13b_parametres'!$D$10*'13c_donnees'!D5)</f>
        <v/>
      </c>
      <c r="D28" s="37">
        <f>'13b_parametres'!$C$6/12*'13c_donnees'!E6/('13b_parametres'!$D$10*'13c_donnees'!E5)</f>
        <v/>
      </c>
      <c r="E28" s="37">
        <f>'13b_parametres'!$C$6/12*'13c_donnees'!F6/('13b_parametres'!$D$10*'13c_donnees'!F5)</f>
        <v/>
      </c>
      <c r="F28" s="37">
        <f>'13b_parametres'!$C$6/12*'13c_donnees'!G6/('13b_parametres'!$D$10*'13c_donnees'!G5)</f>
        <v/>
      </c>
      <c r="G28" s="37">
        <f>'13b_parametres'!$C$6/12*'13c_donnees'!H6/('13b_parametres'!$D$10*'13c_donnees'!H5)</f>
        <v/>
      </c>
      <c r="H28" s="37">
        <f>'13b_parametres'!$C$6/12*'13c_donnees'!I6/('13b_parametres'!$D$10*'13c_donnees'!I5)</f>
        <v/>
      </c>
    </row>
  </sheetData>
  <mergeCells count="1">
    <mergeCell ref="A2:L2"/>
  </mergeCells>
  <conditionalFormatting sqref="A1:O2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2026-10-22T21:45:40Z</dcterms:created>
  <dcterms:modified xmlns:dcterms="http://purl.org/dc/terms/" xmlns:xsi="http://www.w3.org/2001/XMLSchema-instance" xsi:type="dcterms:W3CDTF">2026-10-22T21:47:10Z</dcterms:modified>
</cp:coreProperties>
</file>