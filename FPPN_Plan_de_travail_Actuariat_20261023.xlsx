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T_Actuariat" sheetId="1" state="visible" r:id="rId1"/>
    <sheet xmlns:r="http://schemas.openxmlformats.org/officeDocument/2006/relationships" name="Synthèse-PT_Actuariat" sheetId="2" state="visible" r:id="rId2"/>
    <sheet xmlns:r="http://schemas.openxmlformats.org/officeDocument/2006/relationships" name="Documents attendus" sheetId="3" state="visible" r:id="rId3"/>
    <sheet xmlns:r="http://schemas.openxmlformats.org/officeDocument/2006/relationships" name="Mode d'emploi" sheetId="4" state="visible" r:id="rId4"/>
  </sheets>
  <definedNames>
    <definedName name="_xlnm.Print_Titles" localSheetId="0">'PT_Actuariat'!$4:$6</definedName>
    <definedName name="_xlnm.Print_Area" localSheetId="0">'PT_Actuariat'!$A$1:$M$65</definedName>
    <definedName name="_xlnm._FilterDatabase" localSheetId="2" hidden="1">'Documents attendus'!$A$4:$E$35</definedName>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Helvetica"/>
      <b val="1"/>
      <color rgb="FF060606"/>
      <sz val="14"/>
    </font>
    <font>
      <name val="Helvetica"/>
      <i val="1"/>
      <color rgb="FF53565A"/>
      <sz val="9"/>
    </font>
    <font>
      <name val="Helvetica"/>
      <b val="1"/>
      <color rgb="FF060606"/>
      <sz val="10"/>
    </font>
    <font>
      <name val="Helvetica"/>
      <b val="1"/>
      <color rgb="FFFFFFFF"/>
      <sz val="10"/>
    </font>
    <font>
      <name val="Helvetica"/>
      <i val="1"/>
      <color rgb="FFFFFFFF"/>
      <sz val="9"/>
    </font>
    <font>
      <name val="Helvetica"/>
      <color rgb="FF060606"/>
      <sz val="10"/>
    </font>
    <font>
      <name val="Helvetica"/>
      <color rgb="FF060606"/>
      <sz val="9"/>
    </font>
    <font>
      <name val="Helvetica"/>
      <b val="1"/>
      <color rgb="FF060606"/>
      <sz val="11"/>
    </font>
    <font>
      <name val="Helvetica"/>
      <b val="1"/>
      <color rgb="FF060606"/>
      <sz val="12"/>
    </font>
    <font>
      <name val="Helvetica"/>
      <i val="1"/>
      <color rgb="FF53565A"/>
      <sz val="8"/>
    </font>
  </fonts>
  <fills count="12">
    <fill>
      <patternFill/>
    </fill>
    <fill>
      <patternFill patternType="gray125"/>
    </fill>
    <fill>
      <patternFill patternType="solid">
        <fgColor rgb="FFCCCCCC"/>
      </patternFill>
    </fill>
    <fill>
      <patternFill patternType="solid">
        <fgColor rgb="FFEFAC62"/>
      </patternFill>
    </fill>
    <fill>
      <patternFill patternType="solid"/>
    </fill>
    <fill>
      <patternFill patternType="solid">
        <fgColor rgb="FF53565A"/>
      </patternFill>
    </fill>
    <fill>
      <patternFill patternType="solid">
        <fgColor rgb="FFBBBCBC"/>
      </patternFill>
    </fill>
    <fill>
      <patternFill patternType="solid">
        <fgColor rgb="FF060606"/>
      </patternFill>
    </fill>
    <fill>
      <patternFill patternType="solid">
        <fgColor rgb="FFFFFFFF"/>
      </patternFill>
    </fill>
    <fill>
      <patternFill patternType="solid">
        <fgColor rgb="FFE8E8E8"/>
      </patternFill>
    </fill>
    <fill>
      <patternFill patternType="solid">
        <fgColor rgb="FF112A40"/>
      </patternFill>
    </fill>
    <fill>
      <patternFill patternType="solid">
        <fgColor rgb="FFC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8">
    <xf numFmtId="0" fontId="0" fillId="0" borderId="0" pivotButton="0" quotePrefix="0" xfId="0"/>
    <xf numFmtId="0" fontId="3" fillId="3" borderId="1" applyAlignment="1" pivotButton="0" quotePrefix="0" xfId="0">
      <alignment horizontal="center" vertical="center" wrapText="1"/>
    </xf>
    <xf numFmtId="9" fontId="9" fillId="2" borderId="1" applyAlignment="1" pivotButton="0" quotePrefix="0" xfId="0">
      <alignment horizontal="center" vertical="center" wrapText="1"/>
    </xf>
    <xf numFmtId="0" fontId="4" fillId="4" borderId="1" applyAlignment="1" pivotButton="0" quotePrefix="0" xfId="0">
      <alignment horizontal="center" vertical="center" wrapText="1"/>
    </xf>
    <xf numFmtId="1"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2" fontId="4" fillId="7" borderId="1" applyAlignment="1" pivotButton="0" quotePrefix="0" xfId="0">
      <alignment horizontal="center" vertical="center" wrapText="1"/>
    </xf>
    <xf numFmtId="14" fontId="4" fillId="7" borderId="1" applyAlignment="1" pivotButton="0" quotePrefix="0" xfId="0">
      <alignment horizontal="center" vertical="center" wrapText="1"/>
    </xf>
    <xf numFmtId="0" fontId="4" fillId="7" borderId="1" applyAlignment="1" pivotButton="0" quotePrefix="0" xfId="0">
      <alignment horizontal="center" vertical="center" wrapText="1"/>
    </xf>
    <xf numFmtId="9" fontId="4" fillId="7" borderId="1" applyAlignment="1" pivotButton="0" quotePrefix="0" xfId="0">
      <alignment horizontal="center" vertical="center" wrapText="1"/>
    </xf>
    <xf numFmtId="49"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left" vertical="center" wrapText="1"/>
    </xf>
    <xf numFmtId="2" fontId="6" fillId="8" borderId="1" applyAlignment="1" pivotButton="0" quotePrefix="0" xfId="0">
      <alignment horizontal="center" vertical="center" wrapText="1"/>
    </xf>
    <xf numFmtId="14" fontId="6" fillId="8" borderId="1" applyAlignment="1" pivotButton="0" quotePrefix="0" xfId="0">
      <alignment horizontal="center" vertical="center" wrapText="1"/>
    </xf>
    <xf numFmtId="0" fontId="3" fillId="8" borderId="1" applyAlignment="1" pivotButton="0" quotePrefix="0" xfId="0">
      <alignment horizontal="center" vertical="center" wrapText="1"/>
    </xf>
    <xf numFmtId="9" fontId="3" fillId="8" borderId="1" applyAlignment="1" pivotButton="0" quotePrefix="0" xfId="0">
      <alignment horizontal="center" vertical="center" wrapText="1"/>
    </xf>
    <xf numFmtId="49"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6" fillId="9" borderId="1" applyAlignment="1" pivotButton="0" quotePrefix="0" xfId="0">
      <alignment horizontal="center" vertical="center" wrapText="1"/>
    </xf>
    <xf numFmtId="0" fontId="7" fillId="9" borderId="1" applyAlignment="1" pivotButton="0" quotePrefix="0" xfId="0">
      <alignment horizontal="left" vertical="center" wrapText="1"/>
    </xf>
    <xf numFmtId="2" fontId="6" fillId="9" borderId="1" applyAlignment="1" pivotButton="0" quotePrefix="0" xfId="0">
      <alignment horizontal="center" vertical="center" wrapText="1"/>
    </xf>
    <xf numFmtId="14" fontId="6" fillId="9" borderId="1" applyAlignment="1" pivotButton="0" quotePrefix="0" xfId="0">
      <alignment horizontal="center" vertical="center" wrapText="1"/>
    </xf>
    <xf numFmtId="0" fontId="3" fillId="9" borderId="1" applyAlignment="1" pivotButton="0" quotePrefix="0" xfId="0">
      <alignment horizontal="center" vertical="center" wrapText="1"/>
    </xf>
    <xf numFmtId="9" fontId="3" fillId="9" borderId="1" applyAlignment="1" pivotButton="0" quotePrefix="0" xfId="0">
      <alignment horizontal="center" vertical="center" wrapText="1"/>
    </xf>
    <xf numFmtId="0" fontId="8" fillId="2" borderId="1" applyAlignment="1" pivotButton="0" quotePrefix="0" xfId="0">
      <alignment horizontal="left" vertical="center" wrapText="1"/>
    </xf>
    <xf numFmtId="2" fontId="8" fillId="2" borderId="1" applyAlignment="1" pivotButton="0" quotePrefix="0" xfId="0">
      <alignment horizontal="center" vertical="center" wrapText="1"/>
    </xf>
    <xf numFmtId="14" fontId="8" fillId="2" borderId="1" applyAlignment="1" pivotButton="0" quotePrefix="0" xfId="0">
      <alignment horizontal="center" vertical="center" wrapText="1"/>
    </xf>
    <xf numFmtId="0" fontId="8" fillId="2" borderId="1" applyAlignment="1" pivotButton="0" quotePrefix="0" xfId="0">
      <alignment horizontal="center" vertical="center" wrapText="1"/>
    </xf>
    <xf numFmtId="9" fontId="8" fillId="2" borderId="1" applyAlignment="1" pivotButton="0" quotePrefix="0" xfId="0">
      <alignment horizontal="center" vertical="center" wrapText="1"/>
    </xf>
    <xf numFmtId="0" fontId="3" fillId="0" borderId="0" pivotButton="0" quotePrefix="0" xfId="0"/>
    <xf numFmtId="0" fontId="0" fillId="10" borderId="1" pivotButton="0" quotePrefix="0" xfId="0"/>
    <xf numFmtId="0" fontId="7" fillId="0" borderId="0" pivotButton="0" quotePrefix="0" xfId="0"/>
    <xf numFmtId="0" fontId="0" fillId="5" borderId="1" pivotButton="0" quotePrefix="0" xfId="0"/>
    <xf numFmtId="0" fontId="0" fillId="11" borderId="1" pivotButton="0" quotePrefix="0" xfId="0"/>
    <xf numFmtId="0" fontId="0" fillId="3" borderId="1" pivotButton="0" quotePrefix="0" xfId="0"/>
    <xf numFmtId="0" fontId="0" fillId="9" borderId="1" pivotButton="0" quotePrefix="0" xfId="0"/>
    <xf numFmtId="0" fontId="10" fillId="0" borderId="0" pivotButton="0" quotePrefix="0" xfId="0"/>
    <xf numFmtId="0" fontId="1" fillId="0" borderId="0" pivotButton="0" quotePrefix="0" xfId="0"/>
    <xf numFmtId="0" fontId="2" fillId="0" borderId="0" pivotButton="0" quotePrefix="0" xfId="0"/>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2" borderId="1" applyAlignment="1" pivotButton="0" quotePrefix="0" xfId="0">
      <alignment horizontal="left" vertical="center" wrapText="1"/>
    </xf>
    <xf numFmtId="2" fontId="6" fillId="8" borderId="1" applyAlignment="1" pivotButton="0" quotePrefix="0" xfId="0">
      <alignment horizontal="right" vertical="center" wrapText="1"/>
    </xf>
    <xf numFmtId="9" fontId="6" fillId="8" borderId="1" applyAlignment="1" pivotButton="0" quotePrefix="0" xfId="0">
      <alignment horizontal="right" vertical="center" wrapText="1"/>
    </xf>
    <xf numFmtId="1" fontId="6" fillId="8" borderId="1" applyAlignment="1" pivotButton="0" quotePrefix="0" xfId="0">
      <alignment horizontal="right" vertical="center" wrapText="1"/>
    </xf>
    <xf numFmtId="2" fontId="6" fillId="9" borderId="1" applyAlignment="1" pivotButton="0" quotePrefix="0" xfId="0">
      <alignment horizontal="right" vertical="center" wrapText="1"/>
    </xf>
    <xf numFmtId="9" fontId="6" fillId="9" borderId="1" applyAlignment="1" pivotButton="0" quotePrefix="0" xfId="0">
      <alignment horizontal="right" vertical="center" wrapText="1"/>
    </xf>
    <xf numFmtId="1" fontId="6" fillId="9" borderId="1" applyAlignment="1" pivotButton="0" quotePrefix="0" xfId="0">
      <alignment horizontal="right" vertical="center" wrapText="1"/>
    </xf>
    <xf numFmtId="2" fontId="3" fillId="2" borderId="1" applyAlignment="1" pivotButton="0" quotePrefix="0" xfId="0">
      <alignment horizontal="right" vertical="center" wrapText="1"/>
    </xf>
    <xf numFmtId="9" fontId="3" fillId="2" borderId="1" applyAlignment="1" pivotButton="0" quotePrefix="0" xfId="0">
      <alignment horizontal="right" vertical="center" wrapText="1"/>
    </xf>
    <xf numFmtId="1" fontId="3" fillId="2" borderId="1" applyAlignment="1" pivotButton="0" quotePrefix="0" xfId="0">
      <alignment horizontal="right" vertical="center" wrapText="1"/>
    </xf>
    <xf numFmtId="1"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6" fillId="4" borderId="1" applyAlignment="1" pivotButton="0" quotePrefix="0" xfId="0">
      <alignment horizontal="left" vertical="center" wrapText="1"/>
    </xf>
    <xf numFmtId="0" fontId="6"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0" fillId="0" borderId="1" pivotButton="0" quotePrefix="0" xfId="0"/>
    <xf numFmtId="0" fontId="1" fillId="0" borderId="0" applyAlignment="1" pivotButton="0" quotePrefix="0" xfId="0">
      <alignment vertical="center"/>
    </xf>
    <xf numFmtId="0" fontId="0" fillId="0" borderId="0" pivotButton="0" quotePrefix="0" xfId="0"/>
    <xf numFmtId="0" fontId="7" fillId="8" borderId="1"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cellStyles>
  <dxfs count="16">
    <dxf>
      <font>
        <color rgb="FF9C0006"/>
      </font>
      <fill>
        <patternFill>
          <bgColor rgb="FFFFC7CE"/>
        </patternFill>
      </fill>
    </dxf>
    <dxf>
      <font>
        <color theme="1"/>
      </font>
      <fill>
        <patternFill>
          <bgColor theme="5" tint="0.5999633777886288"/>
        </patternFill>
      </fill>
    </dxf>
    <dxf>
      <font>
        <color rgb="FF006100"/>
      </font>
      <fill>
        <patternFill>
          <bgColor rgb="FFC6EFCE"/>
        </patternFill>
      </fill>
    </dxf>
    <dxf>
      <font>
        <color theme="1"/>
      </font>
      <fill>
        <patternFill>
          <bgColor theme="9" tint="0.5999633777886288"/>
        </patternFill>
      </fill>
    </dxf>
    <dxf>
      <font>
        <color rgb="FF006100"/>
      </font>
      <fill>
        <patternFill>
          <bgColor rgb="FFC6EFCE"/>
        </patternFill>
      </fill>
    </dxf>
    <dxf>
      <font>
        <color theme="1"/>
      </font>
      <fill>
        <patternFill>
          <bgColor theme="5" tint="0.5999633777886288"/>
        </patternFill>
      </fill>
    </dxf>
    <dxf>
      <font>
        <color rgb="FF9C0006"/>
      </font>
      <fill>
        <patternFill>
          <bgColor rgb="FFFFC7CE"/>
        </patternFill>
      </fill>
    </dxf>
    <dxf>
      <font>
        <name val="Helvetica"/>
        <b val="1"/>
        <color rgb="FF060606"/>
      </font>
      <fill>
        <patternFill patternType="solid">
          <fgColor rgb="FFBBBCBC"/>
        </patternFill>
      </fill>
    </dxf>
    <dxf>
      <font>
        <name val="Helvetica"/>
        <b val="1"/>
        <color rgb="FFFFFFFF"/>
      </font>
      <fill>
        <patternFill patternType="solid">
          <fgColor rgb="FFC00000"/>
        </patternFill>
      </fill>
    </dxf>
    <dxf>
      <font>
        <name val="Helvetica"/>
        <b val="1"/>
        <color rgb="FF060606"/>
      </font>
      <fill>
        <patternFill patternType="solid">
          <fgColor rgb="FFEFAC62"/>
        </patternFill>
      </fill>
    </dxf>
    <dxf>
      <font>
        <name val="Helvetica"/>
        <b val="1"/>
        <color rgb="FFFFFFFF"/>
      </font>
      <fill>
        <patternFill patternType="solid">
          <fgColor rgb="FF112A40"/>
        </patternFill>
      </fill>
    </dxf>
    <dxf>
      <font>
        <name val="Helvetica"/>
        <b val="1"/>
        <color rgb="FF060606"/>
      </font>
      <fill>
        <patternFill patternType="solid">
          <fgColor rgb="FFBBBCBC"/>
        </patternFill>
      </fill>
    </dxf>
    <dxf>
      <font>
        <name val="Helvetica"/>
        <b val="1"/>
        <color rgb="FFFFFFFF"/>
      </font>
      <fill>
        <patternFill patternType="solid">
          <fgColor rgb="FFC00000"/>
        </patternFill>
      </fill>
    </dxf>
    <dxf>
      <font>
        <name val="Helvetica"/>
        <b val="1"/>
        <color rgb="FF060606"/>
      </font>
      <fill>
        <patternFill patternType="solid">
          <fgColor rgb="FFEFAC62"/>
        </patternFill>
      </fill>
    </dxf>
    <dxf>
      <font>
        <name val="Helvetica"/>
        <b val="1"/>
        <color rgb="FFFFFFFF"/>
      </font>
      <fill>
        <patternFill patternType="solid">
          <fgColor rgb="FF112A40"/>
        </patternFill>
      </fill>
    </dxf>
    <dxf>
      <font>
        <name val="Helvetica"/>
        <b val="1"/>
        <color rgb="FF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plotArea>
      <barChart>
        <barDir val="bar"/>
        <grouping val="clustered"/>
        <ser>
          <idx val="0"/>
          <order val="0"/>
          <tx>
            <strRef>
              <f>'Synthèse-PT_Actuariat'!F4</f>
            </strRef>
          </tx>
          <spPr>
            <a:solidFill xmlns:a="http://schemas.openxmlformats.org/drawingml/2006/main">
              <a:srgbClr val="EFAC62"/>
            </a:solidFill>
            <a:ln xmlns:a="http://schemas.openxmlformats.org/drawingml/2006/main">
              <a:solidFill>
                <a:srgbClr val="EFAC62"/>
              </a:solidFill>
              <a:prstDash val="solid"/>
            </a:ln>
          </spPr>
          <cat>
            <numRef>
              <f>'Synthèse-PT_Actuariat'!$A$5:$A$12</f>
            </numRef>
          </cat>
          <val>
            <numRef>
              <f>'Synthèse-PT_Actuariat'!$F$5:$F$12</f>
            </numRef>
          </val>
        </ser>
        <dLbls>
          <numFmt formatCode="0%"/>
          <showLegendKey val="0"/>
          <showVal val="1"/>
          <showCatName val="0"/>
          <showSerName val="0"/>
          <showPercent val="0"/>
        </dLbls>
        <gapWidth val="150"/>
        <axId val="10"/>
        <axId val="100"/>
      </barChart>
      <catAx>
        <axId val="10"/>
        <scaling>
          <orientation val="maxMin"/>
        </scaling>
        <axPos val="l"/>
        <majorTickMark val="none"/>
        <minorTickMark val="none"/>
        <crossAx val="100"/>
        <lblOffset val="100"/>
      </catAx>
      <valAx>
        <axId val="100"/>
        <scaling>
          <orientation val="minMax"/>
          <max val="1"/>
          <min val="0"/>
        </scaling>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16</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112A40"/>
    <outlinePr summaryBelow="1" summaryRight="1"/>
    <pageSetUpPr fitToPage="1"/>
  </sheetPr>
  <dimension ref="A1:M65"/>
  <sheetViews>
    <sheetView showGridLines="0" tabSelected="1" zoomScale="70" zoomScaleNormal="70" workbookViewId="0">
      <pane xSplit="2" ySplit="6" topLeftCell="D7" activePane="bottomRight" state="frozen"/>
      <selection activeCell="E66" sqref="E66"/>
      <selection pane="topRight" activeCell="E66" sqref="E66"/>
      <selection pane="bottomLeft" activeCell="E66" sqref="E66"/>
      <selection pane="bottomRight" activeCell="O10" sqref="O10"/>
    </sheetView>
  </sheetViews>
  <sheetFormatPr baseColWidth="10" defaultColWidth="8.88671875" defaultRowHeight="14.4"/>
  <cols>
    <col width="6" customWidth="1" style="62" min="1" max="1"/>
    <col width="58" customWidth="1" style="62" min="2" max="2"/>
    <col hidden="1" width="15" customWidth="1" style="62" min="3" max="3"/>
    <col width="24" customWidth="1" style="62" min="4" max="4"/>
    <col width="32" customWidth="1" style="62" min="5" max="5"/>
    <col width="58" customWidth="1" style="62" min="6" max="6"/>
    <col width="12" customWidth="1" style="62" min="7" max="8"/>
    <col width="12.109375" bestFit="1" customWidth="1" style="62" min="9" max="9"/>
    <col width="11.6640625" bestFit="1" customWidth="1" style="62" min="10" max="10"/>
    <col width="13" customWidth="1" style="62" min="11" max="11"/>
    <col width="12" customWidth="1" style="62" min="12" max="13"/>
  </cols>
  <sheetData>
    <row r="1" ht="25.95" customHeight="1" s="62">
      <c r="A1" s="61" t="inlineStr">
        <is>
          <t>PLAN DE TRAVAIL : AUDIT DU FPPN, 2020 AU 31 AOÛT 2026, VOLET ACTUARIEL ET STATISTIQUE</t>
        </is>
      </c>
    </row>
    <row r="2" ht="30" customHeight="1" s="62">
      <c r="A2" s="64" t="inlineStr">
        <is>
          <t>Pointage au 23/10/2026. Taux de réalisation pondérés par le temps estimé du scénario choisi ci-contre (cellule orange).</t>
        </is>
      </c>
      <c r="E2" s="65" t="inlineStr">
        <is>
          <t>Scénario de pondération</t>
        </is>
      </c>
      <c r="F2" s="1" t="inlineStr">
        <is>
          <t>Données dégradées</t>
        </is>
      </c>
      <c r="K2" s="65" t="inlineStr">
        <is>
          <t>Taux de la mission</t>
        </is>
      </c>
      <c r="L2" s="2">
        <f>L56</f>
        <v/>
      </c>
    </row>
    <row r="4" ht="18" customHeight="1" s="62">
      <c r="A4" s="59" t="inlineStr">
        <is>
          <t>N°</t>
        </is>
      </c>
      <c r="B4" s="59" t="inlineStr">
        <is>
          <t>Description des activités</t>
        </is>
      </c>
      <c r="C4" s="59" t="inlineStr">
        <is>
          <t>Fait par</t>
        </is>
      </c>
      <c r="D4" s="59" t="inlineStr">
        <is>
          <t>Interlocuteurs FPPN</t>
        </is>
      </c>
      <c r="E4" s="59" t="inlineStr">
        <is>
          <t>Livrables</t>
        </is>
      </c>
      <c r="F4" s="59" t="inlineStr">
        <is>
          <t>Observations et pièces justificatives (pointage au 23/10/2026)</t>
        </is>
      </c>
      <c r="G4" s="59" t="inlineStr">
        <is>
          <t>Temps estimé, données correctes (j)</t>
        </is>
      </c>
      <c r="H4" s="59" t="inlineStr">
        <is>
          <t>Temps estimé, données dégradées (j)</t>
        </is>
      </c>
      <c r="I4" s="59" t="inlineStr">
        <is>
          <t>Début prévu</t>
        </is>
      </c>
      <c r="J4" s="59" t="inlineStr">
        <is>
          <t>Fin prévue</t>
        </is>
      </c>
      <c r="K4" s="59" t="inlineStr">
        <is>
          <t>Statut</t>
        </is>
      </c>
      <c r="L4" s="59" t="inlineStr">
        <is>
          <t>Taux de réalisation</t>
        </is>
      </c>
      <c r="M4" s="59" t="inlineStr">
        <is>
          <t>Temps réalisé équivalent (j)</t>
        </is>
      </c>
    </row>
    <row r="5" ht="30" customHeight="1" s="62">
      <c r="A5" s="66" t="n"/>
      <c r="B5" s="66" t="n"/>
      <c r="C5" s="66" t="n"/>
      <c r="D5" s="66" t="n"/>
      <c r="E5" s="66" t="n"/>
      <c r="F5" s="66" t="n"/>
      <c r="G5" s="66" t="n"/>
      <c r="H5" s="66" t="n"/>
      <c r="I5" s="66" t="n"/>
      <c r="J5" s="66" t="n"/>
      <c r="K5" s="66" t="n"/>
      <c r="L5" s="66" t="n"/>
      <c r="M5" s="66" t="n"/>
    </row>
    <row r="6" ht="30" customHeight="1" s="62">
      <c r="A6" s="67" t="n"/>
      <c r="B6" s="67" t="n"/>
      <c r="C6" s="67" t="n"/>
      <c r="D6" s="67" t="n"/>
      <c r="E6" s="67" t="n"/>
      <c r="F6" s="67" t="n"/>
      <c r="G6" s="67" t="n"/>
      <c r="H6" s="67" t="n"/>
      <c r="I6" s="67" t="n"/>
      <c r="J6" s="67" t="n"/>
      <c r="K6" s="67" t="n"/>
      <c r="L6" s="67" t="n"/>
      <c r="M6" s="67" t="n"/>
    </row>
    <row r="7" ht="31.95" customHeight="1" s="62">
      <c r="A7" s="4" t="n">
        <v>1</v>
      </c>
      <c r="B7" s="5" t="inlineStr">
        <is>
          <t>Phase 1 : Cadrage : textes, garanties, règles de calcul</t>
        </is>
      </c>
      <c r="C7" s="5" t="n"/>
      <c r="D7" s="5" t="n"/>
      <c r="E7" s="5" t="n"/>
      <c r="F7" s="6" t="inlineStr">
        <is>
          <t>Estimation : Lire les statuts et les règles de chaque prestation, puis fixer les hypothèses.</t>
        </is>
      </c>
      <c r="G7" s="7">
        <f>SUM(G8:G12)</f>
        <v/>
      </c>
      <c r="H7" s="7">
        <f>SUM(H8:H12)</f>
        <v/>
      </c>
      <c r="I7" s="8">
        <f>MIN(I8:I12)</f>
        <v/>
      </c>
      <c r="J7" s="8">
        <f>MAX(J8:J12)</f>
        <v/>
      </c>
      <c r="K7" s="9">
        <f>IF(L7&gt;=1,"Effectuée",IF(AND(L7=0,COUNTIF(K8:K12,"Bloquée")&gt;0),"Bloquée",IF(L7=0,"Non réalisée","En cours")))</f>
        <v/>
      </c>
      <c r="L7" s="10">
        <f>IFERROR(M7/IF($F$2="Données correctes",G7,H7),0)</f>
        <v/>
      </c>
      <c r="M7" s="7">
        <f>SUM(M8:M12)</f>
        <v/>
      </c>
    </row>
    <row r="8" ht="43.05" customHeight="1" s="62">
      <c r="A8" s="11" t="inlineStr">
        <is>
          <t>1.1</t>
        </is>
      </c>
      <c r="B8" s="12" t="inlineStr">
        <is>
          <t>Réunion de lancement : présentation de l'équipe et de la démarche, périmètre (01/01/2020 au 31/08/2026) et quatre questions de la mission</t>
        </is>
      </c>
      <c r="C8" s="13" t="inlineStr">
        <is>
          <t>Actuaire Adenka</t>
        </is>
      </c>
      <c r="D8" s="12" t="inlineStr">
        <is>
          <t>Direction générale, DAF</t>
        </is>
      </c>
      <c r="E8" s="63" t="inlineStr">
        <is>
          <t>- Comptes rendus de la réunion de lancement
- PBC actuarielle pointée
- Guides, comptes rendus et notes d'entretiens
- Hypothèses retenues (tables, taux, inflation)</t>
        </is>
      </c>
      <c r="F8" s="14" t="inlineStr">
        <is>
          <t>Comptes rendus des 13 et 14/10/2026 (FPPN_CR_reunion_de_lancement_Adenka_20261013.pptx, FPPN_Compte_rendu_reunion_de_lancement_20261014.pptx).</t>
        </is>
      </c>
      <c r="G8" s="15" t="n">
        <v>0.25</v>
      </c>
      <c r="H8" s="15" t="n">
        <v>0.25</v>
      </c>
      <c r="I8" s="16" t="n">
        <v>46308</v>
      </c>
      <c r="J8" s="16" t="n">
        <v>46309</v>
      </c>
      <c r="K8" s="17" t="inlineStr">
        <is>
          <t>Effectuée</t>
        </is>
      </c>
      <c r="L8" s="18" t="n">
        <v>1</v>
      </c>
      <c r="M8" s="15">
        <f>IF($F$2="Données correctes",G8,H8)*L8</f>
        <v/>
      </c>
    </row>
    <row r="9" ht="55.95" customHeight="1" s="62">
      <c r="A9" s="19" t="inlineStr">
        <is>
          <t>1.2</t>
        </is>
      </c>
      <c r="B9" s="20" t="inlineStr">
        <is>
          <t>Élaborer la liste des documents et données (PBC actuarielle), la compléter après chaque entretien et pointer les envois reçus (15/10/2026, lots 1 à 3)</t>
        </is>
      </c>
      <c r="C9" s="21" t="inlineStr">
        <is>
          <t>Actuaire Adenka</t>
        </is>
      </c>
      <c r="D9" s="20" t="inlineStr">
        <is>
          <t>Chef comptable, responsable des cotisations</t>
        </is>
      </c>
      <c r="E9" s="66" t="n"/>
      <c r="F9" s="22" t="inlineStr">
        <is>
          <t>PBC pointée au 23/10/2026 (FPPN_PBC_complete_pointee_20261023.xlsx) : 90 items après fusion des doublons, dont 6 reçus, 39 partiellement reçus et 45 non reçus. Questions et documents à transmettre (FPPN_Demandes_au_FPPN_20261023.xlsx : 26 questions, 84 documents). Reste : relances.</t>
        </is>
      </c>
      <c r="G9" s="23" t="n">
        <v>0.5</v>
      </c>
      <c r="H9" s="23" t="n">
        <v>0.75</v>
      </c>
      <c r="I9" s="24" t="n">
        <v>46309</v>
      </c>
      <c r="J9" s="24" t="n">
        <v>46325</v>
      </c>
      <c r="K9" s="25" t="inlineStr">
        <is>
          <t>En cours</t>
        </is>
      </c>
      <c r="L9" s="26" t="n">
        <v>0.8</v>
      </c>
      <c r="M9" s="23">
        <f>IF($F$2="Données correctes",G9,H9)*L9</f>
        <v/>
      </c>
    </row>
    <row r="10" ht="55.95" customHeight="1" s="62">
      <c r="A10" s="11" t="inlineStr">
        <is>
          <t>1.3</t>
        </is>
      </c>
      <c r="B10" s="12" t="inlineStr">
        <is>
          <t>Lire les statuts, le règlement intérieur, le cahier du régime des prestations sociales et les règles de chaque produit (maladie, décès, EFC, PEP, Grenier, flotte automobile, MEDOC)</t>
        </is>
      </c>
      <c r="C10" s="13" t="inlineStr">
        <is>
          <t>Actuaire Adenka</t>
        </is>
      </c>
      <c r="D10" s="12" t="inlineStr">
        <is>
          <t>Chef de service Assurance, sinistres et prestations</t>
        </is>
      </c>
      <c r="E10" s="66" t="n"/>
      <c r="F10" s="14" t="inlineStr">
        <is>
          <t>Rapport du 23/10/2026, diapositives 24 à 27 (cadre juridique, statuts et règlement intérieur, garanties et produits). Versions des statuts antérieures à 2023 non reçues. Item PBC attendu : 1.</t>
        </is>
      </c>
      <c r="G10" s="15" t="n">
        <v>0.5</v>
      </c>
      <c r="H10" s="15" t="n">
        <v>0.75</v>
      </c>
      <c r="I10" s="16" t="n">
        <v>46310</v>
      </c>
      <c r="J10" s="16" t="n">
        <v>46315</v>
      </c>
      <c r="K10" s="17" t="inlineStr">
        <is>
          <t>En cours</t>
        </is>
      </c>
      <c r="L10" s="18" t="n">
        <v>0.9</v>
      </c>
      <c r="M10" s="15">
        <f>IF($F$2="Données correctes",G10,H10)*L10</f>
        <v/>
      </c>
    </row>
    <row r="11" ht="69" customHeight="1" s="62">
      <c r="A11" s="19" t="inlineStr">
        <is>
          <t>1.4</t>
        </is>
      </c>
      <c r="B11" s="20" t="inlineStr">
        <is>
          <t>Préparer les guides d'entretien et conduire les entretiens : sinistres et prestations (16/10/2026) ; cotisations, placements et provisions (19/10/2026)</t>
        </is>
      </c>
      <c r="C11" s="21" t="inlineStr">
        <is>
          <t>Actuaire Adenka</t>
        </is>
      </c>
      <c r="D11" s="20" t="inlineStr">
        <is>
          <t>Chef de service Assurance, sinistres et prestations ; responsable des cotisations ; chef comptable</t>
        </is>
      </c>
      <c r="E11" s="66" t="n"/>
      <c r="F11" s="22" t="inlineStr">
        <is>
          <t>Guides (FPPN_Guides_entretiens_actuariat_20261016.xlsx et _20261019.xlsx) ; quatre comptes rendus et notes internes (dossier entretiens) ; demandes complémentaires ajoutées à la PBC.</t>
        </is>
      </c>
      <c r="G11" s="23" t="n">
        <v>0.5</v>
      </c>
      <c r="H11" s="23" t="n">
        <v>0.75</v>
      </c>
      <c r="I11" s="24" t="n">
        <v>46310</v>
      </c>
      <c r="J11" s="24" t="n">
        <v>46315</v>
      </c>
      <c r="K11" s="25" t="inlineStr">
        <is>
          <t>Effectuée</t>
        </is>
      </c>
      <c r="L11" s="26" t="n">
        <v>1</v>
      </c>
      <c r="M11" s="23">
        <f>IF($F$2="Données correctes",G11,H11)*L11</f>
        <v/>
      </c>
    </row>
    <row r="12" ht="82.05" customHeight="1" s="62">
      <c r="A12" s="11" t="inlineStr">
        <is>
          <t>1.5</t>
        </is>
      </c>
      <c r="B12" s="12" t="inlineStr">
        <is>
          <t>Fixer les hypothèses : tables de mortalité CIMA, taux d'actualisation (rendements de l'État de Côte d'Ivoire), inflation médicale (IHPC santé), âge de départ à la retraite, règles de calcul par garantie</t>
        </is>
      </c>
      <c r="C12" s="13" t="inlineStr">
        <is>
          <t>Actuaire Adenka</t>
        </is>
      </c>
      <c r="D12" s="12" t="inlineStr">
        <is>
          <t>Chef comptable</t>
        </is>
      </c>
      <c r="E12" s="67" t="n"/>
      <c r="F12" s="14" t="inlineStr">
        <is>
          <t>Tables retenues (rapport du 23/10/2026, diapositives 205 à 211). SMIG de 75 000 FCFA (décret n° 2022-986 du 21/12/2022) appliqué au plafond de l'indemnité de départ (diapositive 133). Rendements lus dans les grands livres (diapositive 153). Reste : âge de départ du personnel et hypothèses de projection (phase 7). Items PBC attendus : 13, 78.</t>
        </is>
      </c>
      <c r="G12" s="15" t="n">
        <v>0.25</v>
      </c>
      <c r="H12" s="15" t="n">
        <v>0.5</v>
      </c>
      <c r="I12" s="16" t="n">
        <v>46314</v>
      </c>
      <c r="J12" s="16" t="n">
        <v>46318</v>
      </c>
      <c r="K12" s="17" t="inlineStr">
        <is>
          <t>En cours</t>
        </is>
      </c>
      <c r="L12" s="18" t="n">
        <v>0.7</v>
      </c>
      <c r="M12" s="15">
        <f>IF($F$2="Données correctes",G12,H12)*L12</f>
        <v/>
      </c>
    </row>
    <row r="13" ht="31.95" customHeight="1" s="62">
      <c r="A13" s="4" t="n">
        <v>2</v>
      </c>
      <c r="B13" s="5" t="inlineStr">
        <is>
          <t>Phase 2 : Contrôle et rapprochement des données</t>
        </is>
      </c>
      <c r="C13" s="5" t="n"/>
      <c r="D13" s="5" t="n"/>
      <c r="E13" s="5" t="n"/>
      <c r="F13" s="6" t="inlineStr">
        <is>
          <t>Estimation : Les fichiers doivent coller avec la comptabilité. Le cas dégradé suppose des relances, des fichiers incomplets et des écarts à expliquer.</t>
        </is>
      </c>
      <c r="G13" s="7">
        <f>SUM(G14:G20)</f>
        <v/>
      </c>
      <c r="H13" s="7">
        <f>SUM(H14:H20)</f>
        <v/>
      </c>
      <c r="I13" s="8">
        <f>MIN(I14:I20)</f>
        <v/>
      </c>
      <c r="J13" s="8">
        <f>MAX(J14:J20)</f>
        <v/>
      </c>
      <c r="K13" s="9">
        <f>IF(L13&gt;=1,"Effectuée",IF(AND(L13=0,COUNTIF(K14:K20,"Bloquée")&gt;0),"Bloquée",IF(L13=0,"Non réalisée","En cours")))</f>
        <v/>
      </c>
      <c r="L13" s="10">
        <f>IFERROR(M13/IF($F$2="Données correctes",G13,H13),0)</f>
        <v/>
      </c>
      <c r="M13" s="7">
        <f>SUM(M14:M20)</f>
        <v/>
      </c>
    </row>
    <row r="14" ht="55.95" customHeight="1" s="62">
      <c r="A14" s="11" t="inlineStr">
        <is>
          <t>2.1</t>
        </is>
      </c>
      <c r="B14" s="12" t="inlineStr">
        <is>
          <t>Extraire et inventorier les fichiers reçus (envoi du 15/10/2026 et nouveaux fichiers du 22/10/2026)</t>
        </is>
      </c>
      <c r="C14" s="13" t="inlineStr">
        <is>
          <t>Actuaire Adenka</t>
        </is>
      </c>
      <c r="D14" s="12" t="inlineStr">
        <is>
          <t>Responsable des cotisations et informatique</t>
        </is>
      </c>
      <c r="E14" s="63" t="inlineStr">
        <is>
          <t>- Inventaire des fichiers reçus
- Partie 3 du rapport (données et qualité)
- Note sur les anomalies de données
- Onglets 1_ du classeur des calculs</t>
        </is>
      </c>
      <c r="F14" s="14" t="inlineStr">
        <is>
          <t>Extraction FPPN_extraction_20261018_1939.zip : 4 287 fichiers, journal journal_fichiers.csv. Envois du 22/10/2026 inventoriés. Fichiers vides ou endommagés recensés (rapport du 23/10/2026, diapositive 44).</t>
        </is>
      </c>
      <c r="G14" s="15" t="n">
        <v>0.5</v>
      </c>
      <c r="H14" s="15" t="n">
        <v>0.75</v>
      </c>
      <c r="I14" s="16" t="n">
        <v>46310</v>
      </c>
      <c r="J14" s="16" t="n">
        <v>46317</v>
      </c>
      <c r="K14" s="17" t="inlineStr">
        <is>
          <t>Effectuée</t>
        </is>
      </c>
      <c r="L14" s="18" t="n">
        <v>1</v>
      </c>
      <c r="M14" s="15">
        <f>IF($F$2="Données correctes",G14,H14)*L14</f>
        <v/>
      </c>
    </row>
    <row r="15" ht="43.05" customHeight="1" s="62">
      <c r="A15" s="19" t="inlineStr">
        <is>
          <t>2.2</t>
        </is>
      </c>
      <c r="B15" s="20" t="inlineStr">
        <is>
          <t>Contrôles de qualité : vrai format des fichiers, lignes de total, montants doublés, doublons, fichiers vides ou endommagés</t>
        </is>
      </c>
      <c r="C15" s="21" t="inlineStr">
        <is>
          <t>Actuaire Adenka</t>
        </is>
      </c>
      <c r="D15" s="20" t="n"/>
      <c r="E15" s="66" t="n"/>
      <c r="F15" s="22" t="inlineStr">
        <is>
          <t>Rapport du 23/10/2026, diapositives 37 à 45 (contrôles, qualité des bases variable par variable). Vérification indépendante des chiffres (FPPN_Verification_coherence_20261023.xlsx) : 506 feuilles de précomptes, 43 102 485 135 FCFA, 7 balances identiques.</t>
        </is>
      </c>
      <c r="G15" s="23" t="n">
        <v>0.75</v>
      </c>
      <c r="H15" s="23" t="n">
        <v>1.25</v>
      </c>
      <c r="I15" s="24" t="n">
        <v>46311</v>
      </c>
      <c r="J15" s="24" t="n">
        <v>46315</v>
      </c>
      <c r="K15" s="25" t="inlineStr">
        <is>
          <t>Effectuée</t>
        </is>
      </c>
      <c r="L15" s="26" t="n">
        <v>1</v>
      </c>
      <c r="M15" s="23">
        <f>IF($F$2="Données correctes",G15,H15)*L15</f>
        <v/>
      </c>
    </row>
    <row r="16" ht="43.05" customHeight="1" s="62">
      <c r="A16" s="11" t="inlineStr">
        <is>
          <t>2.3</t>
        </is>
      </c>
      <c r="B16" s="12" t="inlineStr">
        <is>
          <t>Rapprocher les fichiers aller et retour des précomptes (Solde, CGRAE, GNA) par poste et par mois</t>
        </is>
      </c>
      <c r="C16" s="13" t="inlineStr">
        <is>
          <t>Actuaire Adenka</t>
        </is>
      </c>
      <c r="D16" s="12" t="inlineStr">
        <is>
          <t>Responsable des cotisations</t>
        </is>
      </c>
      <c r="E16" s="66" t="n"/>
      <c r="F16" s="14" t="inlineStr">
        <is>
          <t>Rapport du 23/10/2026, diapositives 42 et 43 (rapprochement aller et retour, écarts du PEP) ; classeur FPPN_Calculs_rapport_20261023.xlsx, onglet 1_aller_retour.</t>
        </is>
      </c>
      <c r="G16" s="15" t="n">
        <v>0.5</v>
      </c>
      <c r="H16" s="15" t="n">
        <v>1</v>
      </c>
      <c r="I16" s="16" t="n">
        <v>46311</v>
      </c>
      <c r="J16" s="16" t="n">
        <v>46315</v>
      </c>
      <c r="K16" s="17" t="inlineStr">
        <is>
          <t>Effectuée</t>
        </is>
      </c>
      <c r="L16" s="18" t="n">
        <v>1</v>
      </c>
      <c r="M16" s="15">
        <f>IF($F$2="Données correctes",G16,H16)*L16</f>
        <v/>
      </c>
    </row>
    <row r="17" ht="55.95" customHeight="1" s="62">
      <c r="A17" s="19" t="inlineStr">
        <is>
          <t>2.4</t>
        </is>
      </c>
      <c r="B17" s="20" t="inlineStr">
        <is>
          <t>Mesurer la couverture de la période (2020 au 31/08/2026) par poste et par sens, et obtenir les précomptes manquants</t>
        </is>
      </c>
      <c r="C17" s="21" t="inlineStr">
        <is>
          <t>Actuaire Adenka</t>
        </is>
      </c>
      <c r="D17" s="20" t="inlineStr">
        <is>
          <t>Responsable des cotisations</t>
        </is>
      </c>
      <c r="E17" s="66" t="n"/>
      <c r="F17" s="22" t="inlineStr">
        <is>
          <t>Couverture mesurée de janvier 2020 à août 2026 (rapport du 23/10/2026, diapositive 39). Restent vides : fichiers maladie 936 et décès 8Z6 de décembre 2024. Fichier retour 9X4 de décembre 2024 manquant (diapositive 44). Items PBC attendus : 38, 39, 40.</t>
        </is>
      </c>
      <c r="G17" s="23" t="n">
        <v>0.5</v>
      </c>
      <c r="H17" s="23" t="n">
        <v>1.5</v>
      </c>
      <c r="I17" s="24" t="n">
        <v>46311</v>
      </c>
      <c r="J17" s="24" t="n">
        <v>46332</v>
      </c>
      <c r="K17" s="25" t="inlineStr">
        <is>
          <t>En cours</t>
        </is>
      </c>
      <c r="L17" s="26" t="n">
        <v>0.8</v>
      </c>
      <c r="M17" s="23">
        <f>IF($F$2="Données correctes",G17,H17)*L17</f>
        <v/>
      </c>
    </row>
    <row r="18" ht="69" customHeight="1" s="62">
      <c r="A18" s="11" t="inlineStr">
        <is>
          <t>2.5</t>
        </is>
      </c>
      <c r="B18" s="12" t="inlineStr">
        <is>
          <t>Rapprocher les cotisations, les prestations et l'épargne des fichiers avec la comptabilité (balances Sage 100)</t>
        </is>
      </c>
      <c r="C18" s="13" t="inlineStr">
        <is>
          <t>Actuaire Adenka</t>
        </is>
      </c>
      <c r="D18" s="12" t="inlineStr">
        <is>
          <t>Chef comptable</t>
        </is>
      </c>
      <c r="E18" s="66" t="n"/>
      <c r="F18" s="14" t="inlineStr">
        <is>
          <t>Cotisations comptabilisées et précomptées rapprochées (rapport du 23/10/2026, diapositive 59). Contrôles croisés états financiers, effectifs et rapprochements bancaires (diapositives 47 à 49). Reste : comptes individuels d'épargne. Items PBC attendus : 9.</t>
        </is>
      </c>
      <c r="G18" s="15" t="n">
        <v>1</v>
      </c>
      <c r="H18" s="15" t="n">
        <v>1.5</v>
      </c>
      <c r="I18" s="16" t="n">
        <v>46314</v>
      </c>
      <c r="J18" s="16" t="n">
        <v>46339</v>
      </c>
      <c r="K18" s="17" t="inlineStr">
        <is>
          <t>En cours</t>
        </is>
      </c>
      <c r="L18" s="18" t="n">
        <v>0.6</v>
      </c>
      <c r="M18" s="15">
        <f>IF($F$2="Données correctes",G18,H18)*L18</f>
        <v/>
      </c>
    </row>
    <row r="19" ht="43.05" customHeight="1" s="62">
      <c r="A19" s="19" t="inlineStr">
        <is>
          <t>2.6</t>
        </is>
      </c>
      <c r="B19" s="20" t="inlineStr">
        <is>
          <t>Contrôler les bases de prestations maladie et décès (une ligne par dossier) et les rapprocher des montants comptabilisés</t>
        </is>
      </c>
      <c r="C19" s="21" t="inlineStr">
        <is>
          <t>Actuaire Adenka</t>
        </is>
      </c>
      <c r="D19" s="20" t="inlineStr">
        <is>
          <t>Chef de service Assurance, sinistres et prestations</t>
        </is>
      </c>
      <c r="E19" s="66" t="n"/>
      <c r="F19" s="22" t="inlineStr">
        <is>
          <t>Aucune base de prestations extraite du logiciel. Le journal SIN et les états décès de fin d'année servent de base provisoire (rapport du 23/10/2026, diapositives 110 à 118). Items PBC attendus : 16, 47.</t>
        </is>
      </c>
      <c r="G19" s="23" t="n">
        <v>0.5</v>
      </c>
      <c r="H19" s="23" t="n">
        <v>1.5</v>
      </c>
      <c r="I19" s="24" t="n">
        <v>46321</v>
      </c>
      <c r="J19" s="24" t="n">
        <v>46339</v>
      </c>
      <c r="K19" s="25" t="inlineStr">
        <is>
          <t>Bloquée</t>
        </is>
      </c>
      <c r="L19" s="26" t="n">
        <v>0.25</v>
      </c>
      <c r="M19" s="23">
        <f>IF($F$2="Données correctes",G19,H19)*L19</f>
        <v/>
      </c>
    </row>
    <row r="20" ht="43.05" customHeight="1" s="62">
      <c r="A20" s="11" t="inlineStr">
        <is>
          <t>2.7</t>
        </is>
      </c>
      <c r="B20" s="12" t="inlineStr">
        <is>
          <t>Documenter les anomalies de données et les points à clarifier avec le FPPN</t>
        </is>
      </c>
      <c r="C20" s="13" t="inlineStr">
        <is>
          <t>Actuaire Adenka</t>
        </is>
      </c>
      <c r="D20" s="12" t="inlineStr">
        <is>
          <t>Chef comptable, responsable des cotisations</t>
        </is>
      </c>
      <c r="E20" s="67" t="n"/>
      <c r="F20" s="14" t="inlineStr">
        <is>
          <t>Note sur les anomalies de données du 19/10/2026. Vérification de cohérence du 23/10/2026 (FPPN_Verification_coherence_20261023.xlsx, onglet 1_Anomalies). Questions au FPPN (rapport du 23/10/2026, diapositives 229 et 230). À tenir à jour à chaque envoi.</t>
        </is>
      </c>
      <c r="G20" s="15" t="n">
        <v>0.25</v>
      </c>
      <c r="H20" s="15" t="n">
        <v>0.5</v>
      </c>
      <c r="I20" s="16" t="n">
        <v>46314</v>
      </c>
      <c r="J20" s="16" t="n">
        <v>46339</v>
      </c>
      <c r="K20" s="17" t="inlineStr">
        <is>
          <t>En cours</t>
        </is>
      </c>
      <c r="L20" s="18" t="n">
        <v>0.8</v>
      </c>
      <c r="M20" s="15">
        <f>IF($F$2="Données correctes",G20,H20)*L20</f>
        <v/>
      </c>
    </row>
    <row r="21" ht="31.95" customHeight="1" s="62">
      <c r="A21" s="4" t="n">
        <v>3</v>
      </c>
      <c r="B21" s="5" t="inlineStr">
        <is>
          <t>Phase 3 : Évaluation des engagements</t>
        </is>
      </c>
      <c r="C21" s="5" t="n"/>
      <c r="D21" s="5" t="n"/>
      <c r="E21" s="5" t="n"/>
      <c r="F21" s="6" t="inlineStr">
        <is>
          <t>Estimation : Un modèle par garantie, relancé à 8 dates (du 31/12/2019 au 31/08/2026).</t>
        </is>
      </c>
      <c r="G21" s="7">
        <f>SUM(G22:G27)</f>
        <v/>
      </c>
      <c r="H21" s="7">
        <f>SUM(H22:H27)</f>
        <v/>
      </c>
      <c r="I21" s="8">
        <f>MIN(I22:I27)</f>
        <v/>
      </c>
      <c r="J21" s="8">
        <f>MAX(J22:J27)</f>
        <v/>
      </c>
      <c r="K21" s="9">
        <f>IF(L21&gt;=1,"Effectuée",IF(AND(L21=0,COUNTIF(K22:K27,"Bloquée")&gt;0),"Bloquée",IF(L21=0,"Non réalisée","En cours")))</f>
        <v/>
      </c>
      <c r="L21" s="10">
        <f>IFERROR(M21/IF($F$2="Données correctes",G21,H21),0)</f>
        <v/>
      </c>
      <c r="M21" s="7">
        <f>SUM(M22:M27)</f>
        <v/>
      </c>
    </row>
    <row r="22" ht="55.95" customHeight="1" s="62">
      <c r="A22" s="11" t="inlineStr">
        <is>
          <t>3.1</t>
        </is>
      </c>
      <c r="B22" s="12" t="inlineStr">
        <is>
          <t>Analyser les effectifs (cotisants, entrées et sorties, structure, ancienneté) et les cotisations (taux, valeur réelle, nouvelles recrues)</t>
        </is>
      </c>
      <c r="C22" s="13" t="inlineStr">
        <is>
          <t>Actuaire Adenka</t>
        </is>
      </c>
      <c r="D22" s="12" t="inlineStr">
        <is>
          <t>Responsable des cotisations</t>
        </is>
      </c>
      <c r="E22" s="63" t="inlineStr">
        <is>
          <t>- Parties 4 à 8 du rapport (effectifs, cotisations, sinistralité, épargne, Grenier, retraités)
- Modèle d'évaluation par garantie
- Engagements aux 8 dates d'arrêté</t>
        </is>
      </c>
      <c r="F22" s="14" t="inlineStr">
        <is>
          <t>Rapport du 23/10/2026, partie 4 (diapositives 50 à 62). Limite : dates de naissance absentes des fichiers de précomptes (diapositive 45), fichier des ayants droit non reçu. Items PBC attendus : 4, 43.</t>
        </is>
      </c>
      <c r="G22" s="15" t="n">
        <v>1</v>
      </c>
      <c r="H22" s="15" t="n">
        <v>1</v>
      </c>
      <c r="I22" s="16" t="n">
        <v>46311</v>
      </c>
      <c r="J22" s="16" t="n">
        <v>46316</v>
      </c>
      <c r="K22" s="17" t="inlineStr">
        <is>
          <t>Effectuée</t>
        </is>
      </c>
      <c r="L22" s="18" t="n">
        <v>1</v>
      </c>
      <c r="M22" s="15">
        <f>IF($F$2="Données correctes",G22,H22)*L22</f>
        <v/>
      </c>
    </row>
    <row r="23" ht="43.05" customHeight="1" s="62">
      <c r="A23" s="19" t="inlineStr">
        <is>
          <t>3.2</t>
        </is>
      </c>
      <c r="B23" s="20" t="inlineStr">
        <is>
          <t>Analyser la sinistralité et le résultat par garantie (prestations sur cotisations, nature des risques, croissance des prestations, frais de gestion)</t>
        </is>
      </c>
      <c r="C23" s="21" t="inlineStr">
        <is>
          <t>Actuaire Adenka</t>
        </is>
      </c>
      <c r="D23" s="20" t="inlineStr">
        <is>
          <t>Chef de service Assurance, sinistres et prestations</t>
        </is>
      </c>
      <c r="E23" s="66" t="n"/>
      <c r="F23" s="22" t="inlineStr">
        <is>
          <t>Rapport du 23/10/2026, partie 5 (diapositives 63 à 77) et ratios par garantie (diapositive 182) ; classeur FPPN_Calculs_rapport_20261023.xlsx, onglets 3_, 12_sinistralite_variantes et 28_ratios_garantie.</t>
        </is>
      </c>
      <c r="G23" s="23" t="n">
        <v>1</v>
      </c>
      <c r="H23" s="23" t="n">
        <v>1</v>
      </c>
      <c r="I23" s="24" t="n">
        <v>46311</v>
      </c>
      <c r="J23" s="24" t="n">
        <v>46316</v>
      </c>
      <c r="K23" s="25" t="inlineStr">
        <is>
          <t>Effectuée</t>
        </is>
      </c>
      <c r="L23" s="26" t="n">
        <v>1</v>
      </c>
      <c r="M23" s="23">
        <f>IF($F$2="Données correctes",G23,H23)*L23</f>
        <v/>
      </c>
    </row>
    <row r="24" ht="30" customHeight="1" s="62">
      <c r="A24" s="11" t="inlineStr">
        <is>
          <t>3.3</t>
        </is>
      </c>
      <c r="B24" s="12" t="inlineStr">
        <is>
          <t>Analyser l'épargne (PEP, EFC), les prêts du Grenier, les retraités CGRAE et les produits annexes</t>
        </is>
      </c>
      <c r="C24" s="13" t="inlineStr">
        <is>
          <t>Actuaire Adenka</t>
        </is>
      </c>
      <c r="D24" s="12" t="inlineStr">
        <is>
          <t>Chef comptable</t>
        </is>
      </c>
      <c r="E24" s="66" t="n"/>
      <c r="F24" s="14" t="inlineStr">
        <is>
          <t>Rapport du 23/10/2026, parties 6 à 8 (diapositives 78 à 104) ; classeur FPPN_Calculs_rapport_20261023.xlsx, onglets 4_, 5_ et 6_.</t>
        </is>
      </c>
      <c r="G24" s="15" t="n">
        <v>0.5</v>
      </c>
      <c r="H24" s="15" t="n">
        <v>0.5</v>
      </c>
      <c r="I24" s="16" t="n">
        <v>46311</v>
      </c>
      <c r="J24" s="16" t="n">
        <v>46316</v>
      </c>
      <c r="K24" s="17" t="inlineStr">
        <is>
          <t>Effectuée</t>
        </is>
      </c>
      <c r="L24" s="18" t="n">
        <v>1</v>
      </c>
      <c r="M24" s="15">
        <f>IF($F$2="Données correctes",G24,H24)*L24</f>
        <v/>
      </c>
    </row>
    <row r="25" ht="43.05" customHeight="1" s="62">
      <c r="A25" s="19" t="inlineStr">
        <is>
          <t>3.4</t>
        </is>
      </c>
      <c r="B25" s="20" t="inlineStr">
        <is>
          <t>Construire le modèle d'évaluation par garantie (décès et allocations, maladie, EFC, PEP) : formules, tables, taux, données individuelles</t>
        </is>
      </c>
      <c r="C25" s="21" t="inlineStr">
        <is>
          <t>Actuaire Adenka</t>
        </is>
      </c>
      <c r="D25" s="20" t="n"/>
      <c r="E25" s="66" t="n"/>
      <c r="F25" s="22" t="inlineStr">
        <is>
          <t>Méthodes retenues chiffrées sur les documents reçus : provision maladie, allocations décès, intérêts dus sur l'épargne, provision du personnel agent par agent (rapport du 23/10/2026, diapositives 89, 114, 118 et 122 à 133). Méthodes écartées en annexe (diapositives 232 à 239).</t>
        </is>
      </c>
      <c r="G25" s="23" t="n">
        <v>1.5</v>
      </c>
      <c r="H25" s="23" t="n">
        <v>2</v>
      </c>
      <c r="I25" s="24" t="n">
        <v>46318</v>
      </c>
      <c r="J25" s="24" t="n">
        <v>46331</v>
      </c>
      <c r="K25" s="25" t="inlineStr">
        <is>
          <t>En cours</t>
        </is>
      </c>
      <c r="L25" s="26" t="n">
        <v>0.5</v>
      </c>
      <c r="M25" s="23">
        <f>IF($F$2="Données correctes",G25,H25)*L25</f>
        <v/>
      </c>
    </row>
    <row r="26" ht="43.05" customHeight="1" s="62">
      <c r="A26" s="11" t="inlineStr">
        <is>
          <t>3.5</t>
        </is>
      </c>
      <c r="B26" s="12" t="inlineStr">
        <is>
          <t>Lancer le modèle aux 8 dates d'arrêté (31/12/2019 à 31/12/2025 et 31/08/2026) et expliquer l'évolution des engagements</t>
        </is>
      </c>
      <c r="C26" s="13" t="inlineStr">
        <is>
          <t>Actuaire Adenka</t>
        </is>
      </c>
      <c r="D26" s="12" t="n"/>
      <c r="E26" s="66" t="n"/>
      <c r="F26" s="14" t="inlineStr">
        <is>
          <t>Calculs par âge impossibles : dates de naissance absentes (rapport du 23/10/2026, diapositive 45). Analyses en attente et méthode retenue pour chacune (diapositive 228). Items PBC attendus : 4, 16, 43, 47.</t>
        </is>
      </c>
      <c r="G26" s="15" t="n">
        <v>1.5</v>
      </c>
      <c r="H26" s="15" t="n">
        <v>2.5</v>
      </c>
      <c r="I26" s="16" t="n">
        <v>46329</v>
      </c>
      <c r="J26" s="16" t="n">
        <v>46339</v>
      </c>
      <c r="K26" s="17" t="inlineStr">
        <is>
          <t>Bloquée</t>
        </is>
      </c>
      <c r="L26" s="18" t="n">
        <v>0.1</v>
      </c>
      <c r="M26" s="15">
        <f>IF($F$2="Données correctes",G26,H26)*L26</f>
        <v/>
      </c>
    </row>
    <row r="27" ht="30" customHeight="1" s="62">
      <c r="A27" s="19" t="inlineStr">
        <is>
          <t>3.6</t>
        </is>
      </c>
      <c r="B27" s="20" t="inlineStr">
        <is>
          <t>Conclure sur les engagements envers les adhérents et leurs ayants droit</t>
        </is>
      </c>
      <c r="C27" s="21" t="inlineStr">
        <is>
          <t>Actuaire Adenka</t>
        </is>
      </c>
      <c r="D27" s="20" t="n"/>
      <c r="E27" s="67" t="n"/>
      <c r="F27" s="22" t="inlineStr">
        <is>
          <t>Conclusion établie sur les documents reçus (rapport du 23/10/2026, diapositive 134). Les analyses en attente la préciseront sans en changer le sens (diapositive 228).</t>
        </is>
      </c>
      <c r="G27" s="23" t="n">
        <v>0.5</v>
      </c>
      <c r="H27" s="23" t="n">
        <v>1</v>
      </c>
      <c r="I27" s="24" t="n">
        <v>46316</v>
      </c>
      <c r="J27" s="24" t="n">
        <v>46339</v>
      </c>
      <c r="K27" s="25" t="inlineStr">
        <is>
          <t>En cours</t>
        </is>
      </c>
      <c r="L27" s="26" t="n">
        <v>0.6</v>
      </c>
      <c r="M27" s="23">
        <f>IF($F$2="Données correctes",G27,H27)*L27</f>
        <v/>
      </c>
    </row>
    <row r="28" ht="31.95" customHeight="1" s="62">
      <c r="A28" s="4" t="n">
        <v>4</v>
      </c>
      <c r="B28" s="5" t="inlineStr">
        <is>
          <t>Phase 4 : Revue des provisions</t>
        </is>
      </c>
      <c r="C28" s="5" t="n"/>
      <c r="D28" s="5" t="n"/>
      <c r="E28" s="5" t="n"/>
      <c r="F28" s="6" t="inlineStr">
        <is>
          <t>Estimation : Comparer les provisions au bilan avec mon recalcul, et les provisions passées avec les paiements réels.</t>
        </is>
      </c>
      <c r="G28" s="7">
        <f>SUM(G29:G33)</f>
        <v/>
      </c>
      <c r="H28" s="7">
        <f>SUM(H29:H33)</f>
        <v/>
      </c>
      <c r="I28" s="8">
        <f>MIN(I29:I33)</f>
        <v/>
      </c>
      <c r="J28" s="8">
        <f>MAX(J29:J33)</f>
        <v/>
      </c>
      <c r="K28" s="9">
        <f>IF(L28&gt;=1,"Effectuée",IF(AND(L28=0,COUNTIF(K29:K33,"Bloquée")&gt;0),"Bloquée",IF(L28=0,"Non réalisée","En cours")))</f>
        <v/>
      </c>
      <c r="L28" s="10">
        <f>IFERROR(M28/IF($F$2="Données correctes",G28,H28),0)</f>
        <v/>
      </c>
      <c r="M28" s="7">
        <f>SUM(M29:M33)</f>
        <v/>
      </c>
    </row>
    <row r="29" ht="43.05" customHeight="1" s="62">
      <c r="A29" s="11" t="inlineStr">
        <is>
          <t>4.1</t>
        </is>
      </c>
      <c r="B29" s="12" t="inlineStr">
        <is>
          <t>Inventorier les provisions et dépréciations au bilan par nature et par date, et choisir les formules de contrôle</t>
        </is>
      </c>
      <c r="C29" s="13" t="inlineStr">
        <is>
          <t>Actuaire Adenka</t>
        </is>
      </c>
      <c r="D29" s="12" t="inlineStr">
        <is>
          <t>Chef comptable</t>
        </is>
      </c>
      <c r="E29" s="63" t="inlineStr">
        <is>
          <t>- Revue des provisions (rapport, partie 9)
- Recalcul des provisions et tableau de liquidation
- Conclusion sur la suffisance des provisions</t>
        </is>
      </c>
      <c r="F29" s="14" t="inlineStr">
        <is>
          <t>Rapport du 23/10/2026, diapositives 105 à 109 ; classeur FPPN_Calculs_rapport_20261023.xlsx, onglets 12_provisions_inventaire, 12_psap_rapprochement et 8_provisions_mois.</t>
        </is>
      </c>
      <c r="G29" s="15" t="n">
        <v>0.5</v>
      </c>
      <c r="H29" s="15" t="n">
        <v>0.75</v>
      </c>
      <c r="I29" s="16" t="n">
        <v>46314</v>
      </c>
      <c r="J29" s="16" t="n">
        <v>46316</v>
      </c>
      <c r="K29" s="17" t="inlineStr">
        <is>
          <t>Effectuée</t>
        </is>
      </c>
      <c r="L29" s="18" t="n">
        <v>1</v>
      </c>
      <c r="M29" s="15">
        <f>IF($F$2="Données correctes",G29,H29)*L29</f>
        <v/>
      </c>
    </row>
    <row r="30" ht="55.95" customHeight="1" s="62">
      <c r="A30" s="19" t="inlineStr">
        <is>
          <t>4.2</t>
        </is>
      </c>
      <c r="B30" s="20" t="inlineStr">
        <is>
          <t>Recalculer la provision pour prestations à payer maladie (sinistres tardifs par Chain Ladder) et la provision pour allocations décès</t>
        </is>
      </c>
      <c r="C30" s="21" t="inlineStr">
        <is>
          <t>Actuaire Adenka</t>
        </is>
      </c>
      <c r="D30" s="20" t="inlineStr">
        <is>
          <t>Chef comptable ; chef de service Assurance, sinistres et prestations</t>
        </is>
      </c>
      <c r="E30" s="66" t="n"/>
      <c r="F30" s="22" t="inlineStr">
        <is>
          <t>Provision maladie mesurée sur les factures arrivées après la clôture et provision décès sur les dossiers connus (rapport du 23/10/2026, diapositives 110 à 119). Reste : base des prestations datée et liste des dossiers non payés. Items PBC attendus : 7, 47, 48, 64.</t>
        </is>
      </c>
      <c r="G30" s="23" t="n">
        <v>1</v>
      </c>
      <c r="H30" s="23" t="n">
        <v>1.75</v>
      </c>
      <c r="I30" s="24" t="n">
        <v>46322</v>
      </c>
      <c r="J30" s="24" t="n">
        <v>46338</v>
      </c>
      <c r="K30" s="25" t="inlineStr">
        <is>
          <t>En cours</t>
        </is>
      </c>
      <c r="L30" s="26" t="n">
        <v>0.7</v>
      </c>
      <c r="M30" s="23">
        <f>IF($F$2="Données correctes",G30,H30)*L30</f>
        <v/>
      </c>
    </row>
    <row r="31" ht="30" customHeight="1" s="62">
      <c r="A31" s="11" t="inlineStr">
        <is>
          <t>4.3</t>
        </is>
      </c>
      <c r="B31" s="12" t="inlineStr">
        <is>
          <t>Comparer les provisions passées avec les paiements réels (boni et mali de liquidation)</t>
        </is>
      </c>
      <c r="C31" s="13" t="inlineStr">
        <is>
          <t>Actuaire Adenka</t>
        </is>
      </c>
      <c r="D31" s="12" t="inlineStr">
        <is>
          <t>Chef comptable</t>
        </is>
      </c>
      <c r="E31" s="66" t="n"/>
      <c r="F31" s="14" t="inlineStr">
        <is>
          <t>Provisions maladie et obsèques identiques depuis le 01/09/2020 : comparaison avec le recalcul (rapport du 23/10/2026, diapositive 136). Boni et mali par exercice en attente des bases avec dates de survenance et de paiement. Items PBC attendus : 16, 47.</t>
        </is>
      </c>
      <c r="G31" s="15" t="n">
        <v>0.5</v>
      </c>
      <c r="H31" s="15" t="n">
        <v>1</v>
      </c>
      <c r="I31" s="16" t="n">
        <v>46331</v>
      </c>
      <c r="J31" s="16" t="n">
        <v>46339</v>
      </c>
      <c r="K31" s="17" t="inlineStr">
        <is>
          <t>En cours</t>
        </is>
      </c>
      <c r="L31" s="18" t="n">
        <v>0.4</v>
      </c>
      <c r="M31" s="15">
        <f>IF($F$2="Données correctes",G31,H31)*L31</f>
        <v/>
      </c>
    </row>
    <row r="32" ht="55.95" customHeight="1" s="62">
      <c r="A32" s="19" t="inlineStr">
        <is>
          <t>4.4</t>
        </is>
      </c>
      <c r="B32" s="20" t="inlineStr">
        <is>
          <t>Revoir les autres provisions : dépréciation des prêts du Grenier, compte GNA (flotte automobile), départ à la retraite du personnel</t>
        </is>
      </c>
      <c r="C32" s="21" t="inlineStr">
        <is>
          <t>Actuaire Adenka</t>
        </is>
      </c>
      <c r="D32" s="20" t="inlineStr">
        <is>
          <t>Chef comptable</t>
        </is>
      </c>
      <c r="E32" s="66" t="n"/>
      <c r="F32" s="22" t="inlineStr">
        <is>
          <t>Rapport du 23/10/2026, diapositives 120 à 133 (Grenier, compte GNA, provision du personnel avec et sans plafond conventionnel) ; classeur FPPN_Calculs_rapport_20261023.xlsx, onglets 12_grenier_tranches, 12_gna_47111106, 14b_pidr_individuel et 27_pidr_plafond. Reste : note de calcul de la provision du personnel. Items PBC attendus : 51, 72, 78.</t>
        </is>
      </c>
      <c r="G32" s="23" t="n">
        <v>0.5</v>
      </c>
      <c r="H32" s="23" t="n">
        <v>0.75</v>
      </c>
      <c r="I32" s="24" t="n">
        <v>46315</v>
      </c>
      <c r="J32" s="24" t="n">
        <v>46332</v>
      </c>
      <c r="K32" s="25" t="inlineStr">
        <is>
          <t>En cours</t>
        </is>
      </c>
      <c r="L32" s="26" t="n">
        <v>0.9</v>
      </c>
      <c r="M32" s="23">
        <f>IF($F$2="Données correctes",G32,H32)*L32</f>
        <v/>
      </c>
    </row>
    <row r="33" ht="30" customHeight="1" s="62">
      <c r="A33" s="11" t="inlineStr">
        <is>
          <t>4.5</t>
        </is>
      </c>
      <c r="B33" s="12" t="inlineStr">
        <is>
          <t>Conclure sur la suffisance des provisions</t>
        </is>
      </c>
      <c r="C33" s="13" t="inlineStr">
        <is>
          <t>Actuaire Adenka</t>
        </is>
      </c>
      <c r="D33" s="12" t="n"/>
      <c r="E33" s="67" t="n"/>
      <c r="F33" s="14" t="inlineStr">
        <is>
          <t>Conclusion établie sur les documents reçus (rapport du 23/10/2026, diapositives 135 à 137).</t>
        </is>
      </c>
      <c r="G33" s="15" t="n">
        <v>0.5</v>
      </c>
      <c r="H33" s="15" t="n">
        <v>0.75</v>
      </c>
      <c r="I33" s="16" t="n">
        <v>46316</v>
      </c>
      <c r="J33" s="16" t="n">
        <v>46339</v>
      </c>
      <c r="K33" s="17" t="inlineStr">
        <is>
          <t>En cours</t>
        </is>
      </c>
      <c r="L33" s="18" t="n">
        <v>0.7</v>
      </c>
      <c r="M33" s="15">
        <f>IF($F$2="Données correctes",G33,H33)*L33</f>
        <v/>
      </c>
    </row>
    <row r="34" ht="31.95" customHeight="1" s="62">
      <c r="A34" s="4" t="n">
        <v>5</v>
      </c>
      <c r="B34" s="5" t="inlineStr">
        <is>
          <t>Phase 5 : Adossement et adéquation des placements</t>
        </is>
      </c>
      <c r="C34" s="5" t="n"/>
      <c r="D34" s="5" t="n"/>
      <c r="E34" s="5" t="n"/>
      <c r="F34" s="6" t="inlineStr">
        <is>
          <t>Estimation : Mettre actifs et engagements par échéance, mesurer la couverture et la liquidité.</t>
        </is>
      </c>
      <c r="G34" s="7">
        <f>SUM(G35:G39)</f>
        <v/>
      </c>
      <c r="H34" s="7">
        <f>SUM(H35:H39)</f>
        <v/>
      </c>
      <c r="I34" s="8">
        <f>MIN(I35:I39)</f>
        <v/>
      </c>
      <c r="J34" s="8">
        <f>MAX(J35:J39)</f>
        <v/>
      </c>
      <c r="K34" s="9">
        <f>IF(L34&gt;=1,"Effectuée",IF(AND(L34=0,COUNTIF(K35:K39,"Bloquée")&gt;0),"Bloquée",IF(L34=0,"Non réalisée","En cours")))</f>
        <v/>
      </c>
      <c r="L34" s="10">
        <f>IFERROR(M34/IF($F$2="Données correctes",G34,H34),0)</f>
        <v/>
      </c>
      <c r="M34" s="7">
        <f>SUM(M35:M39)</f>
        <v/>
      </c>
    </row>
    <row r="35" ht="43.05" customHeight="1" s="62">
      <c r="A35" s="11" t="inlineStr">
        <is>
          <t>5.1</t>
        </is>
      </c>
      <c r="B35" s="12" t="inlineStr">
        <is>
          <t>Décrire la structure de l'actif, les placements, leurs règles de valorisation et le circuit de décision des placements</t>
        </is>
      </c>
      <c r="C35" s="13" t="inlineStr">
        <is>
          <t>Actuaire Adenka</t>
        </is>
      </c>
      <c r="D35" s="12" t="inlineStr">
        <is>
          <t>Chef comptable ; direction générale</t>
        </is>
      </c>
      <c r="E35" s="63" t="inlineStr">
        <is>
          <t>- Adossement actif-passif (rapport, partie 9)
- Échéancier des actifs et des engagements
- Conclusion sur l'adéquation des placements</t>
        </is>
      </c>
      <c r="F35" s="14" t="inlineStr">
        <is>
          <t>Rapport du 23/10/2026, diapositives 139, 142 et 153 à 155 ; compte rendu de l'entretien placements du 19/10/2026.</t>
        </is>
      </c>
      <c r="G35" s="15" t="n">
        <v>0.5</v>
      </c>
      <c r="H35" s="15" t="n">
        <v>0.5</v>
      </c>
      <c r="I35" s="16" t="n">
        <v>46314</v>
      </c>
      <c r="J35" s="16" t="n">
        <v>46316</v>
      </c>
      <c r="K35" s="17" t="inlineStr">
        <is>
          <t>Effectuée</t>
        </is>
      </c>
      <c r="L35" s="18" t="n">
        <v>1</v>
      </c>
      <c r="M35" s="15">
        <f>IF($F$2="Données correctes",G35,H35)*L35</f>
        <v/>
      </c>
    </row>
    <row r="36" ht="43.05" customHeight="1" s="62">
      <c r="A36" s="19" t="inlineStr">
        <is>
          <t>5.2</t>
        </is>
      </c>
      <c r="B36" s="20" t="inlineStr">
        <is>
          <t>Mesurer un adossement de liquidité provisoire (borne favorable) et des scénarios de couverture des engagements</t>
        </is>
      </c>
      <c r="C36" s="21" t="inlineStr">
        <is>
          <t>Actuaire Adenka</t>
        </is>
      </c>
      <c r="D36" s="20" t="n"/>
      <c r="E36" s="66" t="n"/>
      <c r="F36" s="22" t="inlineStr">
        <is>
          <t>Rapport du 23/10/2026, diapositives 140 à 148 ; classeur FPPN_Calculs_rapport_20261023.xlsx, onglets 10_actif_mobilisation et 8_sensibilite_retraits.</t>
        </is>
      </c>
      <c r="G36" s="23" t="n">
        <v>0.75</v>
      </c>
      <c r="H36" s="23" t="n">
        <v>0.75</v>
      </c>
      <c r="I36" s="24" t="n">
        <v>46315</v>
      </c>
      <c r="J36" s="24" t="n">
        <v>46316</v>
      </c>
      <c r="K36" s="25" t="inlineStr">
        <is>
          <t>Effectuée</t>
        </is>
      </c>
      <c r="L36" s="26" t="n">
        <v>1</v>
      </c>
      <c r="M36" s="23">
        <f>IF($F$2="Données correctes",G36,H36)*L36</f>
        <v/>
      </c>
    </row>
    <row r="37" ht="43.05" customHeight="1" s="62">
      <c r="A37" s="11" t="inlineStr">
        <is>
          <t>5.3</t>
        </is>
      </c>
      <c r="B37" s="12" t="inlineStr">
        <is>
          <t>Établir l'échéancier des actifs et des engagements et mesurer la couverture et la liquidité par échéance</t>
        </is>
      </c>
      <c r="C37" s="13" t="inlineStr">
        <is>
          <t>Actuaire Adenka</t>
        </is>
      </c>
      <c r="D37" s="12" t="inlineStr">
        <is>
          <t>Chef comptable</t>
        </is>
      </c>
      <c r="E37" s="66" t="n"/>
      <c r="F37" s="14" t="inlineStr">
        <is>
          <t>Écoulement de l'épargne et écarts de liquidité année par année (rapport du 23/10/2026, diapositives 145 et 146). Encours des placements lus dans les grands livres (diapositive 153). Reste : inventaire et échéancier signés des placements. Items PBC attendus : 53, 54, 55.</t>
        </is>
      </c>
      <c r="G37" s="15" t="n">
        <v>1</v>
      </c>
      <c r="H37" s="15" t="n">
        <v>1.5</v>
      </c>
      <c r="I37" s="16" t="n">
        <v>46329</v>
      </c>
      <c r="J37" s="16" t="n">
        <v>46339</v>
      </c>
      <c r="K37" s="17" t="inlineStr">
        <is>
          <t>En cours</t>
        </is>
      </c>
      <c r="L37" s="18" t="n">
        <v>0.5</v>
      </c>
      <c r="M37" s="15">
        <f>IF($F$2="Données correctes",G37,H37)*L37</f>
        <v/>
      </c>
    </row>
    <row r="38" ht="30" customHeight="1" s="62">
      <c r="A38" s="19" t="inlineStr">
        <is>
          <t>5.4</t>
        </is>
      </c>
      <c r="B38" s="20" t="inlineStr">
        <is>
          <t>Mesurer le rendement des placements et le comparer aux taux du marché (rendements de l'État de Côte d'Ivoire)</t>
        </is>
      </c>
      <c r="C38" s="21" t="inlineStr">
        <is>
          <t>Actuaire Adenka</t>
        </is>
      </c>
      <c r="D38" s="20" t="n"/>
      <c r="E38" s="66" t="n"/>
      <c r="F38" s="22" t="inlineStr">
        <is>
          <t>Encours moyen et rendement lus dans les grands livres (rapport du 23/10/2026, diapositives 153, 156 et 203) ; classeur FPPN_Calculs_rapport_20261023.xlsx, onglets 7_rendement_placements, 26_placements_gl et D9_placements_gl.</t>
        </is>
      </c>
      <c r="G38" s="23" t="n">
        <v>0.25</v>
      </c>
      <c r="H38" s="23" t="n">
        <v>0.5</v>
      </c>
      <c r="I38" s="24" t="n">
        <v>46314</v>
      </c>
      <c r="J38" s="24" t="n">
        <v>46316</v>
      </c>
      <c r="K38" s="25" t="inlineStr">
        <is>
          <t>Effectuée</t>
        </is>
      </c>
      <c r="L38" s="26" t="n">
        <v>1</v>
      </c>
      <c r="M38" s="23">
        <f>IF($F$2="Données correctes",G38,H38)*L38</f>
        <v/>
      </c>
    </row>
    <row r="39" ht="30" customHeight="1" s="62">
      <c r="A39" s="11" t="inlineStr">
        <is>
          <t>5.5</t>
        </is>
      </c>
      <c r="B39" s="12" t="inlineStr">
        <is>
          <t>Conclure sur l'adossement actif-passif et l'adéquation des placements aux engagements</t>
        </is>
      </c>
      <c r="C39" s="13" t="inlineStr">
        <is>
          <t>Actuaire Adenka</t>
        </is>
      </c>
      <c r="D39" s="12" t="n"/>
      <c r="E39" s="67" t="n"/>
      <c r="F39" s="14" t="inlineStr">
        <is>
          <t>Conclusions établies sur les documents reçus (rapport du 23/10/2026, diapositives 149 et 157).</t>
        </is>
      </c>
      <c r="G39" s="15" t="n">
        <v>0.5</v>
      </c>
      <c r="H39" s="15" t="n">
        <v>0.75</v>
      </c>
      <c r="I39" s="16" t="n">
        <v>46316</v>
      </c>
      <c r="J39" s="16" t="n">
        <v>46339</v>
      </c>
      <c r="K39" s="17" t="inlineStr">
        <is>
          <t>En cours</t>
        </is>
      </c>
      <c r="L39" s="18" t="n">
        <v>0.7</v>
      </c>
      <c r="M39" s="15">
        <f>IF($F$2="Données correctes",G39,H39)*L39</f>
        <v/>
      </c>
    </row>
    <row r="40" ht="31.95" customHeight="1" s="62">
      <c r="A40" s="4" t="n">
        <v>6</v>
      </c>
      <c r="B40" s="5" t="inlineStr">
        <is>
          <t>Phase 6 : Comparaison avec les indicateurs AIRMS</t>
        </is>
      </c>
      <c r="C40" s="5" t="n"/>
      <c r="D40" s="5" t="n"/>
      <c r="E40" s="5" t="n"/>
      <c r="F40" s="6" t="inlineStr">
        <is>
          <t>Estimation : Calculer les ratios du régulateur à chaque date.</t>
        </is>
      </c>
      <c r="G40" s="7">
        <f>SUM(G41:G44)</f>
        <v/>
      </c>
      <c r="H40" s="7">
        <f>SUM(H41:H44)</f>
        <v/>
      </c>
      <c r="I40" s="8">
        <f>MIN(I41:I44)</f>
        <v/>
      </c>
      <c r="J40" s="8">
        <f>MAX(J41:J44)</f>
        <v/>
      </c>
      <c r="K40" s="9">
        <f>IF(L40&gt;=1,"Effectuée",IF(AND(L40=0,COUNTIF(K41:K44,"Bloquée")&gt;0),"Bloquée",IF(L40=0,"Non réalisée","En cours")))</f>
        <v/>
      </c>
      <c r="L40" s="10">
        <f>IFERROR(M40/IF($F$2="Données correctes",G40,H40),0)</f>
        <v/>
      </c>
      <c r="M40" s="7">
        <f>SUM(M41:M44)</f>
        <v/>
      </c>
    </row>
    <row r="41" ht="43.05" customHeight="1" s="62">
      <c r="A41" s="11" t="inlineStr">
        <is>
          <t>6.1</t>
        </is>
      </c>
      <c r="B41" s="12" t="inlineStr">
        <is>
          <t>Calculer les ratios prudentiels de la Décision n° 05/2022/COM/UEMOA à chaque date, en deux lectures (comme le FPPN, puis retraitée)</t>
        </is>
      </c>
      <c r="C41" s="13" t="inlineStr">
        <is>
          <t>Actuaire Adenka</t>
        </is>
      </c>
      <c r="D41" s="12" t="n"/>
      <c r="E41" s="63" t="inlineStr">
        <is>
          <t>- Tableau de bord prudentiel, 2020 au 31/08/2026
- Analyses de sensibilité et leviers de conformité</t>
        </is>
      </c>
      <c r="F41" s="14" t="inlineStr">
        <is>
          <t>Rapport du 23/10/2026, diapositives 159 à 179 ; classeur FPPN_Calculs_rapport_20261023.xlsx, onglets 10_ratios et 10_ratios_detail.</t>
        </is>
      </c>
      <c r="G41" s="15" t="n">
        <v>0.4</v>
      </c>
      <c r="H41" s="15" t="n">
        <v>0.75</v>
      </c>
      <c r="I41" s="16" t="n">
        <v>46311</v>
      </c>
      <c r="J41" s="16" t="n">
        <v>46316</v>
      </c>
      <c r="K41" s="17" t="inlineStr">
        <is>
          <t>Effectuée</t>
        </is>
      </c>
      <c r="L41" s="18" t="n">
        <v>1</v>
      </c>
      <c r="M41" s="15">
        <f>IF($F$2="Données correctes",G41,H41)*L41</f>
        <v/>
      </c>
    </row>
    <row r="42" ht="43.05" customHeight="1" s="62">
      <c r="A42" s="19" t="inlineStr">
        <is>
          <t>6.2</t>
        </is>
      </c>
      <c r="B42" s="20" t="inlineStr">
        <is>
          <t>Contrôler le classement des comptes (PCMS), la marge de solvabilité, l'affectation des excédents et l'excédent par risque</t>
        </is>
      </c>
      <c r="C42" s="21" t="inlineStr">
        <is>
          <t>Actuaire Adenka</t>
        </is>
      </c>
      <c r="D42" s="20" t="inlineStr">
        <is>
          <t>Chef comptable</t>
        </is>
      </c>
      <c r="E42" s="66" t="n"/>
      <c r="F42" s="22" t="inlineStr">
        <is>
          <t>Rapport du 23/10/2026, diapositives 180 à 188 (excédent par risque, ratios par garantie, affectation des excédents, marge de solvabilité, dispositif actuariel, plan comptable) ; classeur FPPN_Calculs_rapport_20261023.xlsx, onglets 10_controle_pcms, 10_marge_solvabilite, 10_affectation_excedents et 10_excedent_par_risque.</t>
        </is>
      </c>
      <c r="G42" s="23" t="n">
        <v>0.25</v>
      </c>
      <c r="H42" s="23" t="n">
        <v>0.5</v>
      </c>
      <c r="I42" s="24" t="n">
        <v>46311</v>
      </c>
      <c r="J42" s="24" t="n">
        <v>46316</v>
      </c>
      <c r="K42" s="25" t="inlineStr">
        <is>
          <t>Effectuée</t>
        </is>
      </c>
      <c r="L42" s="26" t="n">
        <v>1</v>
      </c>
      <c r="M42" s="23">
        <f>IF($F$2="Données correctes",G42,H42)*L42</f>
        <v/>
      </c>
    </row>
    <row r="43" ht="43.05" customHeight="1" s="62">
      <c r="A43" s="11" t="inlineStr">
        <is>
          <t>6.3</t>
        </is>
      </c>
      <c r="B43" s="12" t="inlineStr">
        <is>
          <t>Mener les analyses de sensibilité et chiffrer les leviers de conformité (montant à combler, effet de chaque levier)</t>
        </is>
      </c>
      <c r="C43" s="13" t="inlineStr">
        <is>
          <t>Actuaire Adenka</t>
        </is>
      </c>
      <c r="D43" s="12" t="n"/>
      <c r="E43" s="66" t="n"/>
      <c r="F43" s="14" t="inlineStr">
        <is>
          <t>Rapport du 23/10/2026, diapositives 191 à 204 ; classeur FPPN_Calculs_rapport_20261023.xlsx, onglets 13a à 13i.</t>
        </is>
      </c>
      <c r="G43" s="15" t="n">
        <v>0.25</v>
      </c>
      <c r="H43" s="15" t="n">
        <v>0.5</v>
      </c>
      <c r="I43" s="16" t="n">
        <v>46315</v>
      </c>
      <c r="J43" s="16" t="n">
        <v>46316</v>
      </c>
      <c r="K43" s="17" t="inlineStr">
        <is>
          <t>Effectuée</t>
        </is>
      </c>
      <c r="L43" s="18" t="n">
        <v>1</v>
      </c>
      <c r="M43" s="15">
        <f>IF($F$2="Données correctes",G43,H43)*L43</f>
        <v/>
      </c>
    </row>
    <row r="44" ht="30" customHeight="1" s="62">
      <c r="A44" s="19" t="inlineStr">
        <is>
          <t>6.4</t>
        </is>
      </c>
      <c r="B44" s="20" t="inlineStr">
        <is>
          <t>Compléter les ratios en attente de données (risques longs, FOMUS-CI, contrôles a posteriori)</t>
        </is>
      </c>
      <c r="C44" s="21" t="inlineStr">
        <is>
          <t>Actuaire Adenka</t>
        </is>
      </c>
      <c r="D44" s="20" t="inlineStr">
        <is>
          <t>Chef comptable</t>
        </is>
      </c>
      <c r="E44" s="67" t="n"/>
      <c r="F44" s="22" t="inlineStr">
        <is>
          <t>Rapport du 23/10/2026, diapositive 169 (données en attente). Items PBC attendus : 3, 28, 29, 30.</t>
        </is>
      </c>
      <c r="G44" s="23" t="n">
        <v>0.1</v>
      </c>
      <c r="H44" s="23" t="n">
        <v>0.25</v>
      </c>
      <c r="I44" s="24" t="n">
        <v>46329</v>
      </c>
      <c r="J44" s="24" t="n">
        <v>46339</v>
      </c>
      <c r="K44" s="25" t="inlineStr">
        <is>
          <t>Bloquée</t>
        </is>
      </c>
      <c r="L44" s="26" t="n">
        <v>0</v>
      </c>
      <c r="M44" s="23">
        <f>IF($F$2="Données correctes",G44,H44)*L44</f>
        <v/>
      </c>
    </row>
    <row r="45" ht="31.95" customHeight="1" s="62">
      <c r="A45" s="4" t="n">
        <v>7</v>
      </c>
      <c r="B45" s="5" t="inlineStr">
        <is>
          <t>Phase 7 : Projection de l'équilibre technique</t>
        </is>
      </c>
      <c r="C45" s="5" t="n"/>
      <c r="D45" s="5" t="n"/>
      <c r="E45" s="5" t="n"/>
      <c r="F45" s="6" t="inlineStr">
        <is>
          <t>Estimation : Projeter cotisations, prestations et frais sur 5 à 10 ans, puis tester les hypothèses.</t>
        </is>
      </c>
      <c r="G45" s="7">
        <f>SUM(G46:G48)</f>
        <v/>
      </c>
      <c r="H45" s="7">
        <f>SUM(H46:H48)</f>
        <v/>
      </c>
      <c r="I45" s="8">
        <f>MIN(I46:I48)</f>
        <v/>
      </c>
      <c r="J45" s="8">
        <f>MAX(J46:J48)</f>
        <v/>
      </c>
      <c r="K45" s="9">
        <f>IF(L45&gt;=1,"Effectuée",IF(AND(L45=0,COUNTIF(K46:K48,"Bloquée")&gt;0),"Bloquée",IF(L45=0,"Non réalisée","En cours")))</f>
        <v/>
      </c>
      <c r="L45" s="10">
        <f>IFERROR(M45/IF($F$2="Données correctes",G45,H45),0)</f>
        <v/>
      </c>
      <c r="M45" s="7">
        <f>SUM(M46:M48)</f>
        <v/>
      </c>
    </row>
    <row r="46" ht="55.95" customHeight="1" s="62">
      <c r="A46" s="11" t="inlineStr">
        <is>
          <t>7.1</t>
        </is>
      </c>
      <c r="B46" s="12" t="inlineStr">
        <is>
          <t>Fixer les hypothèses de projection : effectifs, cotisations, inflation médicale, mortalité, rendement, frais</t>
        </is>
      </c>
      <c r="C46" s="13" t="inlineStr">
        <is>
          <t>Actuaire Adenka</t>
        </is>
      </c>
      <c r="D46" s="12" t="inlineStr">
        <is>
          <t>Chef comptable</t>
        </is>
      </c>
      <c r="E46" s="63" t="inlineStr">
        <is>
          <t>- Projection de l'équilibre technique sur 5 à 10 ans
- Tests de sensibilité des hypothèses</t>
        </is>
      </c>
      <c r="F46" s="14" t="inlineStr">
        <is>
          <t>Hypothèses de la projection agrégée (rapport du 23/10/2026, diapositives 212 et 213) : tendances, inflation médicale (diapositive 201), rendements (diapositive 203).</t>
        </is>
      </c>
      <c r="G46" s="15" t="n">
        <v>0.75</v>
      </c>
      <c r="H46" s="15" t="n">
        <v>1</v>
      </c>
      <c r="I46" s="16" t="n">
        <v>46335</v>
      </c>
      <c r="J46" s="16" t="n">
        <v>46338</v>
      </c>
      <c r="K46" s="17" t="inlineStr">
        <is>
          <t>En cours</t>
        </is>
      </c>
      <c r="L46" s="18" t="n">
        <v>0.5</v>
      </c>
      <c r="M46" s="15">
        <f>IF($F$2="Données correctes",G46,H46)*L46</f>
        <v/>
      </c>
    </row>
    <row r="47" ht="30" customHeight="1" s="62">
      <c r="A47" s="19" t="inlineStr">
        <is>
          <t>7.2</t>
        </is>
      </c>
      <c r="B47" s="20" t="inlineStr">
        <is>
          <t>Projeter cotisations, prestations et frais sur 5 à 10 ans par garantie</t>
        </is>
      </c>
      <c r="C47" s="21" t="inlineStr">
        <is>
          <t>Actuaire Adenka</t>
        </is>
      </c>
      <c r="D47" s="20" t="n"/>
      <c r="E47" s="66" t="n"/>
      <c r="F47" s="22" t="inlineStr">
        <is>
          <t>Projection agrégée en deux scénarios (rapport du 23/10/2026, diapositives 214 et 215). Reste : projection par garantie, qui dépend des phases 3 et 4.</t>
        </is>
      </c>
      <c r="G47" s="23" t="n">
        <v>1.5</v>
      </c>
      <c r="H47" s="23" t="n">
        <v>2</v>
      </c>
      <c r="I47" s="24" t="n">
        <v>46338</v>
      </c>
      <c r="J47" s="24" t="n">
        <v>46345</v>
      </c>
      <c r="K47" s="25" t="inlineStr">
        <is>
          <t>En cours</t>
        </is>
      </c>
      <c r="L47" s="26" t="n">
        <v>0.4</v>
      </c>
      <c r="M47" s="23">
        <f>IF($F$2="Données correctes",G47,H47)*L47</f>
        <v/>
      </c>
    </row>
    <row r="48" ht="30" customHeight="1" s="62">
      <c r="A48" s="11" t="inlineStr">
        <is>
          <t>7.3</t>
        </is>
      </c>
      <c r="B48" s="12" t="inlineStr">
        <is>
          <t>Tester les hypothèses (sensibilités et scénarios) et en tirer les mesures de retour à l'équilibre</t>
        </is>
      </c>
      <c r="C48" s="13" t="inlineStr">
        <is>
          <t>Actuaire Adenka</t>
        </is>
      </c>
      <c r="D48" s="12" t="n"/>
      <c r="E48" s="67" t="n"/>
      <c r="F48" s="14" t="inlineStr">
        <is>
          <t>Tests de résistance et sensibilités (rapport du 23/10/2026, diapositives 147 et 191 à 204), à étendre à la projection par garantie.</t>
        </is>
      </c>
      <c r="G48" s="15" t="n">
        <v>0.75</v>
      </c>
      <c r="H48" s="15" t="n">
        <v>1</v>
      </c>
      <c r="I48" s="16" t="n">
        <v>46344</v>
      </c>
      <c r="J48" s="16" t="n">
        <v>46346</v>
      </c>
      <c r="K48" s="17" t="inlineStr">
        <is>
          <t>En cours</t>
        </is>
      </c>
      <c r="L48" s="18" t="n">
        <v>0.3</v>
      </c>
      <c r="M48" s="15">
        <f>IF($F$2="Données correctes",G48,H48)*L48</f>
        <v/>
      </c>
    </row>
    <row r="49" ht="31.95" customHeight="1" s="62">
      <c r="A49" s="4" t="n">
        <v>8</v>
      </c>
      <c r="B49" s="5" t="inlineStr">
        <is>
          <t>Phase 8 : Rapport actuariel et revues</t>
        </is>
      </c>
      <c r="C49" s="5" t="n"/>
      <c r="D49" s="5" t="n"/>
      <c r="E49" s="5" t="n"/>
      <c r="F49" s="6" t="inlineStr">
        <is>
          <t>Estimation : Rédaction, contrôle qualité, prise en compte des remarques.</t>
        </is>
      </c>
      <c r="G49" s="7">
        <f>SUM(G50:G55)</f>
        <v/>
      </c>
      <c r="H49" s="7">
        <f>SUM(H50:H55)</f>
        <v/>
      </c>
      <c r="I49" s="8">
        <f>MIN(I50:I55)</f>
        <v/>
      </c>
      <c r="J49" s="8">
        <f>MAX(J50:J55)</f>
        <v/>
      </c>
      <c r="K49" s="9">
        <f>IF(L49&gt;=1,"Effectuée",IF(AND(L49=0,COUNTIF(K50:K55,"Bloquée")&gt;0),"Bloquée",IF(L49=0,"Non réalisée","En cours")))</f>
        <v/>
      </c>
      <c r="L49" s="10">
        <f>IFERROR(M49/IF($F$2="Données correctes",G49,H49),0)</f>
        <v/>
      </c>
      <c r="M49" s="7">
        <f>SUM(M50:M55)</f>
        <v/>
      </c>
    </row>
    <row r="50" ht="43.05" customHeight="1" s="62">
      <c r="A50" s="11" t="inlineStr">
        <is>
          <t>8.1</t>
        </is>
      </c>
      <c r="B50" s="12" t="inlineStr">
        <is>
          <t>Rédiger le rapport actuariel et statistique et le classeur des calculs, avec la traçabilité de chaque chiffre</t>
        </is>
      </c>
      <c r="C50" s="13" t="inlineStr">
        <is>
          <t>Actuaire Adenka</t>
        </is>
      </c>
      <c r="D50" s="12" t="n"/>
      <c r="E50" s="63" t="inlineStr">
        <is>
          <t>- Note de point d'étape du 21/10/2026
- Rapport actuariel et statistique provisoire
- Rapport actuariel et statistique définitif</t>
        </is>
      </c>
      <c r="F50" s="14" t="inlineStr">
        <is>
          <t>Rapport du 23/10/2026 (FPPN_Rapport_actuariel_statistique_20261023.pptx, 276 diapositives) et classeur FPPN_Calculs_rapport_20261023.xlsx (onglet 9_tracabilite).</t>
        </is>
      </c>
      <c r="G50" s="15" t="n">
        <v>1.5</v>
      </c>
      <c r="H50" s="15" t="n">
        <v>1.75</v>
      </c>
      <c r="I50" s="16" t="n">
        <v>46310</v>
      </c>
      <c r="J50" s="16" t="n">
        <v>46346</v>
      </c>
      <c r="K50" s="17" t="inlineStr">
        <is>
          <t>En cours</t>
        </is>
      </c>
      <c r="L50" s="18" t="n">
        <v>0.8</v>
      </c>
      <c r="M50" s="15">
        <f>IF($F$2="Données correctes",G50,H50)*L50</f>
        <v/>
      </c>
    </row>
    <row r="51" ht="30" customHeight="1" s="62">
      <c r="A51" s="19" t="inlineStr">
        <is>
          <t>8.2</t>
        </is>
      </c>
      <c r="B51" s="20" t="inlineStr">
        <is>
          <t>Rédiger la note de point d'étape des travaux (réunion du 21/10/2026)</t>
        </is>
      </c>
      <c r="C51" s="21" t="inlineStr">
        <is>
          <t>Actuaire Adenka</t>
        </is>
      </c>
      <c r="D51" s="20" t="inlineStr">
        <is>
          <t>Direction générale, DAF</t>
        </is>
      </c>
      <c r="E51" s="66" t="n"/>
      <c r="F51" s="22" t="inlineStr">
        <is>
          <t>FPPN_Note_point_etape_travaux_20261021.docx.</t>
        </is>
      </c>
      <c r="G51" s="23" t="n">
        <v>0.25</v>
      </c>
      <c r="H51" s="23" t="n">
        <v>0.25</v>
      </c>
      <c r="I51" s="24" t="n">
        <v>46315</v>
      </c>
      <c r="J51" s="24" t="n">
        <v>46316</v>
      </c>
      <c r="K51" s="25" t="inlineStr">
        <is>
          <t>Effectuée</t>
        </is>
      </c>
      <c r="L51" s="26" t="n">
        <v>1</v>
      </c>
      <c r="M51" s="23">
        <f>IF($F$2="Données correctes",G51,H51)*L51</f>
        <v/>
      </c>
    </row>
    <row r="52" ht="43.05" customHeight="1" s="62">
      <c r="A52" s="11" t="inlineStr">
        <is>
          <t>8.3</t>
        </is>
      </c>
      <c r="B52" s="12" t="inlineStr">
        <is>
          <t>Contrôle qualité : forme, cohérence des chiffres entre sections, niveau de preuve</t>
        </is>
      </c>
      <c r="C52" s="13" t="inlineStr">
        <is>
          <t>Actuaire Adenka</t>
        </is>
      </c>
      <c r="D52" s="12" t="n"/>
      <c r="E52" s="66" t="n"/>
      <c r="F52" s="14" t="inlineStr">
        <is>
          <t>Contrôle automatique : 2 497 chiffres du rapport retrouvés dans les calculs. Vérification indépendante sur les fichiers du client (FPPN_Verification_coherence_20261023.xlsx, 15 anomalies corrigées). À refaire sur le rapport provisoire.</t>
        </is>
      </c>
      <c r="G52" s="15" t="n">
        <v>0.5</v>
      </c>
      <c r="H52" s="15" t="n">
        <v>0.75</v>
      </c>
      <c r="I52" s="16" t="n">
        <v>46315</v>
      </c>
      <c r="J52" s="16" t="n">
        <v>46349</v>
      </c>
      <c r="K52" s="17" t="inlineStr">
        <is>
          <t>En cours</t>
        </is>
      </c>
      <c r="L52" s="18" t="n">
        <v>0.6</v>
      </c>
      <c r="M52" s="15">
        <f>IF($F$2="Données correctes",G52,H52)*L52</f>
        <v/>
      </c>
    </row>
    <row r="53" ht="30" customHeight="1" s="62">
      <c r="A53" s="19" t="inlineStr">
        <is>
          <t>8.4</t>
        </is>
      </c>
      <c r="B53" s="20" t="inlineStr">
        <is>
          <t>Restitution provisoire au FPPN et recueil des commentaires</t>
        </is>
      </c>
      <c r="C53" s="21" t="inlineStr">
        <is>
          <t>Actuaire Adenka</t>
        </is>
      </c>
      <c r="D53" s="20" t="inlineStr">
        <is>
          <t>Direction générale, DAF, chef comptable</t>
        </is>
      </c>
      <c r="E53" s="66" t="n"/>
      <c r="F53" s="22" t="n"/>
      <c r="G53" s="23" t="n">
        <v>0.5</v>
      </c>
      <c r="H53" s="23" t="n">
        <v>0.5</v>
      </c>
      <c r="I53" s="24" t="n">
        <v>46349</v>
      </c>
      <c r="J53" s="24" t="n">
        <v>46350</v>
      </c>
      <c r="K53" s="25" t="inlineStr">
        <is>
          <t>Non réalisée</t>
        </is>
      </c>
      <c r="L53" s="26" t="n">
        <v>0</v>
      </c>
      <c r="M53" s="23">
        <f>IF($F$2="Données correctes",G53,H53)*L53</f>
        <v/>
      </c>
    </row>
    <row r="54" ht="30" customHeight="1" s="62">
      <c r="A54" s="11" t="inlineStr">
        <is>
          <t>8.5</t>
        </is>
      </c>
      <c r="B54" s="12" t="inlineStr">
        <is>
          <t>Intégrer les commentaires et finaliser le rapport</t>
        </is>
      </c>
      <c r="C54" s="13" t="inlineStr">
        <is>
          <t>Actuaire Adenka</t>
        </is>
      </c>
      <c r="D54" s="12" t="n"/>
      <c r="E54" s="66" t="n"/>
      <c r="F54" s="14" t="n"/>
      <c r="G54" s="15" t="n">
        <v>1</v>
      </c>
      <c r="H54" s="15" t="n">
        <v>1.25</v>
      </c>
      <c r="I54" s="16" t="n">
        <v>46351</v>
      </c>
      <c r="J54" s="16" t="n">
        <v>46353</v>
      </c>
      <c r="K54" s="17" t="inlineStr">
        <is>
          <t>Non réalisée</t>
        </is>
      </c>
      <c r="L54" s="18" t="n">
        <v>0</v>
      </c>
      <c r="M54" s="15">
        <f>IF($F$2="Données correctes",G54,H54)*L54</f>
        <v/>
      </c>
    </row>
    <row r="55" ht="30" customHeight="1" s="62">
      <c r="A55" s="19" t="inlineStr">
        <is>
          <t>8.6</t>
        </is>
      </c>
      <c r="B55" s="20" t="inlineStr">
        <is>
          <t>Transmettre le rapport actuariel et statistique définitif</t>
        </is>
      </c>
      <c r="C55" s="21" t="inlineStr">
        <is>
          <t>Actuaire Adenka</t>
        </is>
      </c>
      <c r="D55" s="20" t="inlineStr">
        <is>
          <t>Direction générale</t>
        </is>
      </c>
      <c r="E55" s="67" t="n"/>
      <c r="F55" s="22" t="n"/>
      <c r="G55" s="23" t="n">
        <v>0.25</v>
      </c>
      <c r="H55" s="23" t="n">
        <v>0.5</v>
      </c>
      <c r="I55" s="24" t="n">
        <v>46356</v>
      </c>
      <c r="J55" s="24" t="n">
        <v>46356</v>
      </c>
      <c r="K55" s="25" t="inlineStr">
        <is>
          <t>Non réalisée</t>
        </is>
      </c>
      <c r="L55" s="26" t="n">
        <v>0</v>
      </c>
      <c r="M55" s="23">
        <f>IF($F$2="Données correctes",G55,H55)*L55</f>
        <v/>
      </c>
    </row>
    <row r="56" ht="25.95" customHeight="1" s="62">
      <c r="A56" s="27" t="n"/>
      <c r="B56" s="27" t="inlineStr">
        <is>
          <t>Total de la mission actuarielle et statistique</t>
        </is>
      </c>
      <c r="C56" s="27" t="n"/>
      <c r="D56" s="27" t="n"/>
      <c r="E56" s="27" t="n"/>
      <c r="F56" s="27" t="n"/>
      <c r="G56" s="28">
        <f>G7+G13+G21+G28+G34+G40+G45+G49</f>
        <v/>
      </c>
      <c r="H56" s="28">
        <f>H7+H13+H21+H28+H34+H40+H45+H49</f>
        <v/>
      </c>
      <c r="I56" s="29">
        <f>MIN(I7:I55)</f>
        <v/>
      </c>
      <c r="J56" s="29">
        <f>MAX(J7:J55)</f>
        <v/>
      </c>
      <c r="K56" s="30">
        <f>IF(L56&gt;=1,"Effectuée",IF(L56=0,"Non réalisée","En cours"))</f>
        <v/>
      </c>
      <c r="L56" s="31">
        <f>IFERROR(M56/IF($F$2="Données correctes",G56,H56),0)</f>
        <v/>
      </c>
      <c r="M56" s="28">
        <f>M7+M13+M21+M28+M34+M40+M45+M49</f>
        <v/>
      </c>
    </row>
    <row r="58">
      <c r="B58" s="32" t="inlineStr">
        <is>
          <t>Légende du diagramme</t>
        </is>
      </c>
    </row>
    <row r="59">
      <c r="A59" s="33" t="n"/>
      <c r="B59" s="34" t="inlineStr">
        <is>
          <t>Période planifiée, sous-activité effectuée</t>
        </is>
      </c>
    </row>
    <row r="60">
      <c r="A60" s="35" t="n"/>
      <c r="B60" s="34" t="inlineStr">
        <is>
          <t>Période planifiée, sous-activité en cours ou non réalisée</t>
        </is>
      </c>
    </row>
    <row r="61">
      <c r="A61" s="36" t="n"/>
      <c r="B61" s="34" t="inlineStr">
        <is>
          <t>Période planifiée, sous-activité bloquée (attente de documents)</t>
        </is>
      </c>
    </row>
    <row r="62">
      <c r="A62" s="37" t="n"/>
      <c r="B62" s="34" t="inlineStr">
        <is>
          <t>Période planifiée de la phase ; colonne orange : date du pointage</t>
        </is>
      </c>
    </row>
    <row r="63">
      <c r="A63" s="38" t="n"/>
      <c r="B63" s="34" t="inlineStr">
        <is>
          <t>Week-end</t>
        </is>
      </c>
    </row>
    <row r="65">
      <c r="A65" s="39" t="n"/>
    </row>
  </sheetData>
  <mergeCells count="23">
    <mergeCell ref="D4:D6"/>
    <mergeCell ref="J4:J6"/>
    <mergeCell ref="L4:L6"/>
    <mergeCell ref="I4:I6"/>
    <mergeCell ref="G4:G6"/>
    <mergeCell ref="K4:K6"/>
    <mergeCell ref="A4:A6"/>
    <mergeCell ref="M4:M6"/>
    <mergeCell ref="B4:B6"/>
    <mergeCell ref="F4:F6"/>
    <mergeCell ref="H4:H6"/>
    <mergeCell ref="A1:M1"/>
    <mergeCell ref="E8:E12"/>
    <mergeCell ref="E4:E6"/>
    <mergeCell ref="C4:C6"/>
    <mergeCell ref="E14:E20"/>
    <mergeCell ref="E35:E39"/>
    <mergeCell ref="E29:E33"/>
    <mergeCell ref="E41:E44"/>
    <mergeCell ref="E50:E55"/>
    <mergeCell ref="A2:D2"/>
    <mergeCell ref="E22:E27"/>
    <mergeCell ref="E46:E48"/>
  </mergeCells>
  <conditionalFormatting sqref="K7:K56">
    <cfRule type="expression" priority="5" dxfId="10">
      <formula>K7="Effectuée"</formula>
    </cfRule>
    <cfRule type="expression" priority="6" dxfId="9">
      <formula>K7="En cours"</formula>
    </cfRule>
    <cfRule type="expression" priority="7" dxfId="8">
      <formula>K7="Bloquée"</formula>
    </cfRule>
    <cfRule type="expression" priority="8" dxfId="7">
      <formula>K7="Non réalisée"</formula>
    </cfRule>
  </conditionalFormatting>
  <conditionalFormatting sqref="K1:K1048576">
    <cfRule type="containsText" priority="2" operator="containsText" dxfId="0" text="Bloquée">
      <formula>NOT(ISERROR(SEARCH("Bloquée",K1)))</formula>
    </cfRule>
    <cfRule type="containsText" priority="3" operator="containsText" dxfId="1" text="En cours">
      <formula>NOT(ISERROR(SEARCH("En cours",K1)))</formula>
    </cfRule>
    <cfRule type="containsText" priority="4" operator="containsText" dxfId="2" text="Effectuée">
      <formula>NOT(ISERROR(SEARCH("Effectuée",K1)))</formula>
    </cfRule>
    <cfRule type="containsText" priority="1" operator="containsText" dxfId="3" text="En cours">
      <formula>NOT(ISERROR(SEARCH("En cours",K1)))</formula>
    </cfRule>
  </conditionalFormatting>
  <dataValidations count="3">
    <dataValidation sqref="F2" showDropDown="0" showInputMessage="0" showErrorMessage="0" allowBlank="0" type="list">
      <formula1>"Données dégradées,Données correctes"</formula1>
    </dataValidation>
    <dataValidation sqref="K8:K12 K14:K20 K22:K27 K29:K33 K35:K39 K41:K44 K46:K48 K50:K55" showDropDown="0" showInputMessage="0" showErrorMessage="0" allowBlank="1" type="list">
      <formula1>"Effectuée,En cours,Bloquée,Non réalisée"</formula1>
    </dataValidation>
    <dataValidation sqref="L8:L12 L14:L20 L22:L27 L29:L33 L35:L39 L41:L44 L46:L48 L50:L55" showDropDown="0" showInputMessage="0" showErrorMessage="0" allowBlank="1" errorTitle="Taux de réalisation" error="Saisir un taux entre 0 % et 100 %." type="decimal">
      <formula1>0</formula1>
      <formula2>1</formula2>
    </dataValidation>
  </dataValidations>
  <pageMargins left="0.75" right="0.75" top="1" bottom="1" header="0.5" footer="0.5"/>
  <pageSetup orientation="landscape" paperSize="8" fitToHeight="0"/>
  <headerFooter>
    <oddHeader/>
    <oddFooter>&amp;LAdenka : plan de travail actuariel FPPN&amp;RPage &amp;P / &amp;N</oddFooter>
    <evenHeader/>
    <evenFooter/>
    <firstHeader/>
    <firstFooter/>
  </headerFooter>
</worksheet>
</file>

<file path=xl/worksheets/sheet2.xml><?xml version="1.0" encoding="utf-8"?>
<worksheet xmlns="http://schemas.openxmlformats.org/spreadsheetml/2006/main">
  <sheetPr>
    <tabColor rgb="FF112A40"/>
    <outlinePr summaryBelow="1" summaryRight="1"/>
    <pageSetUpPr fitToPage="1"/>
  </sheetPr>
  <dimension ref="A1:K36"/>
  <sheetViews>
    <sheetView showGridLines="0" zoomScale="90" zoomScaleNormal="90" workbookViewId="0">
      <pane xSplit="1" ySplit="4" topLeftCell="B5" activePane="bottomRight" state="frozen"/>
      <selection activeCell="E66" sqref="E66"/>
      <selection pane="topRight" activeCell="E66" sqref="E66"/>
      <selection pane="bottomLeft" activeCell="E66" sqref="E66"/>
      <selection pane="bottomRight" activeCell="O23" sqref="O23"/>
    </sheetView>
  </sheetViews>
  <sheetFormatPr baseColWidth="10" defaultColWidth="8.88671875" defaultRowHeight="14.4"/>
  <cols>
    <col width="48" customWidth="1" style="62" min="1" max="1"/>
    <col width="14" customWidth="1" style="62" min="2" max="4"/>
    <col width="12" customWidth="1" style="62" min="5" max="6"/>
    <col width="11" customWidth="1" style="62" min="7" max="9"/>
    <col width="12" customWidth="1" style="62" min="10" max="11"/>
  </cols>
  <sheetData>
    <row r="1" ht="17.4" customHeight="1" s="62">
      <c r="A1" s="40" t="inlineStr">
        <is>
          <t>Tableau 1 : Avancement par phase au 23/10/2026</t>
        </is>
      </c>
    </row>
    <row r="2">
      <c r="A2" s="41" t="inlineStr">
        <is>
          <t>Calculé à partir de l'onglet « Plan de travail » : toute mise à jour des statuts et des taux s'y reporte. Le temps restant est le temps estimé du scénario choisi moins le temps réalisé équivalent.</t>
        </is>
      </c>
    </row>
    <row r="3"/>
    <row r="4" ht="42" customHeight="1" s="62">
      <c r="A4" s="59" t="inlineStr">
        <is>
          <t>Phase</t>
        </is>
      </c>
      <c r="B4" s="59" t="inlineStr">
        <is>
          <t>Temps estimé, données correctes (j)</t>
        </is>
      </c>
      <c r="C4" s="59" t="inlineStr">
        <is>
          <t>Temps estimé, données dégradées (j)</t>
        </is>
      </c>
      <c r="D4" s="59" t="inlineStr">
        <is>
          <t>Temps réalisé équivalent (j)</t>
        </is>
      </c>
      <c r="E4" s="59" t="inlineStr">
        <is>
          <t>Temps restant (j)</t>
        </is>
      </c>
      <c r="F4" s="59" t="inlineStr">
        <is>
          <t>Taux de réalisation</t>
        </is>
      </c>
      <c r="G4" s="42" t="inlineStr">
        <is>
          <t>Effectuées</t>
        </is>
      </c>
      <c r="H4" s="1" t="inlineStr">
        <is>
          <t>En cours</t>
        </is>
      </c>
      <c r="I4" s="43" t="inlineStr">
        <is>
          <t>Bloquées</t>
        </is>
      </c>
      <c r="J4" s="44" t="inlineStr">
        <is>
          <t>Non réalisées</t>
        </is>
      </c>
      <c r="K4" s="59" t="inlineStr">
        <is>
          <t>Sous-activités</t>
        </is>
      </c>
    </row>
    <row r="5" ht="30" customHeight="1" s="62">
      <c r="A5" s="45">
        <f>PT_Actuariat!B7</f>
        <v/>
      </c>
      <c r="B5" s="46">
        <f>PT_Actuariat!G7</f>
        <v/>
      </c>
      <c r="C5" s="46">
        <f>PT_Actuariat!H7</f>
        <v/>
      </c>
      <c r="D5" s="46">
        <f>PT_Actuariat!M7</f>
        <v/>
      </c>
      <c r="E5" s="46">
        <f>IF(PT_Actuariat!$F$2="Données correctes",B5,C5)-D5</f>
        <v/>
      </c>
      <c r="F5" s="47">
        <f>PT_Actuariat!L7</f>
        <v/>
      </c>
      <c r="G5" s="48">
        <f>COUNTIF(PT_Actuariat!K8:K12,"Effectuée")</f>
        <v/>
      </c>
      <c r="H5" s="48">
        <f>COUNTIF(PT_Actuariat!K8:K12,"En cours")</f>
        <v/>
      </c>
      <c r="I5" s="48">
        <f>COUNTIF(PT_Actuariat!K8:K12,"Bloquée")</f>
        <v/>
      </c>
      <c r="J5" s="48">
        <f>COUNTIF(PT_Actuariat!K8:K12,"Non réalisée")</f>
        <v/>
      </c>
      <c r="K5" s="48">
        <f>COUNTA(PT_Actuariat!K8:K12)</f>
        <v/>
      </c>
    </row>
    <row r="6" ht="30" customHeight="1" s="62">
      <c r="A6" s="45">
        <f>PT_Actuariat!B13</f>
        <v/>
      </c>
      <c r="B6" s="49">
        <f>PT_Actuariat!G13</f>
        <v/>
      </c>
      <c r="C6" s="49">
        <f>PT_Actuariat!H13</f>
        <v/>
      </c>
      <c r="D6" s="49">
        <f>PT_Actuariat!M13</f>
        <v/>
      </c>
      <c r="E6" s="49">
        <f>IF(PT_Actuariat!$F$2="Données correctes",B6,C6)-D6</f>
        <v/>
      </c>
      <c r="F6" s="50">
        <f>PT_Actuariat!L13</f>
        <v/>
      </c>
      <c r="G6" s="51">
        <f>COUNTIF(PT_Actuariat!K14:K20,"Effectuée")</f>
        <v/>
      </c>
      <c r="H6" s="51">
        <f>COUNTIF(PT_Actuariat!K14:K20,"En cours")</f>
        <v/>
      </c>
      <c r="I6" s="51">
        <f>COUNTIF(PT_Actuariat!K14:K20,"Bloquée")</f>
        <v/>
      </c>
      <c r="J6" s="51">
        <f>COUNTIF(PT_Actuariat!K14:K20,"Non réalisée")</f>
        <v/>
      </c>
      <c r="K6" s="51">
        <f>COUNTA(PT_Actuariat!K14:K20)</f>
        <v/>
      </c>
    </row>
    <row r="7" ht="30" customHeight="1" s="62">
      <c r="A7" s="45">
        <f>PT_Actuariat!B21</f>
        <v/>
      </c>
      <c r="B7" s="46">
        <f>PT_Actuariat!G21</f>
        <v/>
      </c>
      <c r="C7" s="46">
        <f>PT_Actuariat!H21</f>
        <v/>
      </c>
      <c r="D7" s="46">
        <f>PT_Actuariat!M21</f>
        <v/>
      </c>
      <c r="E7" s="46">
        <f>IF(PT_Actuariat!$F$2="Données correctes",B7,C7)-D7</f>
        <v/>
      </c>
      <c r="F7" s="47">
        <f>PT_Actuariat!L21</f>
        <v/>
      </c>
      <c r="G7" s="48">
        <f>COUNTIF(PT_Actuariat!K22:K27,"Effectuée")</f>
        <v/>
      </c>
      <c r="H7" s="48">
        <f>COUNTIF(PT_Actuariat!K22:K27,"En cours")</f>
        <v/>
      </c>
      <c r="I7" s="48">
        <f>COUNTIF(PT_Actuariat!K22:K27,"Bloquée")</f>
        <v/>
      </c>
      <c r="J7" s="48">
        <f>COUNTIF(PT_Actuariat!K22:K27,"Non réalisée")</f>
        <v/>
      </c>
      <c r="K7" s="48">
        <f>COUNTA(PT_Actuariat!K22:K27)</f>
        <v/>
      </c>
    </row>
    <row r="8" ht="30" customHeight="1" s="62">
      <c r="A8" s="45">
        <f>PT_Actuariat!B28</f>
        <v/>
      </c>
      <c r="B8" s="49">
        <f>PT_Actuariat!G28</f>
        <v/>
      </c>
      <c r="C8" s="49">
        <f>PT_Actuariat!H28</f>
        <v/>
      </c>
      <c r="D8" s="49">
        <f>PT_Actuariat!M28</f>
        <v/>
      </c>
      <c r="E8" s="49">
        <f>IF(PT_Actuariat!$F$2="Données correctes",B8,C8)-D8</f>
        <v/>
      </c>
      <c r="F8" s="50">
        <f>PT_Actuariat!L28</f>
        <v/>
      </c>
      <c r="G8" s="51">
        <f>COUNTIF(PT_Actuariat!K29:K33,"Effectuée")</f>
        <v/>
      </c>
      <c r="H8" s="51">
        <f>COUNTIF(PT_Actuariat!K29:K33,"En cours")</f>
        <v/>
      </c>
      <c r="I8" s="51">
        <f>COUNTIF(PT_Actuariat!K29:K33,"Bloquée")</f>
        <v/>
      </c>
      <c r="J8" s="51">
        <f>COUNTIF(PT_Actuariat!K29:K33,"Non réalisée")</f>
        <v/>
      </c>
      <c r="K8" s="51">
        <f>COUNTA(PT_Actuariat!K29:K33)</f>
        <v/>
      </c>
    </row>
    <row r="9" ht="30" customHeight="1" s="62">
      <c r="A9" s="45">
        <f>PT_Actuariat!B34</f>
        <v/>
      </c>
      <c r="B9" s="46">
        <f>PT_Actuariat!G34</f>
        <v/>
      </c>
      <c r="C9" s="46">
        <f>PT_Actuariat!H34</f>
        <v/>
      </c>
      <c r="D9" s="46">
        <f>PT_Actuariat!M34</f>
        <v/>
      </c>
      <c r="E9" s="46">
        <f>IF(PT_Actuariat!$F$2="Données correctes",B9,C9)-D9</f>
        <v/>
      </c>
      <c r="F9" s="47">
        <f>PT_Actuariat!L34</f>
        <v/>
      </c>
      <c r="G9" s="48">
        <f>COUNTIF(PT_Actuariat!K35:K39,"Effectuée")</f>
        <v/>
      </c>
      <c r="H9" s="48">
        <f>COUNTIF(PT_Actuariat!K35:K39,"En cours")</f>
        <v/>
      </c>
      <c r="I9" s="48">
        <f>COUNTIF(PT_Actuariat!K35:K39,"Bloquée")</f>
        <v/>
      </c>
      <c r="J9" s="48">
        <f>COUNTIF(PT_Actuariat!K35:K39,"Non réalisée")</f>
        <v/>
      </c>
      <c r="K9" s="48">
        <f>COUNTA(PT_Actuariat!K35:K39)</f>
        <v/>
      </c>
    </row>
    <row r="10" ht="30" customHeight="1" s="62">
      <c r="A10" s="45">
        <f>PT_Actuariat!B40</f>
        <v/>
      </c>
      <c r="B10" s="49">
        <f>PT_Actuariat!G40</f>
        <v/>
      </c>
      <c r="C10" s="49">
        <f>PT_Actuariat!H40</f>
        <v/>
      </c>
      <c r="D10" s="49">
        <f>PT_Actuariat!M40</f>
        <v/>
      </c>
      <c r="E10" s="49">
        <f>IF(PT_Actuariat!$F$2="Données correctes",B10,C10)-D10</f>
        <v/>
      </c>
      <c r="F10" s="50">
        <f>PT_Actuariat!L40</f>
        <v/>
      </c>
      <c r="G10" s="51">
        <f>COUNTIF(PT_Actuariat!K41:K44,"Effectuée")</f>
        <v/>
      </c>
      <c r="H10" s="51">
        <f>COUNTIF(PT_Actuariat!K41:K44,"En cours")</f>
        <v/>
      </c>
      <c r="I10" s="51">
        <f>COUNTIF(PT_Actuariat!K41:K44,"Bloquée")</f>
        <v/>
      </c>
      <c r="J10" s="51">
        <f>COUNTIF(PT_Actuariat!K41:K44,"Non réalisée")</f>
        <v/>
      </c>
      <c r="K10" s="51">
        <f>COUNTA(PT_Actuariat!K41:K44)</f>
        <v/>
      </c>
    </row>
    <row r="11" ht="30" customHeight="1" s="62">
      <c r="A11" s="45">
        <f>PT_Actuariat!B45</f>
        <v/>
      </c>
      <c r="B11" s="46">
        <f>PT_Actuariat!G45</f>
        <v/>
      </c>
      <c r="C11" s="46">
        <f>PT_Actuariat!H45</f>
        <v/>
      </c>
      <c r="D11" s="46">
        <f>PT_Actuariat!M45</f>
        <v/>
      </c>
      <c r="E11" s="46">
        <f>IF(PT_Actuariat!$F$2="Données correctes",B11,C11)-D11</f>
        <v/>
      </c>
      <c r="F11" s="47">
        <f>PT_Actuariat!L45</f>
        <v/>
      </c>
      <c r="G11" s="48">
        <f>COUNTIF(PT_Actuariat!K46:K48,"Effectuée")</f>
        <v/>
      </c>
      <c r="H11" s="48">
        <f>COUNTIF(PT_Actuariat!K46:K48,"En cours")</f>
        <v/>
      </c>
      <c r="I11" s="48">
        <f>COUNTIF(PT_Actuariat!K46:K48,"Bloquée")</f>
        <v/>
      </c>
      <c r="J11" s="48">
        <f>COUNTIF(PT_Actuariat!K46:K48,"Non réalisée")</f>
        <v/>
      </c>
      <c r="K11" s="48">
        <f>COUNTA(PT_Actuariat!K46:K48)</f>
        <v/>
      </c>
    </row>
    <row r="12" ht="30" customHeight="1" s="62">
      <c r="A12" s="45">
        <f>PT_Actuariat!B49</f>
        <v/>
      </c>
      <c r="B12" s="49">
        <f>PT_Actuariat!G49</f>
        <v/>
      </c>
      <c r="C12" s="49">
        <f>PT_Actuariat!H49</f>
        <v/>
      </c>
      <c r="D12" s="49">
        <f>PT_Actuariat!M49</f>
        <v/>
      </c>
      <c r="E12" s="49">
        <f>IF(PT_Actuariat!$F$2="Données correctes",B12,C12)-D12</f>
        <v/>
      </c>
      <c r="F12" s="50">
        <f>PT_Actuariat!L49</f>
        <v/>
      </c>
      <c r="G12" s="51">
        <f>COUNTIF(PT_Actuariat!K50:K55,"Effectuée")</f>
        <v/>
      </c>
      <c r="H12" s="51">
        <f>COUNTIF(PT_Actuariat!K50:K55,"En cours")</f>
        <v/>
      </c>
      <c r="I12" s="51">
        <f>COUNTIF(PT_Actuariat!K50:K55,"Bloquée")</f>
        <v/>
      </c>
      <c r="J12" s="51">
        <f>COUNTIF(PT_Actuariat!K50:K55,"Non réalisée")</f>
        <v/>
      </c>
      <c r="K12" s="51">
        <f>COUNTA(PT_Actuariat!K50:K55)</f>
        <v/>
      </c>
    </row>
    <row r="13">
      <c r="A13" s="45" t="inlineStr">
        <is>
          <t>Total de la mission</t>
        </is>
      </c>
      <c r="B13" s="52">
        <f>SUM(B5:B12)</f>
        <v/>
      </c>
      <c r="C13" s="52">
        <f>SUM(C5:C12)</f>
        <v/>
      </c>
      <c r="D13" s="52">
        <f>SUM(D5:D12)</f>
        <v/>
      </c>
      <c r="E13" s="52">
        <f>SUM(E5:E12)</f>
        <v/>
      </c>
      <c r="F13" s="53">
        <f>PT_Actuariat!L56</f>
        <v/>
      </c>
      <c r="G13" s="54">
        <f>SUM(G5:G12)</f>
        <v/>
      </c>
      <c r="H13" s="54">
        <f>SUM(H5:H12)</f>
        <v/>
      </c>
      <c r="I13" s="54">
        <f>SUM(I5:I12)</f>
        <v/>
      </c>
      <c r="J13" s="54">
        <f>SUM(J5:J12)</f>
        <v/>
      </c>
      <c r="K13" s="54">
        <f>SUM(K5:K12)</f>
        <v/>
      </c>
    </row>
    <row r="14">
      <c r="A14" s="39" t="inlineStr">
        <is>
          <t>Source : onglet « Plan de travail » ; pointage Adenka au 23/10/2026</t>
        </is>
      </c>
    </row>
    <row r="15"/>
    <row r="16">
      <c r="A16" s="32" t="inlineStr">
        <is>
          <t>Figure 1 : Taux de réalisation par phase au 23/10/2026</t>
        </is>
      </c>
    </row>
    <row r="17"/>
    <row r="18"/>
    <row r="19"/>
    <row r="20"/>
    <row r="21"/>
    <row r="22"/>
    <row r="23"/>
    <row r="24"/>
    <row r="25"/>
    <row r="26"/>
    <row r="27"/>
    <row r="28"/>
    <row r="29"/>
    <row r="30"/>
    <row r="31"/>
    <row r="32"/>
    <row r="33"/>
    <row r="34"/>
    <row r="35"/>
    <row r="36">
      <c r="A36" s="39" t="inlineStr">
        <is>
          <t>Source : onglet « Plan de travail » ; pointage Adenka</t>
        </is>
      </c>
    </row>
  </sheetData>
  <pageMargins left="0.75" right="0.75" top="1" bottom="1" header="0.5" footer="0.5"/>
  <pageSetup orientation="landscape"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E37"/>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8671875" defaultRowHeight="14.4"/>
  <cols>
    <col width="10" customWidth="1" style="62" min="1" max="1"/>
    <col width="90" customWidth="1" style="62" min="2" max="2"/>
    <col width="18" customWidth="1" style="62" min="3" max="3"/>
    <col width="20" customWidth="1" style="62" min="4" max="4"/>
    <col width="24" customWidth="1" style="62" min="5" max="5"/>
  </cols>
  <sheetData>
    <row r="1" ht="17.4" customHeight="1" s="62">
      <c r="A1" s="40" t="inlineStr">
        <is>
          <t>Tableau 2 : Documents de la PBC dont dépendent les sous-activités bloquées ou en cours</t>
        </is>
      </c>
    </row>
    <row r="2">
      <c r="A2" s="41" t="inlineStr">
        <is>
          <t>Numéros et statuts repris de la PBC pointée au 23/10/2026 (FPPN_PBC_complete_pointee_20261023.xlsx). Doublons fusionnés : un numéro par document.</t>
        </is>
      </c>
    </row>
    <row r="4" ht="26.4" customHeight="1" s="62">
      <c r="A4" s="59" t="n">
        <v>1</v>
      </c>
      <c r="B4" s="59" t="inlineStr">
        <is>
          <t>Statuts et règlement intérieur en vigueur, ainsi que les versions applicables entre le 1er janvier 2020 et le 31 août 2026, avec leurs dates d'adoption.</t>
        </is>
      </c>
      <c r="C4" s="59" t="inlineStr">
        <is>
          <t>Partiellement Reçu</t>
        </is>
      </c>
      <c r="D4" s="59" t="inlineStr">
        <is>
          <t>1.3</t>
        </is>
      </c>
      <c r="E4" s="59" t="inlineStr">
        <is>
          <t>Limite la conclusion</t>
        </is>
      </c>
    </row>
    <row r="5" ht="39" customHeight="1" s="62">
      <c r="A5" s="59" t="n">
        <v>3</v>
      </c>
      <c r="B5" s="59" t="inlineStr">
        <is>
          <t>Tout rapport actuariel, étude technique ou note de calcul des engagements envers les mutualistes existant, quelle que soit sa date.</t>
        </is>
      </c>
      <c r="C5" s="59" t="inlineStr">
        <is>
          <t>Partiellement Reçu</t>
        </is>
      </c>
      <c r="D5" s="59" t="inlineStr">
        <is>
          <t>6.4</t>
        </is>
      </c>
      <c r="E5" s="59" t="inlineStr">
        <is>
          <t>Bloque la sous-activité</t>
        </is>
      </c>
    </row>
    <row r="6" ht="64.95" customHeight="1" s="62">
      <c r="A6" s="59" t="n">
        <v>4</v>
      </c>
      <c r="B6" s="59" t="inlineStr">
        <is>
          <t>Fichier des mutualistes à chacune des dates suivantes : 31/12/2019, 31/12/2020, 31/12/2021, 31/12/2022, 31/12/2023, 31/12/2024, 31/12/2025 et 31/08/2026. Une ligne par mutualiste : matricule, date de naissance, sexe, date d'entrée dans la police, date d'adhésion au FPPN, statut (actif, retraité, sorti, décédé), date et motif de sortie, montant de la cotisation mensuelle.</t>
        </is>
      </c>
      <c r="C6" s="59" t="inlineStr">
        <is>
          <t>Partiellement Reçu</t>
        </is>
      </c>
      <c r="D6" s="59" t="inlineStr">
        <is>
          <t>3.1, 3.5</t>
        </is>
      </c>
      <c r="E6" s="59" t="inlineStr">
        <is>
          <t>Bloque la sous-activité</t>
        </is>
      </c>
    </row>
    <row r="7" ht="28.05" customHeight="1" s="62">
      <c r="A7" s="59" t="n">
        <v>7</v>
      </c>
      <c r="B7" s="59" t="inlineStr">
        <is>
          <t>Liste des dossiers de prestations non payés à chacune des dates suivantes : 31/12/2019, 31/12/2020, 31/12/2021, 31/12/2022, 31/12/2023, 31/12/2024, 31/12/2025 et 31/08/2026, y compris les factures des prestataires de santé non réglées. Une ligne par dossier : matricule, type de prestation, date de l'événement, date de déclaration, montant dû.</t>
        </is>
      </c>
      <c r="C7" s="59" t="inlineStr">
        <is>
          <t>Partiellement Reçu</t>
        </is>
      </c>
      <c r="D7" s="59" t="inlineStr">
        <is>
          <t>4.2</t>
        </is>
      </c>
      <c r="E7" s="59" t="inlineStr">
        <is>
          <t>Bloque la sous-activité</t>
        </is>
      </c>
    </row>
    <row r="8" ht="52.05" customHeight="1" s="62">
      <c r="A8" s="59" t="n">
        <v>9</v>
      </c>
      <c r="B8" s="59" t="inlineStr">
        <is>
          <t>Comptes individuels d'épargne de 2020 au 31/08/2026. Une ligne par mutualiste et par année : solde d'ouverture, versements, intérêts crédités, retraits, solde de clôture.</t>
        </is>
      </c>
      <c r="C8" s="59" t="inlineStr">
        <is>
          <t>Partiellement Reçu</t>
        </is>
      </c>
      <c r="D8" s="59" t="inlineStr">
        <is>
          <t>2.5</t>
        </is>
      </c>
      <c r="E8" s="59" t="inlineStr">
        <is>
          <t>Limite la conclusion</t>
        </is>
      </c>
    </row>
    <row r="9" ht="64.95" customHeight="1" s="62">
      <c r="A9" s="59" t="n">
        <v>13</v>
      </c>
      <c r="B9" s="59" t="inlineStr">
        <is>
          <t>Âge de départ à la retraite des fonctionnaires de police, par grade le cas échéant, et texte de référence.</t>
        </is>
      </c>
      <c r="C9" s="59" t="inlineStr">
        <is>
          <t>Non Reçu</t>
        </is>
      </c>
      <c r="D9" s="59" t="inlineStr">
        <is>
          <t>1.5</t>
        </is>
      </c>
      <c r="E9" s="59" t="inlineStr">
        <is>
          <t>Limite la conclusion</t>
        </is>
      </c>
    </row>
    <row r="10" ht="39" customHeight="1" s="62">
      <c r="A10" s="59" t="n">
        <v>16</v>
      </c>
      <c r="B10" s="59" t="inlineStr">
        <is>
          <t>Base des sinistres décès et allocations du 01/01/2019 au 31/08/2026, une ligne par dossier, au format de l'onglet « Modèle données décès » : matricule, grade, date de naissance, bénéficiaire (policier, conjoint, enfant), date du décès, date de déclaration, date de dossier complet, date de paiement, capital, frais funéraires, statut.</t>
        </is>
      </c>
      <c r="C10" s="59" t="inlineStr">
        <is>
          <t>Partiellement Reçu</t>
        </is>
      </c>
      <c r="D10" s="59" t="inlineStr">
        <is>
          <t>2.6, 3.5, 4.3</t>
        </is>
      </c>
      <c r="E10" s="59" t="inlineStr">
        <is>
          <t>Bloque la sous-activité</t>
        </is>
      </c>
    </row>
    <row r="11" ht="28.05" customHeight="1" s="62">
      <c r="A11" s="59" t="n">
        <v>28</v>
      </c>
      <c r="B11" s="59" t="inlineStr">
        <is>
          <t>Rapports du commissaire aux comptes 2020 à 2025 et états financiers par risque long (règlement d'exécution n° 004/2022, art. 12 et 13).</t>
        </is>
      </c>
      <c r="C11" s="59" t="inlineStr">
        <is>
          <t>Partiellement Reçu</t>
        </is>
      </c>
      <c r="D11" s="59" t="inlineStr">
        <is>
          <t>6.4</t>
        </is>
      </c>
      <c r="E11" s="59" t="inlineStr">
        <is>
          <t>Bloque la sous-activité</t>
        </is>
      </c>
    </row>
    <row r="12" ht="39" customHeight="1" s="62">
      <c r="A12" s="59" t="n">
        <v>29</v>
      </c>
      <c r="B12" s="59" t="inlineStr">
        <is>
          <t>Attestation d'adhésion au FOMUS-CI, appels de cotisation et preuves de paiement 2022 à 2026.</t>
        </is>
      </c>
      <c r="C12" s="59" t="inlineStr">
        <is>
          <t>Non Reçu</t>
        </is>
      </c>
      <c r="D12" s="59" t="inlineStr">
        <is>
          <t>6.4</t>
        </is>
      </c>
      <c r="E12" s="59" t="inlineStr">
        <is>
          <t>Bloque la sous-activité</t>
        </is>
      </c>
    </row>
    <row r="13" ht="28.05" customHeight="1" s="62">
      <c r="A13" s="59" t="n">
        <v>30</v>
      </c>
      <c r="B13" s="59" t="inlineStr">
        <is>
          <t>Registre des contrôles a posteriori des factures et montants de prestations indues récupérés, 2022 à 2026.</t>
        </is>
      </c>
      <c r="C13" s="59" t="inlineStr">
        <is>
          <t>Non Reçu</t>
        </is>
      </c>
      <c r="D13" s="59" t="inlineStr">
        <is>
          <t>6.4</t>
        </is>
      </c>
      <c r="E13" s="59" t="inlineStr">
        <is>
          <t>Bloque la sous-activité</t>
        </is>
      </c>
    </row>
    <row r="14" ht="64.95" customHeight="1" s="62">
      <c r="A14" s="59" t="n">
        <v>38</v>
      </c>
      <c r="B14" s="59" t="inlineStr">
        <is>
          <t>Fichiers aller maladie (poste 936) et décès (poste 8Z6), de janvier 2020 à août 2026, transmis par la direction du personnel de la Police à la Solde (aucun fichier aller reçu sur 80 mois, voir l'onglet « Fichiers manquants » de la PBC complémentaire cotisations).</t>
        </is>
      </c>
      <c r="C14" s="59" t="inlineStr">
        <is>
          <t>Non Reçu</t>
        </is>
      </c>
      <c r="D14" s="59" t="inlineStr">
        <is>
          <t>2.4</t>
        </is>
      </c>
      <c r="E14" s="59" t="inlineStr">
        <is>
          <t>Bloque la sous-activité</t>
        </is>
      </c>
    </row>
    <row r="15" ht="39" customHeight="1" s="62">
      <c r="A15" s="59" t="n">
        <v>39</v>
      </c>
      <c r="B15" s="59" t="inlineStr">
        <is>
          <t>Fichiers retour maladie (936) et décès (8Z6) manquants ou vides : « 122024_effectif_police_936_DECEMBRE 2024.xlsx » et « FPPN_ALLOC_DECES_8Z6_DECEMBRE_2024.xlsx » (reçus vides, 0 octet) ; retours 8Z6 de mai à octobre 2024 et d'avril 2025 ; retours 936 et 8Z6 de janvier 2020 à décembre 2023.</t>
        </is>
      </c>
      <c r="C15" s="59" t="inlineStr">
        <is>
          <t>Non Reçu</t>
        </is>
      </c>
      <c r="D15" s="59" t="inlineStr">
        <is>
          <t>2.4</t>
        </is>
      </c>
      <c r="E15" s="59" t="inlineStr">
        <is>
          <t>Bloque la sous-activité</t>
        </is>
      </c>
    </row>
    <row r="16" ht="52.05" customHeight="1" s="62">
      <c r="A16" s="59" t="n">
        <v>40</v>
      </c>
      <c r="B16" s="59" t="inlineStr">
        <is>
          <t>Fichiers manquants des autres produits : retour Grenier 9X4 de décembre 2024, retour EFC 870 de mars 2025, retour CGRAE de janvier et de juin 2024 (le fichier reçu pour juin 2024 est un fichier aller), retours MEDOC 8Z7 de 2024 à 2026, fichiers aller et retour de la flotte 9W3 manquants (aller : 03, 05, 06 et 08/2025, 03 et 08/2026 ; retour : 04, 06 et 08/2025, 01/2026).</t>
        </is>
      </c>
      <c r="C16" s="59" t="inlineStr">
        <is>
          <t>Non Reçu</t>
        </is>
      </c>
      <c r="D16" s="59" t="inlineStr">
        <is>
          <t>2.4</t>
        </is>
      </c>
      <c r="E16" s="59" t="inlineStr">
        <is>
          <t>Bloque la sous-activité</t>
        </is>
      </c>
    </row>
    <row r="17" ht="28.05" customHeight="1" s="62">
      <c r="A17" s="59" t="n">
        <v>43</v>
      </c>
      <c r="B17" s="59" t="inlineStr">
        <is>
          <t>Fichier des ayants droit au 31/08/2026, au format de l'onglet « Modèle ayants droit » de la PBC complémentaire cotisations.</t>
        </is>
      </c>
      <c r="C17" s="59" t="inlineStr">
        <is>
          <t>Non Reçu</t>
        </is>
      </c>
      <c r="D17" s="59" t="inlineStr">
        <is>
          <t>3.1, 3.5</t>
        </is>
      </c>
      <c r="E17" s="59" t="inlineStr">
        <is>
          <t>Bloque la sous-activité</t>
        </is>
      </c>
    </row>
    <row r="18" ht="28.05" customHeight="1" s="62">
      <c r="A18" s="59" t="n">
        <v>47</v>
      </c>
      <c r="B18" s="59" t="inlineStr">
        <is>
          <t>Base des prestations, une ligne par facture ou par dossier, du 01/01/2020 au 31/08/2026 : matricule du mutualiste, bénéficiaire, prestataire, numéro de facture, date des soins, date de dépôt de la facture au FPPN, date de paiement, montant facturé, montant payé, motif d'un rejet (maladie). Les dossiers décès sont demandés à l'item des sinistres décès.</t>
        </is>
      </c>
      <c r="C18" s="59" t="inlineStr">
        <is>
          <t>Partiellement Reçu</t>
        </is>
      </c>
      <c r="D18" s="59" t="inlineStr">
        <is>
          <t>2.6, 3.5, 4.2, 4.3</t>
        </is>
      </c>
      <c r="E18" s="59" t="inlineStr">
        <is>
          <t>Bloque la sous-activité</t>
        </is>
      </c>
    </row>
    <row r="19" ht="28.05" customHeight="1" s="62">
      <c r="A19" s="59" t="n">
        <v>48</v>
      </c>
      <c r="B19" s="59" t="inlineStr">
        <is>
          <t>Toute pièce sur l'origine des provisions pour prestations à payer maladie (2 867 602 878 FCFA) et obsèques (1 961 695 412 FCFA), inchangées depuis au moins le 01/09/2020 et passées vers 2004 selon le chef comptable, et décision qui permettra de les reprendre ou de les justifier.</t>
        </is>
      </c>
      <c r="C19" s="59" t="inlineStr">
        <is>
          <t>Partiellement Reçu</t>
        </is>
      </c>
      <c r="D19" s="59" t="inlineStr">
        <is>
          <t>4.2</t>
        </is>
      </c>
      <c r="E19" s="59" t="inlineStr">
        <is>
          <t>Bloque la sous-activité</t>
        </is>
      </c>
    </row>
    <row r="20" ht="28.05" customHeight="1" s="62">
      <c r="A20" s="59" t="n">
        <v>51</v>
      </c>
      <c r="B20" s="59" t="inlineStr">
        <is>
          <t>Détail des mouvements du compte 47111106 « GNA ASSURANCE » de 2023 au 31/08/2026, avec les pièces justificatives.</t>
        </is>
      </c>
      <c r="C20" s="59" t="inlineStr">
        <is>
          <t>Non Reçu</t>
        </is>
      </c>
      <c r="D20" s="59" t="inlineStr">
        <is>
          <t>4.4</t>
        </is>
      </c>
      <c r="E20" s="59" t="inlineStr">
        <is>
          <t>Limite la conclusion</t>
        </is>
      </c>
    </row>
    <row r="21" ht="28.05" customHeight="1" s="62">
      <c r="A21" s="59" t="n">
        <v>53</v>
      </c>
      <c r="B21" s="59" t="inlineStr">
        <is>
          <t>DAT BOA (comptes 52210200 et 52210300) : conventions, taux, échéances et relevés de 2020 au 31/08/2026, et réponse écrite à la question : le DAT du compte 52210200 est-il un placement du FPPN ou un placement affecté à l'EFC, comme l'indique l'intitulé du compte ?</t>
        </is>
      </c>
      <c r="C21" s="59" t="inlineStr">
        <is>
          <t>Partiellement Reçu</t>
        </is>
      </c>
      <c r="D21" s="59" t="inlineStr">
        <is>
          <t>5.3</t>
        </is>
      </c>
      <c r="E21" s="59" t="inlineStr">
        <is>
          <t>Bloque la sous-activité</t>
        </is>
      </c>
    </row>
    <row r="22" ht="52.05" customHeight="1" s="62">
      <c r="A22" s="59" t="n">
        <v>54</v>
      </c>
      <c r="B22" s="59" t="inlineStr">
        <is>
          <t>Bulletin de souscription au FCP géré par United Capital (SGI), valeurs liquidatives et relevés de 2025 au 31/08/2026.</t>
        </is>
      </c>
      <c r="C22" s="59" t="inlineStr">
        <is>
          <t>Non Reçu</t>
        </is>
      </c>
      <c r="D22" s="59" t="inlineStr">
        <is>
          <t>5.3</t>
        </is>
      </c>
      <c r="E22" s="59" t="inlineStr">
        <is>
          <t>Bloque la sous-activité</t>
        </is>
      </c>
    </row>
    <row r="23" ht="39" customHeight="1" s="62">
      <c r="A23" s="59" t="n">
        <v>55</v>
      </c>
      <c r="B23" s="59" t="inlineStr">
        <is>
          <t>Inventaire et tableau de variation de tous les placements de 2016 au 31/08/2026 : souscriptions, intérêts, débouclages, par banque ou gestionnaire.</t>
        </is>
      </c>
      <c r="C23" s="59" t="inlineStr">
        <is>
          <t>Partiellement Reçu</t>
        </is>
      </c>
      <c r="D23" s="59" t="inlineStr">
        <is>
          <t>5.3</t>
        </is>
      </c>
      <c r="E23" s="59" t="inlineStr">
        <is>
          <t>Bloque la sous-activité</t>
        </is>
      </c>
    </row>
    <row r="24" ht="39" customHeight="1" s="62">
      <c r="A24" s="59" t="n">
        <v>64</v>
      </c>
      <c r="B24" s="59" t="inlineStr">
        <is>
          <t>Fichiers des décès transmis par la direction du personnel et calcul de fin d'année des allocations restant à payer, de 2020 à 2025, avec le compte utilisé.</t>
        </is>
      </c>
      <c r="C24" s="59" t="inlineStr">
        <is>
          <t>Partiellement Reçu</t>
        </is>
      </c>
      <c r="D24" s="59" t="inlineStr">
        <is>
          <t>4.2</t>
        </is>
      </c>
      <c r="E24" s="59" t="inlineStr">
        <is>
          <t>Bloque la sous-activité</t>
        </is>
      </c>
    </row>
    <row r="25" ht="28.05" customHeight="1" s="62">
      <c r="A25" s="59" t="n">
        <v>72</v>
      </c>
      <c r="B25" s="59" t="inlineStr">
        <is>
          <t>Fichier du personnel de la Direction Générale au 31/12/2025 et au 31/08/2026 : date de naissance, date d'embauche, salaire mensuel, catégorie, statut (personnel civil salarié ou fonctionnaire de police en service, article 31 du règlement intérieur).</t>
        </is>
      </c>
      <c r="C25" s="59" t="inlineStr">
        <is>
          <t>Partiellement Reçu</t>
        </is>
      </c>
      <c r="D25" s="59" t="inlineStr">
        <is>
          <t>4.4</t>
        </is>
      </c>
      <c r="E25" s="59" t="inlineStr">
        <is>
          <t>Limite la conclusion</t>
        </is>
      </c>
    </row>
    <row r="26" ht="64.95" customHeight="1" s="62">
      <c r="A26" s="59" t="n">
        <v>78</v>
      </c>
      <c r="B26" s="59" t="inlineStr">
        <is>
          <t>Personnel : âge de départ à la retraite appliqué, nombre d'enfants à charge de chaque salarié, justification des douze dates d'embauche modifiées dans la DISA 2025, rattachement (Direction Générale, CMP, Grenier) des dix-neuf agents recrutés en 2025, note et fichiers de calcul de la provision pour départ à la retraite (compte 196) de 2020 à 2026 : méthode, hypothèses, liste des salariés.</t>
        </is>
      </c>
      <c r="C26" s="59" t="inlineStr">
        <is>
          <t>Non Reçu</t>
        </is>
      </c>
      <c r="D26" s="59" t="inlineStr">
        <is>
          <t>4.4</t>
        </is>
      </c>
      <c r="E26" s="59" t="inlineStr">
        <is>
          <t>Limite la conclusion</t>
        </is>
      </c>
    </row>
    <row r="27" ht="39" customHeight="1" s="62">
      <c r="A27" s="39" t="inlineStr">
        <is>
          <t>Source : PBC pointée au 23/10/2026 ; onglet « Plan de travail »</t>
        </is>
      </c>
      <c r="B27" s="14" t="n"/>
      <c r="C27" s="13" t="n"/>
      <c r="D27" s="13" t="n"/>
      <c r="E27" s="12" t="n"/>
    </row>
    <row r="28" ht="28.05" customHeight="1" s="62">
      <c r="A28" s="55" t="n"/>
      <c r="B28" s="22" t="n"/>
      <c r="C28" s="21" t="n"/>
      <c r="D28" s="21" t="n"/>
      <c r="E28" s="20" t="n"/>
    </row>
    <row r="29" ht="28.05" customHeight="1" s="62">
      <c r="A29" s="55" t="n"/>
      <c r="B29" s="14" t="n"/>
      <c r="C29" s="13" t="n"/>
      <c r="D29" s="13" t="n"/>
      <c r="E29" s="12" t="n"/>
    </row>
    <row r="30" ht="28.05" customHeight="1" s="62">
      <c r="A30" s="55" t="n"/>
      <c r="B30" s="22" t="n"/>
      <c r="C30" s="21" t="n"/>
      <c r="D30" s="21" t="n"/>
      <c r="E30" s="20" t="n"/>
    </row>
    <row r="31" ht="28.05" customHeight="1" s="62">
      <c r="A31" s="55" t="n"/>
      <c r="B31" s="14" t="n"/>
      <c r="C31" s="13" t="n"/>
      <c r="D31" s="13" t="n"/>
      <c r="E31" s="12" t="n"/>
    </row>
    <row r="32" ht="28.05" customHeight="1" s="62">
      <c r="A32" s="55" t="n"/>
      <c r="B32" s="22" t="n"/>
      <c r="C32" s="21" t="n"/>
      <c r="D32" s="21" t="n"/>
      <c r="E32" s="20" t="n"/>
    </row>
    <row r="33" ht="39" customHeight="1" s="62">
      <c r="A33" s="55" t="n"/>
      <c r="B33" s="14" t="n"/>
      <c r="C33" s="13" t="n"/>
      <c r="D33" s="13" t="n"/>
      <c r="E33" s="12" t="n"/>
    </row>
    <row r="34" ht="28.05" customHeight="1" s="62">
      <c r="A34" s="55" t="n"/>
      <c r="B34" s="22" t="n"/>
      <c r="C34" s="21" t="n"/>
      <c r="D34" s="21" t="n"/>
      <c r="E34" s="20" t="n"/>
    </row>
    <row r="35" ht="39" customHeight="1" s="62">
      <c r="A35" s="55" t="n"/>
      <c r="B35" s="14" t="n"/>
      <c r="C35" s="13" t="n"/>
      <c r="D35" s="13" t="n"/>
      <c r="E35" s="12" t="n"/>
    </row>
    <row r="36"/>
    <row r="37">
      <c r="A37" s="39" t="n"/>
    </row>
  </sheetData>
  <autoFilter ref="A4:E35"/>
  <conditionalFormatting sqref="C5:C35">
    <cfRule type="expression" priority="1" dxfId="15">
      <formula>C5="Non Reçu"</formula>
    </cfRule>
  </conditionalFormatting>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B24"/>
  <sheetViews>
    <sheetView showGridLines="0" workbookViewId="0">
      <selection activeCell="A1" sqref="A1"/>
    </sheetView>
  </sheetViews>
  <sheetFormatPr baseColWidth="10" defaultColWidth="8.88671875" defaultRowHeight="14.4"/>
  <cols>
    <col width="26" customWidth="1" style="62" min="1" max="1"/>
    <col width="110" customWidth="1" style="62" min="2" max="2"/>
  </cols>
  <sheetData>
    <row r="1" ht="17.4" customHeight="1" s="62">
      <c r="A1" s="40" t="inlineStr">
        <is>
          <t>Mode d'emploi du plan de travail</t>
        </is>
      </c>
    </row>
    <row r="3">
      <c r="A3" s="56" t="inlineStr">
        <is>
          <t>Structure</t>
        </is>
      </c>
      <c r="B3" s="57" t="n"/>
    </row>
    <row r="4" ht="28.05" customHeight="1" s="62">
      <c r="A4" s="45" t="inlineStr">
        <is>
          <t>Phases</t>
        </is>
      </c>
      <c r="B4" s="12" t="inlineStr">
        <is>
          <t>Les huit phases sont les activités de l'estimation du temps de la mission (26 j si les données sont correctes, 39 j si elles sont dégradées).</t>
        </is>
      </c>
    </row>
    <row r="5" ht="28.05" customHeight="1" s="62">
      <c r="A5" s="45" t="inlineStr">
        <is>
          <t>Sous-activités</t>
        </is>
      </c>
      <c r="B5" s="20" t="inlineStr">
        <is>
          <t>Chaque phase est détaillée en sous-activités. Leur temps estimé redonne exactement le temps de la phase dans les deux scénarios.</t>
        </is>
      </c>
    </row>
    <row r="6" ht="28.05" customHeight="1" s="62">
      <c r="A6" s="45" t="inlineStr">
        <is>
          <t>Pointage</t>
        </is>
      </c>
      <c r="B6" s="12" t="inlineStr">
        <is>
          <t>La colonne « Observations et pièces justificatives » cite la pièce qui justifie le statut (rapport et classeur des calculs du 23/10/2026, PBC, comptes rendus) et les items de la PBC attendus.</t>
        </is>
      </c>
    </row>
    <row r="8">
      <c r="A8" s="56" t="inlineStr">
        <is>
          <t>Mise à jour</t>
        </is>
      </c>
      <c r="B8" s="57" t="n"/>
    </row>
    <row r="9" ht="18" customHeight="1" s="62">
      <c r="A9" s="45" t="inlineStr">
        <is>
          <t>Statut</t>
        </is>
      </c>
      <c r="B9" s="12" t="inlineStr">
        <is>
          <t>Liste déroulante sur chaque sous-activité. Le statut des phases et de la mission est calculé.</t>
        </is>
      </c>
    </row>
    <row r="10" ht="18" customHeight="1" s="62">
      <c r="A10" s="45" t="inlineStr">
        <is>
          <t>Taux de réalisation</t>
        </is>
      </c>
      <c r="B10" s="20" t="inlineStr">
        <is>
          <t>Saisie libre entre 0 % et 100 % sur chaque sous-activité.</t>
        </is>
      </c>
    </row>
    <row r="11" ht="28.05" customHeight="1" s="62">
      <c r="A11" s="45" t="inlineStr">
        <is>
          <t>Scénario</t>
        </is>
      </c>
      <c r="B11" s="12" t="inlineStr">
        <is>
          <t>Cellule orange F2 de l'onglet « Plan de travail » : données dégradées (par défaut) ou données correctes.</t>
        </is>
      </c>
    </row>
    <row r="12" ht="28.05" customHeight="1" s="62">
      <c r="A12" s="45" t="inlineStr">
        <is>
          <t>Dates</t>
        </is>
      </c>
      <c r="B12" s="20" t="inlineStr">
        <is>
          <t>Les colonnes « Début prévu » et « Fin prévue » pilotent le diagramme ; le modifier revient à changer ces dates.</t>
        </is>
      </c>
    </row>
    <row r="14">
      <c r="A14" s="56" t="inlineStr">
        <is>
          <t>Calculs</t>
        </is>
      </c>
      <c r="B14" s="57" t="n"/>
    </row>
    <row r="15" ht="18" customHeight="1" s="62">
      <c r="A15" s="45" t="inlineStr">
        <is>
          <t>Temps réalisé équivalent</t>
        </is>
      </c>
      <c r="B15" s="12" t="inlineStr">
        <is>
          <t>Temps estimé du scénario choisi multiplié par le taux de réalisation de la sous-activité.</t>
        </is>
      </c>
    </row>
    <row r="16" ht="28.05" customHeight="1" s="62">
      <c r="A16" s="45" t="inlineStr">
        <is>
          <t>Taux d'une phase</t>
        </is>
      </c>
      <c r="B16" s="20" t="inlineStr">
        <is>
          <t>Somme des temps réalisés équivalents de la phase divisée par son temps estimé : moyenne des taux pondérée par le temps.</t>
        </is>
      </c>
    </row>
    <row r="17" ht="18" customHeight="1" s="62">
      <c r="A17" s="45" t="inlineStr">
        <is>
          <t>Taux de la mission</t>
        </is>
      </c>
      <c r="B17" s="12" t="inlineStr">
        <is>
          <t>Somme des temps réalisés équivalents divisée par le temps estimé total du scénario choisi.</t>
        </is>
      </c>
    </row>
    <row r="18" ht="28.05" customHeight="1" s="62">
      <c r="A18" s="45" t="inlineStr">
        <is>
          <t>Statut d'une phase</t>
        </is>
      </c>
      <c r="B18" s="20" t="inlineStr">
        <is>
          <t>Effectuée à 100 % ; Bloquée si le taux est nul et qu'une sous-activité est bloquée ; Non réalisée si le taux est nul ; En cours sinon.</t>
        </is>
      </c>
    </row>
    <row r="20">
      <c r="A20" s="56" t="inlineStr">
        <is>
          <t>Statuts</t>
        </is>
      </c>
      <c r="B20" s="57" t="n"/>
    </row>
    <row r="21">
      <c r="A21" s="42" t="inlineStr">
        <is>
          <t>Effectuée</t>
        </is>
      </c>
      <c r="B21" s="58" t="inlineStr">
        <is>
          <t>Travail terminé, pièce justificative disponible.</t>
        </is>
      </c>
    </row>
    <row r="22">
      <c r="A22" s="1" t="inlineStr">
        <is>
          <t>En cours</t>
        </is>
      </c>
      <c r="B22" s="58" t="inlineStr">
        <is>
          <t>Travail engagé, résultat provisoire ou partiel.</t>
        </is>
      </c>
    </row>
    <row r="23">
      <c r="A23" s="43" t="inlineStr">
        <is>
          <t>Bloquée</t>
        </is>
      </c>
      <c r="B23" s="58" t="inlineStr">
        <is>
          <t>Travail arrêté ou limité dans l'attente de documents du FPPN (items de la PBC cités).</t>
        </is>
      </c>
    </row>
    <row r="24">
      <c r="A24" s="44" t="inlineStr">
        <is>
          <t>Non réalisée</t>
        </is>
      </c>
      <c r="B24" s="58" t="inlineStr">
        <is>
          <t>Travail non commencé, selon le calendrier prévu.</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2026-10-22T12:47:27Z</dcterms:created>
  <dcterms:modified xmlns:dcterms="http://purl.org/dc/terms/" xmlns:xsi="http://www.w3.org/2001/XMLSchema-instance" xsi:type="dcterms:W3CDTF">2026-10-23T02:51:13Z</dcterms:modified>
  <cp:lastModifiedBy>Jean-Noel Sialou</cp:lastModifiedBy>
</cp:coreProperties>
</file>