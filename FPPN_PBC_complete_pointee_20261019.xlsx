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FPPN'!$A$1:$N$71</definedName>
    <definedName name="_xlnm._FilterDatabase" localSheetId="3" hidden="1">'Détail par mois'!$B$5:$E$1605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35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IFERROR(COUNTIF($M$11:$M$135,"Reçu")/(COUNTA($M$11:$M$135)-COUNTIF($M$11:$M$135,"Non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48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/>
      <c r="J11" s="74" t="n"/>
      <c r="K11" s="75" t="inlineStr">
        <is>
          <t>Non reçu dans l'envoi du 15/10/2026. Aucun statut ni règlement intérieur, pour aucune version de 2020 à 2026.</t>
        </is>
      </c>
      <c r="M11" s="76" t="inlineStr">
        <is>
          <t>Non Reçu</t>
        </is>
      </c>
    </row>
    <row r="12" ht="61.5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/>
      <c r="J12" s="74" t="n"/>
      <c r="K12" s="75" t="inlineStr">
        <is>
          <t>Non reçu dans l'envoi du 15/10/2026. Seuls des fichiers de précomptes ont été reçus : ils ne décrivent pas les prestations.</t>
        </is>
      </c>
      <c r="M12" s="76" t="inlineStr">
        <is>
          <t>Non Reçu</t>
        </is>
      </c>
    </row>
    <row r="13" ht="117.75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      </is>
      </c>
      <c r="M13" s="76" t="inlineStr">
        <is>
          <t>Partiellement Reçu</t>
        </is>
      </c>
    </row>
    <row r="14" ht="132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      </is>
      </c>
      <c r="M14" s="76" t="inlineStr">
        <is>
          <t>Partiellement Reçu</t>
        </is>
      </c>
    </row>
    <row r="15" ht="48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17.75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33.75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/>
      <c r="J19" s="74" t="n"/>
      <c r="K19" s="75" t="inlineStr">
        <is>
          <t>Non reçu dans l'envoi du 15/10/2026.</t>
        </is>
      </c>
      <c r="M19" s="76" t="inlineStr">
        <is>
          <t>Non Reçu</t>
        </is>
      </c>
    </row>
    <row r="20" ht="33.75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</t>
        </is>
      </c>
      <c r="M20" s="76" t="inlineStr">
        <is>
          <t>Non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3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      </is>
      </c>
      <c r="M23" s="76" t="inlineStr">
        <is>
          <t>Partiellement Reçu</t>
        </is>
      </c>
    </row>
    <row r="24" ht="33.75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75.75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</t>
        </is>
      </c>
      <c r="M25" s="76" t="inlineStr">
        <is>
          <t>Non Reçu</t>
        </is>
      </c>
    </row>
    <row r="26" ht="159.75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61.5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/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</t>
        </is>
      </c>
      <c r="M29" s="76" t="inlineStr">
        <is>
          <t>Non Reçu</t>
        </is>
      </c>
    </row>
    <row r="30" ht="75.75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</t>
        </is>
      </c>
      <c r="M30" s="76" t="inlineStr">
        <is>
          <t>Non Reçu</t>
        </is>
      </c>
    </row>
    <row r="31" ht="33.75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48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/>
      <c r="J34" s="74" t="n"/>
      <c r="K34" s="75" t="inlineStr">
        <is>
          <t>Non reçu dans l'envoi du 15/10/2026. Les fichiers de versements EFC 870 et PEP 998 reçus ne décrivent pas les règles des produits.</t>
        </is>
      </c>
      <c r="M34" s="76" t="inlineStr">
        <is>
          <t>Non Reçu</t>
        </is>
      </c>
    </row>
    <row r="35" ht="103.5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33.75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/>
      <c r="J36" s="74" t="n"/>
      <c r="K36" s="75" t="inlineStr">
        <is>
          <t>Non reçu dans l'envoi du 15/10/2026.</t>
        </is>
      </c>
      <c r="M36" s="76" t="inlineStr">
        <is>
          <t>Non Reçu</t>
        </is>
      </c>
    </row>
    <row r="37" ht="61.5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33.75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/>
      <c r="J40" s="74" t="inlineStr">
        <is>
          <t>Electronique</t>
        </is>
      </c>
      <c r="K40" s="75" t="inlineStr">
        <is>
          <t>Non reçu dans l'envoi du 15/10/2026.</t>
        </is>
      </c>
      <c r="M40" s="76" t="inlineStr">
        <is>
          <t>Non Reçu</t>
        </is>
      </c>
    </row>
    <row r="41" ht="117.75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33.75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48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/>
      <c r="J43" s="74" t="n"/>
      <c r="K43" s="75" t="inlineStr">
        <is>
          <t>Non reçu dans l'envoi du 15/10/2026.</t>
        </is>
      </c>
      <c r="M43" s="76" t="inlineStr">
        <is>
          <t>Non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33.75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33.75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/>
      <c r="J48" s="74" t="n"/>
      <c r="K48" s="75" t="inlineStr">
        <is>
          <t>Non reçu dans l'envoi du 15/10/2026.</t>
        </is>
      </c>
      <c r="M48" s="76" t="inlineStr">
        <is>
          <t>Non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33.75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/>
      <c r="J51" s="74" t="inlineStr">
        <is>
          <t>Electronique</t>
        </is>
      </c>
      <c r="K51" s="75" t="inlineStr">
        <is>
          <t>Non reçu dans l'envoi du 15/10/2026.</t>
        </is>
      </c>
      <c r="M51" s="76" t="inlineStr">
        <is>
          <t>Non Reçu</t>
        </is>
      </c>
    </row>
    <row r="52" ht="61.5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/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</t>
        </is>
      </c>
      <c r="M52" s="76" t="inlineStr">
        <is>
          <t>Non Reçu</t>
        </is>
      </c>
    </row>
    <row r="53" ht="48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</t>
        </is>
      </c>
      <c r="M53" s="76" t="inlineStr">
        <is>
          <t>Non Reçu</t>
        </is>
      </c>
    </row>
    <row r="54" ht="33.75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/>
      <c r="J54" s="74" t="n"/>
      <c r="K54" s="75" t="inlineStr">
        <is>
          <t>Non reçu dans l'envoi du 15/10/2026.</t>
        </is>
      </c>
      <c r="M54" s="76" t="inlineStr">
        <is>
          <t>Non Reçu</t>
        </is>
      </c>
    </row>
    <row r="55" ht="33.75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33.75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33.75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/>
      <c r="J57" s="74" t="n"/>
      <c r="K57" s="75" t="inlineStr">
        <is>
          <t>Non reçu dans l'envoi du 15/10/2026.</t>
        </is>
      </c>
      <c r="M57" s="76" t="inlineStr">
        <is>
          <t>Non Reçu</t>
        </is>
      </c>
    </row>
    <row r="58" ht="33.75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/>
      <c r="J58" s="74" t="n"/>
      <c r="K58" s="75" t="inlineStr">
        <is>
          <t>Non reçu dans l'envoi du 15/10/2026.</t>
        </is>
      </c>
      <c r="M58" s="76" t="inlineStr">
        <is>
          <t>Non Reçu</t>
        </is>
      </c>
    </row>
    <row r="59" ht="33.75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</t>
        </is>
      </c>
      <c r="M59" s="76" t="inlineStr">
        <is>
          <t>Non Reçu</t>
        </is>
      </c>
    </row>
    <row r="60" ht="33.75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33.75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61.5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</t>
        </is>
      </c>
      <c r="M66" s="76" t="inlineStr">
        <is>
          <t>Non Reçu</t>
        </is>
      </c>
    </row>
    <row r="67" ht="33.75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33.75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33.75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</t>
        </is>
      </c>
      <c r="M72" s="76" t="inlineStr">
        <is>
          <t>Non Reçu</t>
        </is>
      </c>
    </row>
    <row r="73" ht="33.75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/>
      <c r="J73" s="74" t="n"/>
      <c r="K73" s="75" t="inlineStr">
        <is>
          <t>Demande issue de la lecture des textes de l'AIRMS (rapport v3, partie 10).</t>
        </is>
      </c>
      <c r="M73" s="76" t="inlineStr">
        <is>
          <t>Non Reçu</t>
        </is>
      </c>
    </row>
    <row r="74" ht="33.75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33.75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</t>
        </is>
      </c>
      <c r="M75" s="76" t="inlineStr">
        <is>
          <t>Non Reçu</t>
        </is>
      </c>
    </row>
    <row r="76" ht="33.75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</t>
        </is>
      </c>
      <c r="M76" s="76" t="inlineStr">
        <is>
          <t>Non Reçu</t>
        </is>
      </c>
    </row>
    <row r="77" ht="33.75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33.75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/>
      <c r="J78" s="74" t="n"/>
      <c r="K78" s="75" t="inlineStr">
        <is>
          <t>Demande issue de la lecture des textes de l'AIRMS (rapport v3, partie 10).</t>
        </is>
      </c>
      <c r="M78" s="76" t="inlineStr">
        <is>
          <t>Non Reçu</t>
        </is>
      </c>
    </row>
    <row r="79" ht="33.75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33.75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33.75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/>
      <c r="J81" s="74" t="n"/>
      <c r="K81" s="75" t="inlineStr">
        <is>
          <t>Demande issue de la lecture des textes de l'AIRMS (rapport v3, partie 10).</t>
        </is>
      </c>
      <c r="M81" s="76" t="inlineStr">
        <is>
          <t>Non Reçu</t>
        </is>
      </c>
    </row>
    <row r="82" ht="33.75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33.75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36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36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/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</t>
        </is>
      </c>
      <c r="M87" s="76" t="inlineStr">
        <is>
          <t>Non Reçu</t>
        </is>
      </c>
    </row>
    <row r="88" ht="36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36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36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36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</t>
        </is>
      </c>
      <c r="M91" s="76" t="inlineStr">
        <is>
          <t>Non Reçu</t>
        </is>
      </c>
    </row>
    <row r="92" ht="36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36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</t>
        </is>
      </c>
      <c r="M93" s="76" t="inlineStr">
        <is>
          <t>Non Reçu</t>
        </is>
      </c>
    </row>
    <row r="94" ht="21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36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21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36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36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36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36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/>
      <c r="J100" s="74" t="n"/>
      <c r="K100" s="75" t="inlineStr">
        <is>
          <t>Demande issue de l'entretien du 19/10/2026 avec le responsable des cotisations (PBC complémentaire cotisations).</t>
        </is>
      </c>
      <c r="M100" s="76" t="inlineStr">
        <is>
          <t>Non Reçu</t>
        </is>
      </c>
    </row>
    <row r="101" ht="13.5" customHeight="1" s="48">
      <c r="C101" s="67" t="n"/>
    </row>
    <row r="102" ht="18" customHeight="1" s="48">
      <c r="C102" s="69" t="inlineStr">
        <is>
          <t>Provisions et engagements (revue du rapport v5, 19/10/2026)</t>
        </is>
      </c>
    </row>
    <row r="103" ht="51" customHeight="1" s="48">
      <c r="B103" s="70">
        <f>+B100+1</f>
        <v/>
      </c>
      <c r="C103" s="71" t="inlineStr">
        <is>
          <t>Bases des prestations maladie et décès sur le plus grand nombre d'années disponibles (au moins depuis 2019) jusqu'au 31/08/2026, une ligne par dossier : date de survenance (soins ou décès), date de déclaration, date de paiement, montant, statut (payé, en attente, rejeté). Nécessaires à la PSAP dossier par dossier et à la méthode CIMA des sinistres tardifs.</t>
        </is>
      </c>
      <c r="E103" s="72" t="inlineStr">
        <is>
          <t>Urgent</t>
        </is>
      </c>
      <c r="G103" s="73" t="n">
        <v>46314</v>
      </c>
      <c r="H103" s="73" t="n">
        <v>46321</v>
      </c>
      <c r="I103" s="73" t="n"/>
      <c r="J103" s="74" t="inlineStr">
        <is>
          <t>Electronique</t>
        </is>
      </c>
      <c r="K103" s="75" t="inlineStr">
        <is>
          <t>Revue des provisions (rapport v5) : analyse en attente de ce document.</t>
        </is>
      </c>
      <c r="M103" s="76" t="inlineStr">
        <is>
          <t>Non Reçu</t>
        </is>
      </c>
    </row>
    <row r="104" ht="36" customHeight="1" s="48">
      <c r="B104" s="70">
        <f>+B103+1</f>
        <v/>
      </c>
      <c r="C104" s="71" t="inlineStr">
        <is>
          <t>Note de calcul des provisions pour prestations à payer maladie et obsèques (comptes 15801000 et 15802000), liste des dossiers qui les composent, et raison de l'absence de mise à jour depuis 2020.</t>
        </is>
      </c>
      <c r="E104" s="72" t="inlineStr">
        <is>
          <t>Urgent</t>
        </is>
      </c>
      <c r="G104" s="73" t="n">
        <v>46314</v>
      </c>
      <c r="H104" s="73" t="n">
        <v>46321</v>
      </c>
      <c r="I104" s="73" t="n"/>
      <c r="J104" s="74" t="n"/>
      <c r="K104" s="75" t="inlineStr">
        <is>
          <t>Revue des provisions (rapport v5) : analyse en attente de ce document.</t>
        </is>
      </c>
      <c r="M104" s="76" t="inlineStr">
        <is>
          <t>Non Reçu</t>
        </is>
      </c>
    </row>
    <row r="105" ht="36" customHeight="1" s="48">
      <c r="B105" s="70">
        <f>+B104+1</f>
        <v/>
      </c>
      <c r="C105" s="71" t="inlineStr">
        <is>
          <t>État des impayés du Grenier par tranche de retard au 31/12/2025 et au 31/08/2026, et politique de dépréciation des prêts en retard (décision, taux appliqués).</t>
        </is>
      </c>
      <c r="E105" s="72" t="inlineStr">
        <is>
          <t>Moyen</t>
        </is>
      </c>
      <c r="G105" s="73" t="n">
        <v>46314</v>
      </c>
      <c r="H105" s="73" t="n">
        <v>46321</v>
      </c>
      <c r="I105" s="73" t="n"/>
      <c r="J105" s="74" t="inlineStr">
        <is>
          <t>Electronique</t>
        </is>
      </c>
      <c r="K105" s="75" t="inlineStr">
        <is>
          <t>Revue des provisions (rapport v5) : analyse en attente de ce document.</t>
        </is>
      </c>
      <c r="M105" s="76" t="inlineStr">
        <is>
          <t>Non Reçu</t>
        </is>
      </c>
    </row>
    <row r="106" ht="36" customHeight="1" s="48">
      <c r="B106" s="70">
        <f>+B105+1</f>
        <v/>
      </c>
      <c r="C106" s="71" t="inlineStr">
        <is>
          <t>Politique de crédit et de recouvrement du Grenier : règles d'octroi, recouvrement des agents sortis ou non précomptés, traitement des prêts à mécano anormal.</t>
        </is>
      </c>
      <c r="E106" s="72" t="inlineStr">
        <is>
          <t>Moyen</t>
        </is>
      </c>
      <c r="G106" s="73" t="n">
        <v>46314</v>
      </c>
      <c r="H106" s="73" t="n">
        <v>46321</v>
      </c>
      <c r="I106" s="73" t="n"/>
      <c r="J106" s="74" t="n"/>
      <c r="K106" s="75" t="inlineStr">
        <is>
          <t>Revue des provisions (rapport v5) : analyse en attente de ce document.</t>
        </is>
      </c>
      <c r="M106" s="76" t="inlineStr">
        <is>
          <t>Non Reçu</t>
        </is>
      </c>
    </row>
    <row r="107" ht="36" customHeight="1" s="48">
      <c r="B107" s="70">
        <f>+B106+1</f>
        <v/>
      </c>
      <c r="C107" s="71" t="inlineStr">
        <is>
          <t>Détail des mouvements du compte 47111106 « GNA ASSURANCE » de 2023 au 31/08/2026, avec les pièces justificatives.</t>
        </is>
      </c>
      <c r="E107" s="72" t="inlineStr">
        <is>
          <t>Moyen</t>
        </is>
      </c>
      <c r="G107" s="73" t="n">
        <v>46314</v>
      </c>
      <c r="H107" s="73" t="n">
        <v>46321</v>
      </c>
      <c r="I107" s="73" t="n"/>
      <c r="J107" s="74" t="inlineStr">
        <is>
          <t>Electronique</t>
        </is>
      </c>
      <c r="K107" s="75" t="inlineStr">
        <is>
          <t>Revue des provisions (rapport v5) : analyse en attente de ce document.</t>
        </is>
      </c>
      <c r="M107" s="76" t="inlineStr">
        <is>
          <t>Non Reçu</t>
        </is>
      </c>
    </row>
    <row r="108" ht="36" customHeight="1" s="48">
      <c r="B108" s="70">
        <f>+B107+1</f>
        <v/>
      </c>
      <c r="C108" s="71" t="inlineStr">
        <is>
          <t>Fichier du personnel du FPPN au 31/12/2025 et au 31/08/2026 : date de naissance, date d'embauche, salaire mensuel, catégorie, âge de départ prévu.</t>
        </is>
      </c>
      <c r="E108" s="72" t="inlineStr">
        <is>
          <t>Moyen</t>
        </is>
      </c>
      <c r="G108" s="73" t="n">
        <v>46314</v>
      </c>
      <c r="H108" s="73" t="n">
        <v>46321</v>
      </c>
      <c r="I108" s="73" t="n"/>
      <c r="J108" s="74" t="inlineStr">
        <is>
          <t>Electronique</t>
        </is>
      </c>
      <c r="K108" s="75" t="inlineStr">
        <is>
          <t>Revue des provisions (rapport v5) : analyse en attente de ce document.</t>
        </is>
      </c>
      <c r="M108" s="76" t="inlineStr">
        <is>
          <t>Non Reçu</t>
        </is>
      </c>
    </row>
    <row r="109" ht="36" customHeight="1" s="48">
      <c r="B109" s="70">
        <f>+B108+1</f>
        <v/>
      </c>
      <c r="C109" s="71" t="inlineStr">
        <is>
          <t>Convention collective et accord d'entreprise applicables au personnel du FPPN, articles fixant l'indemnité de départ à la retraite.</t>
        </is>
      </c>
      <c r="E109" s="72" t="inlineStr">
        <is>
          <t>Moyen</t>
        </is>
      </c>
      <c r="G109" s="73" t="n">
        <v>46314</v>
      </c>
      <c r="H109" s="73" t="n">
        <v>46321</v>
      </c>
      <c r="I109" s="73" t="n"/>
      <c r="J109" s="74" t="n"/>
      <c r="K109" s="75" t="inlineStr">
        <is>
          <t>Revue des provisions (rapport v5) : analyse en attente de ce document.</t>
        </is>
      </c>
      <c r="M109" s="76" t="inlineStr">
        <is>
          <t>Non Reçu</t>
        </is>
      </c>
    </row>
    <row r="110" ht="36" customHeight="1" s="48">
      <c r="B110" s="70">
        <f>+B109+1</f>
        <v/>
      </c>
      <c r="C110" s="71" t="inlineStr">
        <is>
          <t>Note de calcul de la provision pour indemnités de départ à la retraite (compte 196) : méthode, hypothèses, liste des salariés.</t>
        </is>
      </c>
      <c r="E110" s="72" t="inlineStr">
        <is>
          <t>Moyen</t>
        </is>
      </c>
      <c r="G110" s="73" t="n">
        <v>46314</v>
      </c>
      <c r="H110" s="73" t="n">
        <v>46321</v>
      </c>
      <c r="I110" s="73" t="n"/>
      <c r="J110" s="74" t="n"/>
      <c r="K110" s="75" t="inlineStr">
        <is>
          <t>Revue des provisions (rapport v5) : analyse en attente de ce document.</t>
        </is>
      </c>
      <c r="M110" s="76" t="inlineStr">
        <is>
          <t>Non Reçu</t>
        </is>
      </c>
    </row>
    <row r="111" ht="36" customHeight="1" s="48">
      <c r="B111" s="70">
        <f>+B110+1</f>
        <v/>
      </c>
      <c r="C111" s="71" t="inlineStr">
        <is>
          <t>Règles de la garantie santé des retraités : durée (à vie ou limitée), conditions, cotisation, décision qui la fonde.</t>
        </is>
      </c>
      <c r="E111" s="72" t="inlineStr">
        <is>
          <t>Urgent</t>
        </is>
      </c>
      <c r="G111" s="73" t="n">
        <v>46314</v>
      </c>
      <c r="H111" s="73" t="n">
        <v>46321</v>
      </c>
      <c r="I111" s="73" t="n"/>
      <c r="J111" s="74" t="n"/>
      <c r="K111" s="75" t="inlineStr">
        <is>
          <t>Revue des provisions (rapport v5) : analyse en attente de ce document.</t>
        </is>
      </c>
      <c r="M111" s="76" t="inlineStr">
        <is>
          <t>Non Reçu</t>
        </is>
      </c>
    </row>
    <row r="112" ht="13.5" customHeight="1" s="48">
      <c r="C112" s="67" t="n"/>
    </row>
    <row r="113" ht="18" customHeight="1" s="48">
      <c r="C113" s="69" t="inlineStr">
        <is>
          <t>Placements et autres actifs (entretiens du 19/10/2026, 14h)</t>
        </is>
      </c>
    </row>
    <row r="114" ht="21" customHeight="1" s="48">
      <c r="B114" s="70">
        <f>+B111+1</f>
        <v/>
      </c>
      <c r="C114" s="71" t="inlineStr">
        <is>
          <t>Conventions, taux, échéances et relevés du DAT BOA (compte 52210200) de 2020 au 31/08/2026.</t>
        </is>
      </c>
      <c r="E114" s="72" t="inlineStr">
        <is>
          <t>Urgent</t>
        </is>
      </c>
      <c r="G114" s="73" t="n">
        <v>46314</v>
      </c>
      <c r="H114" s="73" t="n">
        <v>46321</v>
      </c>
      <c r="I114" s="73" t="n"/>
      <c r="J114" s="74" t="inlineStr">
        <is>
          <t>Electronique</t>
        </is>
      </c>
      <c r="K114" s="75" t="inlineStr">
        <is>
          <t>Demande issue des entretiens du 19/10/2026 avec le chef comptable (PBC complémentaire placements et provisions).</t>
        </is>
      </c>
      <c r="M114" s="76" t="inlineStr">
        <is>
          <t>Non Reçu</t>
        </is>
      </c>
    </row>
    <row r="115" ht="36" customHeight="1" s="48">
      <c r="B115" s="70">
        <f>+B114+1</f>
        <v/>
      </c>
      <c r="C115" s="71" t="inlineStr">
        <is>
          <t>Bulletin de souscription au FCP géré par United Capital (SGI), valeurs liquidatives et relevés de 2025 au 31/08/2026.</t>
        </is>
      </c>
      <c r="E115" s="72" t="inlineStr">
        <is>
          <t>Urgent</t>
        </is>
      </c>
      <c r="G115" s="73" t="n">
        <v>46314</v>
      </c>
      <c r="H115" s="73" t="n">
        <v>46321</v>
      </c>
      <c r="I115" s="73" t="n"/>
      <c r="J115" s="74" t="inlineStr">
        <is>
          <t>Electronique</t>
        </is>
      </c>
      <c r="K115" s="75" t="inlineStr">
        <is>
          <t>Demande issue des entretiens du 19/10/2026 avec le chef comptable (PBC complémentaire placements et provisions).</t>
        </is>
      </c>
      <c r="M115" s="76" t="inlineStr">
        <is>
          <t>Non Reçu</t>
        </is>
      </c>
    </row>
    <row r="116" ht="36" customHeight="1" s="48">
      <c r="B116" s="70">
        <f>+B115+1</f>
        <v/>
      </c>
      <c r="C116" s="71" t="inlineStr">
        <is>
          <t>Inventaire et tableau de variation de tous les placements de 2016 au 31/08/2026 : souscriptions, intérêts, débouclages, par banque ou gestionnaire.</t>
        </is>
      </c>
      <c r="E116" s="72" t="inlineStr">
        <is>
          <t>Urgent</t>
        </is>
      </c>
      <c r="G116" s="73" t="n">
        <v>46314</v>
      </c>
      <c r="H116" s="73" t="n">
        <v>46321</v>
      </c>
      <c r="I116" s="73" t="n"/>
      <c r="J116" s="74" t="inlineStr">
        <is>
          <t>Electronique</t>
        </is>
      </c>
      <c r="K116" s="75" t="inlineStr">
        <is>
          <t>Demande issue des entretiens du 19/10/2026 avec le chef comptable (PBC complémentaire placements et provisions).</t>
        </is>
      </c>
      <c r="M116" s="76" t="inlineStr">
        <is>
          <t>Non Reçu</t>
        </is>
      </c>
    </row>
    <row r="117" ht="21" customHeight="1" s="48">
      <c r="B117" s="70">
        <f>+B116+1</f>
        <v/>
      </c>
      <c r="C117" s="71" t="inlineStr">
        <is>
          <t>Correspondance avec Orabank sur l'arrêt des prélèvements mensuels et le remboursement du DAT.</t>
        </is>
      </c>
      <c r="E117" s="72" t="inlineStr">
        <is>
          <t>Moyen</t>
        </is>
      </c>
      <c r="G117" s="73" t="n">
        <v>46314</v>
      </c>
      <c r="H117" s="73" t="n">
        <v>46321</v>
      </c>
      <c r="I117" s="73" t="n"/>
      <c r="J117" s="74" t="n"/>
      <c r="K117" s="75" t="inlineStr">
        <is>
          <t>Demande issue des entretiens du 19/10/2026 avec le chef comptable (PBC complémentaire placements et provisions).</t>
        </is>
      </c>
      <c r="M117" s="76" t="inlineStr">
        <is>
          <t>Non Reçu</t>
        </is>
      </c>
    </row>
    <row r="118" ht="36" customHeight="1" s="48">
      <c r="B118" s="70">
        <f>+B117+1</f>
        <v/>
      </c>
      <c r="C118" s="71" t="inlineStr">
        <is>
          <t>Titres de propriété ou actes d'acquisition des terrains, situation de chaque terrain (projet, attribution, litige).</t>
        </is>
      </c>
      <c r="E118" s="72" t="inlineStr">
        <is>
          <t>Moyen</t>
        </is>
      </c>
      <c r="G118" s="73" t="n">
        <v>46314</v>
      </c>
      <c r="H118" s="73" t="n">
        <v>46321</v>
      </c>
      <c r="I118" s="73" t="n"/>
      <c r="J118" s="74" t="n"/>
      <c r="K118" s="75" t="inlineStr">
        <is>
          <t>Demande issue des entretiens du 19/10/2026 avec le chef comptable (PBC complémentaire placements et provisions).</t>
        </is>
      </c>
      <c r="M118" s="76" t="inlineStr">
        <is>
          <t>Non Reçu</t>
        </is>
      </c>
    </row>
    <row r="119" ht="21" customHeight="1" s="48">
      <c r="B119" s="70">
        <f>+B118+1</f>
        <v/>
      </c>
      <c r="C119" s="71" t="inlineStr">
        <is>
          <t>Baux et encaissements des immeubles d'Aboisso.</t>
        </is>
      </c>
      <c r="E119" s="72" t="inlineStr">
        <is>
          <t>Faible</t>
        </is>
      </c>
      <c r="G119" s="73" t="n">
        <v>46314</v>
      </c>
      <c r="H119" s="73" t="n">
        <v>46321</v>
      </c>
      <c r="I119" s="73" t="n"/>
      <c r="J119" s="74" t="n"/>
      <c r="K119" s="75" t="inlineStr">
        <is>
          <t>Demande issue des entretiens du 19/10/2026 avec le chef comptable (PBC complémentaire placements et provisions).</t>
        </is>
      </c>
      <c r="M119" s="76" t="inlineStr">
        <is>
          <t>Non Reçu</t>
        </is>
      </c>
    </row>
    <row r="120" ht="21" customHeight="1" s="48">
      <c r="B120" s="70">
        <f>+B119+1</f>
        <v/>
      </c>
      <c r="C120" s="71" t="inlineStr">
        <is>
          <t>Rapport de réévaluation du siège et décision de comptabilisation au compte 10620000.</t>
        </is>
      </c>
      <c r="E120" s="72" t="inlineStr">
        <is>
          <t>Urgent</t>
        </is>
      </c>
      <c r="G120" s="73" t="n">
        <v>46314</v>
      </c>
      <c r="H120" s="73" t="n">
        <v>46321</v>
      </c>
      <c r="I120" s="73" t="n"/>
      <c r="J120" s="74" t="n"/>
      <c r="K120" s="75" t="inlineStr">
        <is>
          <t>Demande issue des entretiens du 19/10/2026 avec le chef comptable (PBC complémentaire placements et provisions).</t>
        </is>
      </c>
      <c r="M120" s="76" t="inlineStr">
        <is>
          <t>Non Reçu</t>
        </is>
      </c>
    </row>
    <row r="121" ht="36" customHeight="1" s="48">
      <c r="B121" s="70">
        <f>+B120+1</f>
        <v/>
      </c>
      <c r="C121" s="71" t="inlineStr">
        <is>
          <t>Dossier de la créance sur l'hôpital de la Police (compte 47111100) : pièces, correspondances avec l'État, décision d'autonomie de l'hôpital.</t>
        </is>
      </c>
      <c r="E121" s="72" t="inlineStr">
        <is>
          <t>Moyen</t>
        </is>
      </c>
      <c r="G121" s="73" t="n">
        <v>46314</v>
      </c>
      <c r="H121" s="73" t="n">
        <v>46321</v>
      </c>
      <c r="I121" s="73" t="n"/>
      <c r="J121" s="74" t="n"/>
      <c r="K121" s="75" t="inlineStr">
        <is>
          <t>Demande issue des entretiens du 19/10/2026 avec le chef comptable (PBC complémentaire placements et provisions).</t>
        </is>
      </c>
      <c r="M121" s="76" t="inlineStr">
        <is>
          <t>Non Reçu</t>
        </is>
      </c>
    </row>
    <row r="122" ht="21" customHeight="1" s="48">
      <c r="B122" s="70">
        <f>+B121+1</f>
        <v/>
      </c>
      <c r="C122" s="71" t="inlineStr">
        <is>
          <t>Bilan d'ouverture de la clinique du FPPN (CMP) et détail des comptes 47111104 et 47111105.</t>
        </is>
      </c>
      <c r="E122" s="72" t="inlineStr">
        <is>
          <t>Moyen</t>
        </is>
      </c>
      <c r="G122" s="73" t="n">
        <v>46314</v>
      </c>
      <c r="H122" s="73" t="n">
        <v>46321</v>
      </c>
      <c r="I122" s="73" t="n"/>
      <c r="J122" s="74" t="inlineStr">
        <is>
          <t>Electronique</t>
        </is>
      </c>
      <c r="K122" s="75" t="inlineStr">
        <is>
          <t>Demande issue des entretiens du 19/10/2026 avec le chef comptable (PBC complémentaire placements et provisions).</t>
        </is>
      </c>
      <c r="M122" s="76" t="inlineStr">
        <is>
          <t>Non Reçu</t>
        </is>
      </c>
    </row>
    <row r="123" ht="21" customHeight="1" s="48">
      <c r="B123" s="70">
        <f>+B122+1</f>
        <v/>
      </c>
      <c r="C123" s="71" t="inlineStr">
        <is>
          <t>Convention d'apporteur d'affaires avec GNA et décomptes annuels des commissions (20 % des primes collectées).</t>
        </is>
      </c>
      <c r="E123" s="72" t="inlineStr">
        <is>
          <t>Moyen</t>
        </is>
      </c>
      <c r="G123" s="73" t="n">
        <v>46314</v>
      </c>
      <c r="H123" s="73" t="n">
        <v>46321</v>
      </c>
      <c r="I123" s="73" t="n"/>
      <c r="J123" s="74" t="n"/>
      <c r="K123" s="75" t="inlineStr">
        <is>
          <t>Demande issue des entretiens du 19/10/2026 avec le chef comptable (PBC complémentaire placements et provisions).</t>
        </is>
      </c>
      <c r="M123" s="76" t="inlineStr">
        <is>
          <t>Non Reçu</t>
        </is>
      </c>
    </row>
    <row r="124" ht="21" customHeight="1" s="48">
      <c r="B124" s="70">
        <f>+B123+1</f>
        <v/>
      </c>
      <c r="C124" s="71" t="inlineStr">
        <is>
          <t>Liste des comptes bancaires, actifs et inactifs, avec leurs signataires.</t>
        </is>
      </c>
      <c r="E124" s="72" t="inlineStr">
        <is>
          <t>Moyen</t>
        </is>
      </c>
      <c r="G124" s="73" t="n">
        <v>46314</v>
      </c>
      <c r="H124" s="73" t="n">
        <v>46321</v>
      </c>
      <c r="I124" s="73" t="n"/>
      <c r="J124" s="74" t="inlineStr">
        <is>
          <t>Electronique</t>
        </is>
      </c>
      <c r="K124" s="75" t="inlineStr">
        <is>
          <t>Demande issue des entretiens du 19/10/2026 avec le chef comptable (PBC complémentaire placements et provisions).</t>
        </is>
      </c>
      <c r="M124" s="76" t="inlineStr">
        <is>
          <t>Non Reçu</t>
        </is>
      </c>
    </row>
    <row r="125" ht="21" customHeight="1" s="48">
      <c r="B125" s="70">
        <f>+B124+1</f>
        <v/>
      </c>
      <c r="C125" s="71" t="inlineStr">
        <is>
          <t>État des chèques en suspens et des chèques annulés lors des changements de signataires.</t>
        </is>
      </c>
      <c r="E125" s="72" t="inlineStr">
        <is>
          <t>Faible</t>
        </is>
      </c>
      <c r="G125" s="73" t="n">
        <v>46314</v>
      </c>
      <c r="H125" s="73" t="n">
        <v>46321</v>
      </c>
      <c r="I125" s="73" t="n"/>
      <c r="J125" s="74" t="inlineStr">
        <is>
          <t>Electronique</t>
        </is>
      </c>
      <c r="K125" s="75" t="inlineStr">
        <is>
          <t>Demande issue des entretiens du 19/10/2026 avec le chef comptable (PBC complémentaire placements et provisions).</t>
        </is>
      </c>
      <c r="M125" s="76" t="inlineStr">
        <is>
          <t>Non Reçu</t>
        </is>
      </c>
    </row>
    <row r="126" ht="13.5" customHeight="1" s="48">
      <c r="C126" s="67" t="n"/>
    </row>
    <row r="127" ht="18" customHeight="1" s="48">
      <c r="C127" s="69" t="inlineStr">
        <is>
          <t>Provisions (entretiens du 19/10/2026, 16h)</t>
        </is>
      </c>
    </row>
    <row r="128" ht="36" customHeight="1" s="48">
      <c r="B128" s="70">
        <f>+B125+1</f>
        <v/>
      </c>
      <c r="C128" s="71" t="inlineStr">
        <is>
          <t>Fichiers des décès transmis par la direction du personnel et calcul de fin d'année des allocations restant à payer, de 2020 à 2025, avec le compte utilisé.</t>
        </is>
      </c>
      <c r="E128" s="72" t="inlineStr">
        <is>
          <t>Urgent</t>
        </is>
      </c>
      <c r="G128" s="73" t="n">
        <v>46314</v>
      </c>
      <c r="H128" s="73" t="n">
        <v>46321</v>
      </c>
      <c r="I128" s="73" t="n"/>
      <c r="J128" s="74" t="inlineStr">
        <is>
          <t>Electronique</t>
        </is>
      </c>
      <c r="K128" s="75" t="inlineStr">
        <is>
          <t>Demande issue des entretiens du 19/10/2026 avec le chef comptable (PBC complémentaire placements et provisions).</t>
        </is>
      </c>
      <c r="M128" s="76" t="inlineStr">
        <is>
          <t>Non Reçu</t>
        </is>
      </c>
    </row>
    <row r="129" ht="21" customHeight="1" s="48">
      <c r="B129" s="70">
        <f>+B128+1</f>
        <v/>
      </c>
      <c r="C129" s="71" t="inlineStr">
        <is>
          <t>Barème officiel des allocations décès par grade (sous-officier, officier, commissaire).</t>
        </is>
      </c>
      <c r="E129" s="72" t="inlineStr">
        <is>
          <t>Urgent</t>
        </is>
      </c>
      <c r="G129" s="73" t="n">
        <v>46314</v>
      </c>
      <c r="H129" s="73" t="n">
        <v>46321</v>
      </c>
      <c r="I129" s="73" t="n"/>
      <c r="J129" s="74" t="n"/>
      <c r="K129" s="75" t="inlineStr">
        <is>
          <t>Demande issue des entretiens du 19/10/2026 avec le chef comptable (PBC complémentaire placements et provisions).</t>
        </is>
      </c>
      <c r="M129" s="76" t="inlineStr">
        <is>
          <t>Non Reçu</t>
        </is>
      </c>
    </row>
    <row r="130" ht="21" customHeight="1" s="48">
      <c r="B130" s="70">
        <f>+B129+1</f>
        <v/>
      </c>
      <c r="C130" s="71" t="inlineStr">
        <is>
          <t>Contrats et décomptes de gestion de la garantie décès avec LMAI et Sanlam.</t>
        </is>
      </c>
      <c r="E130" s="72" t="inlineStr">
        <is>
          <t>Moyen</t>
        </is>
      </c>
      <c r="G130" s="73" t="n">
        <v>46314</v>
      </c>
      <c r="H130" s="73" t="n">
        <v>46321</v>
      </c>
      <c r="I130" s="73" t="n"/>
      <c r="J130" s="74" t="n"/>
      <c r="K130" s="75" t="inlineStr">
        <is>
          <t>Demande issue des entretiens du 19/10/2026 avec le chef comptable (PBC complémentaire placements et provisions).</t>
        </is>
      </c>
      <c r="M130" s="76" t="inlineStr">
        <is>
          <t>Non Reçu</t>
        </is>
      </c>
    </row>
    <row r="131" ht="21" customHeight="1" s="48">
      <c r="B131" s="70">
        <f>+B130+1</f>
        <v/>
      </c>
      <c r="C131" s="71" t="inlineStr">
        <is>
          <t>Courrier de l'AIRMS demandant le reclassement des provisions en compte 158.</t>
        </is>
      </c>
      <c r="E131" s="72" t="inlineStr">
        <is>
          <t>Moyen</t>
        </is>
      </c>
      <c r="G131" s="73" t="n">
        <v>46314</v>
      </c>
      <c r="H131" s="73" t="n">
        <v>46321</v>
      </c>
      <c r="I131" s="73" t="n"/>
      <c r="J131" s="74" t="n"/>
      <c r="K131" s="75" t="inlineStr">
        <is>
          <t>Demande issue des entretiens du 19/10/2026 avec le chef comptable (PBC complémentaire placements et provisions).</t>
        </is>
      </c>
      <c r="M131" s="76" t="inlineStr">
        <is>
          <t>Non Reçu</t>
        </is>
      </c>
    </row>
    <row r="132" ht="21" customHeight="1" s="48">
      <c r="B132" s="70">
        <f>+B131+1</f>
        <v/>
      </c>
      <c r="C132" s="71" t="inlineStr">
        <is>
          <t>Notification du taux de risques professionnels (2 %) par la CNPS.</t>
        </is>
      </c>
      <c r="E132" s="72" t="inlineStr">
        <is>
          <t>Moyen</t>
        </is>
      </c>
      <c r="G132" s="73" t="n">
        <v>46314</v>
      </c>
      <c r="H132" s="73" t="n">
        <v>46321</v>
      </c>
      <c r="I132" s="73" t="n"/>
      <c r="J132" s="74" t="n"/>
      <c r="K132" s="75" t="inlineStr">
        <is>
          <t>Demande issue des entretiens du 19/10/2026 avec le chef comptable (PBC complémentaire placements et provisions).</t>
        </is>
      </c>
      <c r="M132" s="76" t="inlineStr">
        <is>
          <t>Non Reçu</t>
        </is>
      </c>
    </row>
    <row r="133" ht="21" customHeight="1" s="48">
      <c r="B133" s="70">
        <f>+B132+1</f>
        <v/>
      </c>
      <c r="C133" s="71" t="inlineStr">
        <is>
          <t>Déclarations CNPS de 2020 au 31/08/2026.</t>
        </is>
      </c>
      <c r="E133" s="72" t="inlineStr">
        <is>
          <t>Moyen</t>
        </is>
      </c>
      <c r="G133" s="73" t="n">
        <v>46314</v>
      </c>
      <c r="H133" s="73" t="n">
        <v>46321</v>
      </c>
      <c r="I133" s="73" t="n"/>
      <c r="J133" s="74" t="inlineStr">
        <is>
          <t>Electronique</t>
        </is>
      </c>
      <c r="K133" s="75" t="inlineStr">
        <is>
          <t>Demande issue des entretiens du 19/10/2026 avec le chef comptable (PBC complémentaire placements et provisions).</t>
        </is>
      </c>
      <c r="M133" s="76" t="inlineStr">
        <is>
          <t>Non Reçu</t>
        </is>
      </c>
    </row>
    <row r="134" ht="21" customHeight="1" s="48">
      <c r="B134" s="70">
        <f>+B133+1</f>
        <v/>
      </c>
      <c r="C134" s="71" t="inlineStr">
        <is>
          <t>Fichiers de calcul de la provision pour départ à la retraite de 2020 à 2026 (complète l'item 78).</t>
        </is>
      </c>
      <c r="E134" s="72" t="inlineStr">
        <is>
          <t>Moyen</t>
        </is>
      </c>
      <c r="G134" s="73" t="n">
        <v>46314</v>
      </c>
      <c r="H134" s="73" t="n">
        <v>46321</v>
      </c>
      <c r="I134" s="73" t="n"/>
      <c r="J134" s="74" t="inlineStr">
        <is>
          <t>Electronique</t>
        </is>
      </c>
      <c r="K134" s="75" t="inlineStr">
        <is>
          <t>Demande issue des entretiens du 19/10/2026 avec le chef comptable (PBC complémentaire placements et provisions).</t>
        </is>
      </c>
      <c r="M134" s="76" t="inlineStr">
        <is>
          <t>Non Reçu</t>
        </is>
      </c>
    </row>
    <row r="135" ht="21" customHeight="1" s="48">
      <c r="B135" s="70">
        <f>+B134+1</f>
        <v/>
      </c>
      <c r="C135" s="71" t="inlineStr">
        <is>
          <t>Décision fixant le taux servi de 3,5 % sur le PEP et l'EFC.</t>
        </is>
      </c>
      <c r="E135" s="72" t="inlineStr">
        <is>
          <t>Urgent</t>
        </is>
      </c>
      <c r="G135" s="73" t="n">
        <v>46314</v>
      </c>
      <c r="H135" s="73" t="n">
        <v>46321</v>
      </c>
      <c r="I135" s="73" t="n"/>
      <c r="J135" s="74" t="n"/>
      <c r="K135" s="75" t="inlineStr">
        <is>
          <t>Demande issue des entretiens du 19/10/2026 avec le chef comptable (PBC complémentaire placements et provisions).</t>
        </is>
      </c>
      <c r="M135" s="76" t="inlineStr">
        <is>
          <t>Non Reçu</t>
        </is>
      </c>
    </row>
  </sheetData>
  <autoFilter ref="B12:P12"/>
  <mergeCells count="3">
    <mergeCell ref="C6:M6"/>
    <mergeCell ref="C5:M5"/>
    <mergeCell ref="C4:M4"/>
  </mergeCells>
  <conditionalFormatting sqref="M11:M69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69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35" showDropDown="0" showInputMessage="0" showErrorMessage="0" allowBlank="1" type="list" errorStyle="stop" operator="between">
      <formula1>"Urgent,Moyen,Faible"</formula1>
      <formula2>0</formula2>
    </dataValidation>
    <dataValidation sqref="J11:J135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35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FPPN'!$M$11:$M$135,"Reçu")</f>
        <v/>
      </c>
      <c r="D6" s="95" t="n"/>
    </row>
    <row r="7" ht="60" customHeight="1" s="48">
      <c r="B7" s="94" t="inlineStr">
        <is>
          <t>Partiellement Reçu</t>
        </is>
      </c>
      <c r="C7" s="95">
        <f>COUNTIF('PBC Actuariat FPPN'!$M$11:$M$135,"Partiellement Reçu")</f>
        <v/>
      </c>
      <c r="D7" s="95" t="inlineStr">
        <is>
          <t>3, 4, 6, 9, 12, 17, 21, 37, 42</t>
        </is>
      </c>
    </row>
    <row r="8" ht="60" customHeight="1" s="48">
      <c r="B8" s="94" t="inlineStr">
        <is>
          <t>Non Reçu</t>
        </is>
      </c>
      <c r="C8" s="95">
        <f>COUNTIF('PBC Actuariat FPPN'!$M$11:$M$135,"Non Reçu")</f>
        <v/>
      </c>
      <c r="D8" s="95" t="inlineStr">
        <is>
          <t>1, 2, 5, 7, 8, 10, 11, 13, 14, 15, 16, 18, 19, 20, 22, 23, 24, 25, 26, 27, 28, 29, 30, 31, 32, 33, 34, 35, 36, 38, 39, 40, 41, 43, 44, 45, 46, 47, 48, 49, 50, 51, 52, 53, 54, 55, 56, 57, 58, 59, 60, 61, 62, 63, 64, 65, 66, 67, 68, 69, 70, 71, 72, 73, 74, 75, 76, 77, 78, 79, 80, 81, 82, 83, 84, 85, 86, 87, 88, 89, 90, 91, 92, 93, 94, 95, 96, 97, 98, 99</t>
        </is>
      </c>
    </row>
    <row r="9" ht="18" customHeight="1" s="48">
      <c r="B9" s="94" t="inlineStr">
        <is>
          <t>Total</t>
        </is>
      </c>
      <c r="C9" s="95">
        <f>SUM(C6:C8)</f>
        <v/>
      </c>
      <c r="D9" s="95" t="inlineStr">
        <is>
          <t>1 à 99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4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60" customHeight="1" s="48">
      <c r="B6" s="94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31.5" customHeight="1" s="48">
      <c r="B7" s="94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45.75" customHeight="1" s="48">
      <c r="B8" s="94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31.5" customHeight="1" s="48">
      <c r="B9" s="94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45.75" customHeight="1" s="48">
      <c r="B10" s="94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31.5" customHeight="1" s="48">
      <c r="B11" s="94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31.5" customHeight="1" s="48">
      <c r="B12" s="94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45.75" customHeight="1" s="48">
      <c r="B13" s="94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31.5" customHeight="1" s="48">
      <c r="B14" s="94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31.5" customHeight="1" s="48">
      <c r="B15" s="94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60" customHeight="1" s="48">
      <c r="B16" s="94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73.5" customHeight="1" s="48">
      <c r="B17" s="94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45.75" customHeight="1" s="48">
      <c r="B18" s="94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31.5" customHeight="1" s="48">
      <c r="B19" s="94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60" customHeight="1" s="48">
      <c r="B20" s="94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60" customHeight="1" s="48">
      <c r="B21" s="94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31.5" customHeight="1" s="48">
      <c r="B22" s="94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45.75" customHeight="1" s="48">
      <c r="B23" s="94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18" customHeight="1" s="48">
      <c r="B24" s="94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31.5" customHeight="1" s="48">
      <c r="B25" s="94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31.5" customHeight="1" s="48">
      <c r="B26" s="94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>
      <c r="B27" s="94" t="inlineStr">
        <is>
          <t>22</t>
        </is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>
      <c r="B28" s="94" t="inlineStr">
        <is>
          <t>23</t>
        </is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>
      <c r="B29" s="94" t="inlineStr">
        <is>
          <t>24</t>
        </is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s="48">
      <c r="B30" s="94" t="inlineStr">
        <is>
          <t>25</t>
        </is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s="48">
      <c r="B31" s="94" t="inlineStr">
        <is>
          <t>26</t>
        </is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s="48">
      <c r="B32" s="94" t="inlineStr">
        <is>
          <t>27</t>
        </is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s="48">
      <c r="B33" s="94" t="inlineStr">
        <is>
          <t>28</t>
        </is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s="48">
      <c r="B34" s="94" t="inlineStr">
        <is>
          <t>29</t>
        </is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  <row r="35" s="48">
      <c r="B35" s="94" t="n">
        <v>30</v>
      </c>
      <c r="C35" s="95" t="inlineStr">
        <is>
          <t>Provisions figées</t>
        </is>
      </c>
      <c r="D35" s="95" t="inlineStr">
        <is>
          <t>Les provisions maladie et obsèques ont le même montant de 2020 au 31/08/2026, sans dotation ni reprise (comptes 6901, 7901 absents).</t>
        </is>
      </c>
      <c r="E35" s="95" t="inlineStr">
        <is>
          <t>Transmettre la note de calcul et la liste des dossiers (item 72).</t>
        </is>
      </c>
    </row>
    <row r="36" s="48">
      <c r="B36" s="94" t="n">
        <v>31</v>
      </c>
      <c r="C36" s="95" t="inlineStr">
        <is>
          <t>Compte GNA 47111106</t>
        </is>
      </c>
      <c r="D36" s="95" t="inlineStr">
        <is>
          <t>Compte mouvementé au débit depuis 2023, alors que les primes vont directement à GNA selon l'entretien du 19/10/2026.</t>
        </is>
      </c>
      <c r="E36" s="95" t="inlineStr">
        <is>
          <t>Expliquer la nature des mouvements (item 75).</t>
        </is>
      </c>
    </row>
    <row r="37" s="48">
      <c r="B37" s="94" t="n">
        <v>32</v>
      </c>
      <c r="C37" s="95" t="inlineStr">
        <is>
          <t>Provision pour départ à la retraite</t>
        </is>
      </c>
      <c r="D37" s="95" t="inlineStr">
        <is>
          <t>Provision reprise et dotée en totalité chaque année, méthode non communiquée.</t>
        </is>
      </c>
      <c r="E37" s="95" t="inlineStr">
        <is>
          <t>Transmettre la note de calcul et le fichier du personnel (items 76 à 78).</t>
        </is>
      </c>
    </row>
    <row r="38" s="48">
      <c r="B38" s="94" t="n">
        <v>33</v>
      </c>
      <c r="C38" s="95" t="inlineStr">
        <is>
          <t>DAT BOA</t>
        </is>
      </c>
      <c r="D38" s="95" t="inlineStr">
        <is>
          <t>Le chef comptable le décrit comme un placement du FPPN qui sert aussi à payer l'EFC ; le compte s'intitule « DAT BOA Entraide fin de carrière ».</t>
        </is>
      </c>
      <c r="E38" s="95" t="inlineStr">
        <is>
          <t>Confirmer la nature et l'affectation du DAT (item 80).</t>
        </is>
      </c>
    </row>
    <row r="39" s="48">
      <c r="B39" s="94" t="n">
        <v>34</v>
      </c>
      <c r="C39" s="95" t="inlineStr">
        <is>
          <t>Compte 10620000</t>
        </is>
      </c>
      <c r="D39" s="95" t="inlineStr">
        <is>
          <t>Réévaluation du terrain du siège selon le chef comptable ; l'intitulé du compte parle de matériels.</t>
        </is>
      </c>
      <c r="E39" s="95" t="inlineStr">
        <is>
          <t>Transmettre le rapport de réévaluation (item 86).</t>
        </is>
      </c>
    </row>
    <row r="40" s="48">
      <c r="B40" s="94" t="n">
        <v>35</v>
      </c>
      <c r="C40" s="95" t="inlineStr">
        <is>
          <t>Commissions GNA</t>
        </is>
      </c>
      <c r="D40" s="95" t="inlineStr">
        <is>
          <t>Commission déclarée de 20 % des primes collectées ; en 2024, la commission comptabilisée ne vaut pas 20 % des précomptes 9W3.</t>
        </is>
      </c>
      <c r="E40" s="95" t="inlineStr">
        <is>
          <t>Transmettre la convention et les décomptes (item 89).</t>
        </is>
      </c>
    </row>
    <row r="41" s="48">
      <c r="B41" s="94" t="n">
        <v>36</v>
      </c>
      <c r="C41" s="95" t="inlineStr">
        <is>
          <t>Allocations décès</t>
        </is>
      </c>
      <c r="D41" s="95" t="inlineStr">
        <is>
          <t>Calcul de fin d'année des allocations restant à payer ; compte de comptabilisation non précisé.</t>
        </is>
      </c>
      <c r="E41" s="95" t="inlineStr">
        <is>
          <t>Indiquer le compte et transmettre les calculs (item 92).</t>
        </is>
      </c>
    </row>
    <row r="42" s="48">
      <c r="B42" s="94" t="n">
        <v>37</v>
      </c>
      <c r="C42" s="95" t="inlineStr">
        <is>
          <t>Barème décès des officiers</t>
        </is>
      </c>
      <c r="D42" s="95" t="inlineStr">
        <is>
          <t>Montant de l'allocation des officiers non confirmé.</t>
        </is>
      </c>
      <c r="E42" s="95" t="inlineStr">
        <is>
          <t>Transmettre le barème (item 93).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2026-10-19T17:13:40Z</dcterms:modified>
  <cp:lastModifiedBy>Saimby Loïc Keme</cp:lastModifiedBy>
  <cp:revision>0</cp:revision>
</cp:coreProperties>
</file>