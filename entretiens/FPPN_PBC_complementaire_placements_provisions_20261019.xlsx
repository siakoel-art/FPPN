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BC Placements et provisions" sheetId="1" state="visible" r:id="rId1"/>
  </sheets>
  <definedNames>
    <definedName name="_xlnm._FilterDatabase" localSheetId="0" hidden="1">'PBC Placements et provisions'!$B$12:$P$12</definedName>
    <definedName name="_xlnm.Print_Titles" localSheetId="0">'PBC Placements et provisions'!$1:$9</definedName>
    <definedName name="_xlnm.Print_Area" localSheetId="0">'PBC Placements et provisions'!$A$1:$N$33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m/d/yyyy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i val="1"/>
      <color rgb="FF00B050"/>
      <sz val="11"/>
    </font>
    <font>
      <name val="Arial"/>
      <charset val="1"/>
      <family val="0"/>
      <b val="1"/>
      <color theme="8" tint="-0.5"/>
      <sz val="11"/>
    </font>
    <font>
      <name val="Arial"/>
      <charset val="1"/>
      <family val="0"/>
      <b val="1"/>
      <sz val="11"/>
      <u val="single"/>
    </font>
    <font>
      <name val="Arial"/>
      <charset val="1"/>
      <family val="0"/>
      <b val="1"/>
      <sz val="11"/>
    </font>
    <font>
      <name val="Arial"/>
      <charset val="1"/>
      <family val="0"/>
      <i val="1"/>
      <sz val="11"/>
    </font>
    <font>
      <name val="Arial"/>
      <charset val="1"/>
      <family val="0"/>
      <sz val="11"/>
      <u val="single"/>
    </font>
    <font>
      <name val="Arial"/>
      <charset val="1"/>
      <family val="0"/>
      <b val="1"/>
      <color theme="1"/>
      <sz val="11"/>
    </font>
    <font>
      <name val="Arial"/>
      <charset val="1"/>
      <family val="0"/>
      <color rgb="FFFF0000"/>
      <sz val="11"/>
    </font>
    <font>
      <name val="Arial"/>
      <charset val="1"/>
      <family val="0"/>
      <b val="1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theme="0" tint="-0.05"/>
        <bgColor rgb="FFFFFFFF"/>
      </patternFill>
    </fill>
    <fill>
      <patternFill patternType="solid">
        <fgColor rgb="FF112A40"/>
        <bgColor rgb="FF20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BBCBC"/>
      </left>
      <right style="thin">
        <color rgb="FFBBBCBC"/>
      </right>
      <top style="thin">
        <color rgb="FFBBBCBC"/>
      </top>
      <bottom style="thin">
        <color rgb="FFBBBCB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3" borderId="2" applyAlignment="1" pivotButton="0" quotePrefix="0" xfId="0">
      <alignment horizontal="general" vertical="bottom"/>
    </xf>
    <xf numFmtId="0" fontId="16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ont>
        <color rgb="FFED7D31"/>
      </font>
    </dxf>
    <dxf>
      <font>
        <color rgb="FFFF0000"/>
      </font>
    </dxf>
    <dxf>
      <font>
        <color rgb="FF00B050"/>
      </font>
    </dxf>
    <dxf>
      <font>
        <color rgb="FFBF9000"/>
      </font>
      <fill>
        <patternFill>
          <bgColor theme="7" tint="0.7999000000000001"/>
        </patternFill>
      </fill>
    </dxf>
    <dxf>
      <font>
        <color rgb="FFC55A11"/>
      </font>
      <fill>
        <patternFill>
          <bgColor theme="5" tint="0.5999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BBCB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ED7D31"/>
      <rgbColor rgb="FF666699"/>
      <rgbColor rgb="FF969696"/>
      <rgbColor rgb="FF112A40"/>
      <rgbColor rgb="FF00B050"/>
      <rgbColor rgb="FF003300"/>
      <rgbColor rgb="FF333300"/>
      <rgbColor rgb="FFC55A11"/>
      <rgbColor rgb="FF993366"/>
      <rgbColor rgb="FF333399"/>
      <rgbColor rgb="FF2038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5E0B4"/>
    <outlinePr summaryBelow="1" summaryRight="1"/>
    <pageSetUpPr fitToPage="1"/>
  </sheetPr>
  <dimension ref="B4:M129"/>
  <sheetViews>
    <sheetView showFormulas="0" showGridLines="0" showRowColHeaders="1" showZeros="1" rightToLeft="0" tabSelected="1" showOutlineSymbols="1" defaultGridColor="1" view="pageBreakPreview" topLeftCell="A1" colorId="64" zoomScale="70" zoomScaleNormal="80" zoomScalePageLayoutView="70" workbookViewId="0">
      <pane xSplit="0" ySplit="9" topLeftCell="A10" activePane="bottomLeft" state="frozen"/>
      <selection pane="topLeft" activeCell="A1" activeCellId="0" sqref="A1"/>
      <selection pane="bottomLeft" activeCell="A111" activeCellId="0" sqref="A111"/>
    </sheetView>
  </sheetViews>
  <sheetFormatPr baseColWidth="8" defaultColWidth="9.18359375" defaultRowHeight="13.5" zeroHeight="0" outlineLevelRow="0"/>
  <cols>
    <col width="4.82" customWidth="1" style="31" min="1" max="1"/>
    <col width="4.45" customWidth="1" style="32" min="2" max="2"/>
    <col width="118.82" customWidth="1" style="33" min="3" max="3"/>
    <col width="0.54" customWidth="1" style="31" min="4" max="4"/>
    <col width="8.82" customWidth="1" style="31" min="5" max="5"/>
    <col width="0.54" customWidth="1" style="31" min="6" max="6"/>
    <col width="13.54" customWidth="1" style="31" min="7" max="8"/>
    <col width="19.18" customWidth="1" style="31" min="9" max="9"/>
    <col width="22.18" customWidth="1" style="31" min="10" max="10"/>
    <col width="11.54" customWidth="1" style="31" min="11" max="11"/>
    <col width="0.54" customWidth="1" style="32" min="12" max="12"/>
    <col outlineLevel="1" width="15.82" customWidth="1" style="34" min="13" max="13"/>
    <col width="3.54" customWidth="1" style="31" min="14" max="14"/>
    <col width="11.45" customWidth="1" style="31" min="15" max="15"/>
    <col width="12.54" customWidth="1" style="31" min="16" max="16"/>
    <col width="9.18" customWidth="1" style="31" min="17" max="16384"/>
  </cols>
  <sheetData>
    <row r="4" ht="13.5" customHeight="1" s="35">
      <c r="C4" s="36" t="inlineStr">
        <is>
          <t>AUDIT DU FPPN 2020 – 31 AOÛT 2026 : DEMANDE COMPLÉMENTAIRE PLACEMENTS ET PROVISIONS</t>
        </is>
      </c>
    </row>
    <row r="5" ht="13.5" customHeight="1" s="35">
      <c r="B5" s="37" t="n"/>
      <c r="C5" s="38" t="inlineStr">
        <is>
          <t>SUITE AUX ENTRETIENS DU 19/10/2026 AVEC LE CHEF COMPTABLE (PLACEMENTS À 14H, PROVISIONS À 16H)</t>
        </is>
      </c>
    </row>
    <row r="6" ht="14.25" customHeight="1" s="35">
      <c r="B6" s="39" t="n"/>
      <c r="C6" s="39" t="inlineStr">
        <is>
          <t>(Liste non exhaustive; selon les spécificités et informations relevées avec ces documents, des demandes complémentaires pourront être réalisées.)</t>
        </is>
      </c>
    </row>
    <row r="7" ht="13.5" customHeight="1" s="35">
      <c r="M7" s="40">
        <f>IFERROR(COUNTIF($M$11:$M$32,"Reçu")/(COUNTA($M$11:$M$32)-COUNTIF($M$11:$M$32,"Non Applicable")),0)</f>
        <v/>
      </c>
    </row>
    <row r="8" ht="27.75" customFormat="1" customHeight="1" s="38">
      <c r="B8" s="41" t="inlineStr">
        <is>
          <t>No.</t>
        </is>
      </c>
      <c r="C8" s="41" t="inlineStr">
        <is>
          <t>Documents &amp; Informations</t>
        </is>
      </c>
      <c r="D8" s="42" t="n"/>
      <c r="E8" s="41" t="inlineStr">
        <is>
          <t>Priorité</t>
        </is>
      </c>
      <c r="F8" s="42" t="n"/>
      <c r="G8" s="41" t="inlineStr">
        <is>
          <t>Date demande</t>
        </is>
      </c>
      <c r="H8" s="41" t="inlineStr">
        <is>
          <t>Deadline</t>
        </is>
      </c>
      <c r="I8" s="41" t="inlineStr">
        <is>
          <t>Date réception</t>
        </is>
      </c>
      <c r="J8" s="41" t="inlineStr">
        <is>
          <t>Physique / Electronique</t>
        </is>
      </c>
      <c r="K8" s="41" t="inlineStr">
        <is>
          <t>Commentaires</t>
        </is>
      </c>
      <c r="L8" s="43" t="n"/>
      <c r="M8" s="41" t="inlineStr">
        <is>
          <t>Statut</t>
        </is>
      </c>
    </row>
    <row r="9" ht="13.5" customHeight="1" s="35">
      <c r="C9" s="44" t="n"/>
    </row>
    <row r="10" ht="18" customHeight="1" s="35">
      <c r="C10" s="45" t="inlineStr">
        <is>
          <t>Placements et autres actifs (entretien de 14h)</t>
        </is>
      </c>
    </row>
    <row r="11" ht="30" customHeight="1" s="35">
      <c r="B11" s="46">
        <f>80</f>
        <v/>
      </c>
      <c r="C11" s="47" t="inlineStr">
        <is>
          <t>Conventions, taux, échéances et relevés du DAT BOA (compte 52210200) de 2020 au 31/08/2026.</t>
        </is>
      </c>
      <c r="E11" s="48" t="inlineStr">
        <is>
          <t>Urgent</t>
        </is>
      </c>
      <c r="G11" s="49" t="n">
        <v>46314</v>
      </c>
      <c r="H11" s="49" t="n">
        <v>46321</v>
      </c>
      <c r="I11" s="49" t="n"/>
      <c r="J11" s="50" t="inlineStr">
        <is>
          <t>Electronique</t>
        </is>
      </c>
      <c r="K11" s="48" t="n"/>
      <c r="M11" s="51" t="inlineStr">
        <is>
          <t>Non Reçu</t>
        </is>
      </c>
    </row>
    <row r="12" ht="42" customHeight="1" s="35">
      <c r="B12" s="46">
        <f>+B11+1</f>
        <v/>
      </c>
      <c r="C12" s="47" t="inlineStr">
        <is>
          <t>Bulletin de souscription au FCP géré par United Capital (SGI), valeurs liquidatives et relevés de 2025 au 31/08/2026.</t>
        </is>
      </c>
      <c r="E12" s="48" t="inlineStr">
        <is>
          <t>Urgent</t>
        </is>
      </c>
      <c r="G12" s="49" t="n">
        <v>46314</v>
      </c>
      <c r="H12" s="49" t="n">
        <v>46321</v>
      </c>
      <c r="I12" s="49" t="n"/>
      <c r="J12" s="50" t="inlineStr">
        <is>
          <t>Electronique</t>
        </is>
      </c>
      <c r="K12" s="48" t="n"/>
      <c r="M12" s="51" t="inlineStr">
        <is>
          <t>Non Reçu</t>
        </is>
      </c>
    </row>
    <row r="13" ht="42" customHeight="1" s="35">
      <c r="B13" s="46">
        <f>+B12+1</f>
        <v/>
      </c>
      <c r="C13" s="47" t="inlineStr">
        <is>
          <t>Inventaire et tableau de variation de tous les placements de 2016 au 31/08/2026 : souscriptions, intérêts, débouclages, par banque ou gestionnaire.</t>
        </is>
      </c>
      <c r="E13" s="48" t="inlineStr">
        <is>
          <t>Urgent</t>
        </is>
      </c>
      <c r="G13" s="49" t="n">
        <v>46314</v>
      </c>
      <c r="H13" s="49" t="n">
        <v>46321</v>
      </c>
      <c r="I13" s="49" t="n"/>
      <c r="J13" s="50" t="inlineStr">
        <is>
          <t>Electronique</t>
        </is>
      </c>
      <c r="K13" s="48" t="n"/>
      <c r="M13" s="51" t="inlineStr">
        <is>
          <t>Non Reçu</t>
        </is>
      </c>
    </row>
    <row r="14" ht="30" customHeight="1" s="35">
      <c r="B14" s="46">
        <f>+B13+1</f>
        <v/>
      </c>
      <c r="C14" s="47" t="inlineStr">
        <is>
          <t>Correspondance avec Orabank sur l'arrêt des prélèvements mensuels et le remboursement du DAT.</t>
        </is>
      </c>
      <c r="E14" s="48" t="inlineStr">
        <is>
          <t>Moyen</t>
        </is>
      </c>
      <c r="G14" s="49" t="n">
        <v>46314</v>
      </c>
      <c r="H14" s="49" t="n">
        <v>46321</v>
      </c>
      <c r="I14" s="49" t="n"/>
      <c r="J14" s="50" t="n"/>
      <c r="K14" s="48" t="n"/>
      <c r="M14" s="51" t="inlineStr">
        <is>
          <t>Non Reçu</t>
        </is>
      </c>
    </row>
    <row r="15" ht="42" customHeight="1" s="35">
      <c r="B15" s="46">
        <f>+B14+1</f>
        <v/>
      </c>
      <c r="C15" s="47" t="inlineStr">
        <is>
          <t>Titres de propriété ou actes d'acquisition des terrains, situation de chaque terrain (projet, attribution, litige).</t>
        </is>
      </c>
      <c r="E15" s="48" t="inlineStr">
        <is>
          <t>Moyen</t>
        </is>
      </c>
      <c r="G15" s="49" t="n">
        <v>46314</v>
      </c>
      <c r="H15" s="49" t="n">
        <v>46321</v>
      </c>
      <c r="I15" s="49" t="n"/>
      <c r="J15" s="50" t="n"/>
      <c r="K15" s="48" t="n"/>
      <c r="M15" s="51" t="inlineStr">
        <is>
          <t>Non Reçu</t>
        </is>
      </c>
    </row>
    <row r="16" ht="30" customHeight="1" s="35">
      <c r="B16" s="46">
        <f>+B15+1</f>
        <v/>
      </c>
      <c r="C16" s="47" t="inlineStr">
        <is>
          <t>Baux et encaissements des immeubles d'Aboisso.</t>
        </is>
      </c>
      <c r="E16" s="48" t="inlineStr">
        <is>
          <t>Faible</t>
        </is>
      </c>
      <c r="G16" s="49" t="n">
        <v>46314</v>
      </c>
      <c r="H16" s="49" t="n">
        <v>46321</v>
      </c>
      <c r="I16" s="49" t="n"/>
      <c r="J16" s="50" t="n"/>
      <c r="K16" s="48" t="n"/>
      <c r="M16" s="51" t="inlineStr">
        <is>
          <t>Non Reçu</t>
        </is>
      </c>
    </row>
    <row r="17" ht="30" customHeight="1" s="35">
      <c r="B17" s="46">
        <f>+B16+1</f>
        <v/>
      </c>
      <c r="C17" s="47" t="inlineStr">
        <is>
          <t>Rapport de réévaluation du siège et décision de comptabilisation au compte 10620000.</t>
        </is>
      </c>
      <c r="E17" s="48" t="inlineStr">
        <is>
          <t>Urgent</t>
        </is>
      </c>
      <c r="G17" s="49" t="n">
        <v>46314</v>
      </c>
      <c r="H17" s="49" t="n">
        <v>46321</v>
      </c>
      <c r="I17" s="49" t="n"/>
      <c r="J17" s="50" t="n"/>
      <c r="K17" s="48" t="n"/>
      <c r="M17" s="51" t="inlineStr">
        <is>
          <t>Non Reçu</t>
        </is>
      </c>
    </row>
    <row r="18" ht="42" customHeight="1" s="35">
      <c r="B18" s="46">
        <f>+B17+1</f>
        <v/>
      </c>
      <c r="C18" s="47" t="inlineStr">
        <is>
          <t>Dossier de la créance sur l'hôpital de la Police (compte 47111100) : pièces, correspondances avec l'État, décision d'autonomie de l'hôpital.</t>
        </is>
      </c>
      <c r="E18" s="48" t="inlineStr">
        <is>
          <t>Moyen</t>
        </is>
      </c>
      <c r="G18" s="49" t="n">
        <v>46314</v>
      </c>
      <c r="H18" s="49" t="n">
        <v>46321</v>
      </c>
      <c r="I18" s="49" t="n"/>
      <c r="J18" s="50" t="n"/>
      <c r="K18" s="48" t="n"/>
      <c r="M18" s="51" t="inlineStr">
        <is>
          <t>Non Reçu</t>
        </is>
      </c>
    </row>
    <row r="19" ht="30" customHeight="1" s="35">
      <c r="B19" s="46">
        <f>+B18+1</f>
        <v/>
      </c>
      <c r="C19" s="47" t="inlineStr">
        <is>
          <t>Bilan d'ouverture de la clinique du FPPN (CMP) et détail des comptes 47111104 et 47111105.</t>
        </is>
      </c>
      <c r="E19" s="48" t="inlineStr">
        <is>
          <t>Moyen</t>
        </is>
      </c>
      <c r="G19" s="49" t="n">
        <v>46314</v>
      </c>
      <c r="H19" s="49" t="n">
        <v>46321</v>
      </c>
      <c r="I19" s="49" t="n"/>
      <c r="J19" s="50" t="inlineStr">
        <is>
          <t>Electronique</t>
        </is>
      </c>
      <c r="K19" s="48" t="n"/>
      <c r="M19" s="51" t="inlineStr">
        <is>
          <t>Non Reçu</t>
        </is>
      </c>
    </row>
    <row r="20" ht="30" customHeight="1" s="35">
      <c r="B20" s="46">
        <f>+B19+1</f>
        <v/>
      </c>
      <c r="C20" s="47" t="inlineStr">
        <is>
          <t>Convention d'apporteur d'affaires avec GNA et décomptes annuels des commissions (20 % des primes collectées).</t>
        </is>
      </c>
      <c r="E20" s="48" t="inlineStr">
        <is>
          <t>Moyen</t>
        </is>
      </c>
      <c r="G20" s="49" t="n">
        <v>46314</v>
      </c>
      <c r="H20" s="49" t="n">
        <v>46321</v>
      </c>
      <c r="I20" s="49" t="n"/>
      <c r="J20" s="50" t="n"/>
      <c r="K20" s="48" t="n"/>
      <c r="M20" s="51" t="inlineStr">
        <is>
          <t>Non Reçu</t>
        </is>
      </c>
    </row>
    <row r="21" ht="30" customHeight="1" s="35">
      <c r="B21" s="46">
        <f>+B20+1</f>
        <v/>
      </c>
      <c r="C21" s="47" t="inlineStr">
        <is>
          <t>Liste des comptes bancaires, actifs et inactifs, avec leurs signataires.</t>
        </is>
      </c>
      <c r="E21" s="48" t="inlineStr">
        <is>
          <t>Moyen</t>
        </is>
      </c>
      <c r="G21" s="49" t="n">
        <v>46314</v>
      </c>
      <c r="H21" s="49" t="n">
        <v>46321</v>
      </c>
      <c r="I21" s="49" t="n"/>
      <c r="J21" s="50" t="inlineStr">
        <is>
          <t>Electronique</t>
        </is>
      </c>
      <c r="K21" s="48" t="n"/>
      <c r="M21" s="51" t="inlineStr">
        <is>
          <t>Non Reçu</t>
        </is>
      </c>
    </row>
    <row r="22" ht="30" customHeight="1" s="35">
      <c r="B22" s="46">
        <f>+B21+1</f>
        <v/>
      </c>
      <c r="C22" s="47" t="inlineStr">
        <is>
          <t>État des chèques en suspens et des chèques annulés lors des changements de signataires.</t>
        </is>
      </c>
      <c r="E22" s="48" t="inlineStr">
        <is>
          <t>Faible</t>
        </is>
      </c>
      <c r="G22" s="49" t="n">
        <v>46314</v>
      </c>
      <c r="H22" s="49" t="n">
        <v>46321</v>
      </c>
      <c r="I22" s="49" t="n"/>
      <c r="J22" s="50" t="inlineStr">
        <is>
          <t>Electronique</t>
        </is>
      </c>
      <c r="K22" s="48" t="n"/>
      <c r="M22" s="51" t="inlineStr">
        <is>
          <t>Non Reçu</t>
        </is>
      </c>
    </row>
    <row r="23" ht="13.5" customHeight="1" s="35">
      <c r="C23" s="44" t="n"/>
    </row>
    <row r="24" ht="18" customHeight="1" s="35">
      <c r="C24" s="45" t="inlineStr">
        <is>
          <t>Provisions (entretien de 16h)</t>
        </is>
      </c>
    </row>
    <row r="25" ht="42" customHeight="1" s="35">
      <c r="B25" s="46">
        <f>+B22+1</f>
        <v/>
      </c>
      <c r="C25" s="47" t="inlineStr">
        <is>
          <t>Fichiers des décès transmis par la direction du personnel et calcul de fin d'année des allocations restant à payer, de 2020 à 2025, avec le compte utilisé.</t>
        </is>
      </c>
      <c r="E25" s="48" t="inlineStr">
        <is>
          <t>Urgent</t>
        </is>
      </c>
      <c r="G25" s="49" t="n">
        <v>46314</v>
      </c>
      <c r="H25" s="49" t="n">
        <v>46321</v>
      </c>
      <c r="I25" s="49" t="n"/>
      <c r="J25" s="50" t="inlineStr">
        <is>
          <t>Electronique</t>
        </is>
      </c>
      <c r="K25" s="48" t="n"/>
      <c r="M25" s="51" t="inlineStr">
        <is>
          <t>Non Reçu</t>
        </is>
      </c>
    </row>
    <row r="26" ht="30" customHeight="1" s="35">
      <c r="B26" s="46">
        <f>+B25+1</f>
        <v/>
      </c>
      <c r="C26" s="47" t="inlineStr">
        <is>
          <t>Barème officiel des allocations décès par grade (sous-officier, officier, commissaire).</t>
        </is>
      </c>
      <c r="E26" s="48" t="inlineStr">
        <is>
          <t>Urgent</t>
        </is>
      </c>
      <c r="G26" s="49" t="n">
        <v>46314</v>
      </c>
      <c r="H26" s="49" t="n">
        <v>46321</v>
      </c>
      <c r="I26" s="49" t="n"/>
      <c r="J26" s="50" t="n"/>
      <c r="K26" s="48" t="n"/>
      <c r="M26" s="51" t="inlineStr">
        <is>
          <t>Non Reçu</t>
        </is>
      </c>
    </row>
    <row r="27" ht="30" customHeight="1" s="35">
      <c r="B27" s="46">
        <f>+B26+1</f>
        <v/>
      </c>
      <c r="C27" s="47" t="inlineStr">
        <is>
          <t>Contrats et décomptes de gestion de la garantie décès avec LMAI et Sanlam.</t>
        </is>
      </c>
      <c r="E27" s="48" t="inlineStr">
        <is>
          <t>Moyen</t>
        </is>
      </c>
      <c r="G27" s="49" t="n">
        <v>46314</v>
      </c>
      <c r="H27" s="49" t="n">
        <v>46321</v>
      </c>
      <c r="I27" s="49" t="n"/>
      <c r="J27" s="50" t="n"/>
      <c r="K27" s="48" t="n"/>
      <c r="M27" s="51" t="inlineStr">
        <is>
          <t>Non Reçu</t>
        </is>
      </c>
    </row>
    <row r="28" ht="30" customHeight="1" s="35">
      <c r="B28" s="46">
        <f>+B27+1</f>
        <v/>
      </c>
      <c r="C28" s="47" t="inlineStr">
        <is>
          <t>Courrier de l'AIRMS demandant le reclassement des provisions en compte 158.</t>
        </is>
      </c>
      <c r="E28" s="48" t="inlineStr">
        <is>
          <t>Moyen</t>
        </is>
      </c>
      <c r="G28" s="49" t="n">
        <v>46314</v>
      </c>
      <c r="H28" s="49" t="n">
        <v>46321</v>
      </c>
      <c r="I28" s="49" t="n"/>
      <c r="J28" s="50" t="n"/>
      <c r="K28" s="48" t="n"/>
      <c r="M28" s="51" t="inlineStr">
        <is>
          <t>Non Reçu</t>
        </is>
      </c>
    </row>
    <row r="29" ht="30" customHeight="1" s="35">
      <c r="B29" s="46">
        <f>+B28+1</f>
        <v/>
      </c>
      <c r="C29" s="47" t="inlineStr">
        <is>
          <t>Notification du taux de risques professionnels (2 %) par la CNPS.</t>
        </is>
      </c>
      <c r="E29" s="48" t="inlineStr">
        <is>
          <t>Moyen</t>
        </is>
      </c>
      <c r="G29" s="49" t="n">
        <v>46314</v>
      </c>
      <c r="H29" s="49" t="n">
        <v>46321</v>
      </c>
      <c r="I29" s="49" t="n"/>
      <c r="J29" s="50" t="n"/>
      <c r="K29" s="48" t="n"/>
      <c r="M29" s="51" t="inlineStr">
        <is>
          <t>Non Reçu</t>
        </is>
      </c>
    </row>
    <row r="30" ht="30" customHeight="1" s="35">
      <c r="B30" s="46">
        <f>+B29+1</f>
        <v/>
      </c>
      <c r="C30" s="47" t="inlineStr">
        <is>
          <t>Déclarations CNPS de 2020 au 31/08/2026.</t>
        </is>
      </c>
      <c r="E30" s="48" t="inlineStr">
        <is>
          <t>Moyen</t>
        </is>
      </c>
      <c r="G30" s="49" t="n">
        <v>46314</v>
      </c>
      <c r="H30" s="49" t="n">
        <v>46321</v>
      </c>
      <c r="I30" s="49" t="n"/>
      <c r="J30" s="50" t="inlineStr">
        <is>
          <t>Electronique</t>
        </is>
      </c>
      <c r="K30" s="48" t="n"/>
      <c r="M30" s="51" t="inlineStr">
        <is>
          <t>Non Reçu</t>
        </is>
      </c>
    </row>
    <row r="31" ht="30" customHeight="1" s="35">
      <c r="B31" s="46">
        <f>+B30+1</f>
        <v/>
      </c>
      <c r="C31" s="47" t="inlineStr">
        <is>
          <t>Fichiers de calcul de la provision pour départ à la retraite de 2020 à 2026 (complète l'item 78).</t>
        </is>
      </c>
      <c r="E31" s="48" t="inlineStr">
        <is>
          <t>Moyen</t>
        </is>
      </c>
      <c r="G31" s="49" t="n">
        <v>46314</v>
      </c>
      <c r="H31" s="49" t="n">
        <v>46321</v>
      </c>
      <c r="I31" s="49" t="n"/>
      <c r="J31" s="50" t="inlineStr">
        <is>
          <t>Electronique</t>
        </is>
      </c>
      <c r="K31" s="48" t="n"/>
      <c r="M31" s="51" t="inlineStr">
        <is>
          <t>Non Reçu</t>
        </is>
      </c>
    </row>
    <row r="32" ht="30" customHeight="1" s="35">
      <c r="B32" s="46">
        <f>+B31+1</f>
        <v/>
      </c>
      <c r="C32" s="47" t="inlineStr">
        <is>
          <t>Décision fixant le taux servi de 3,5 % sur le PEP et l'EFC.</t>
        </is>
      </c>
      <c r="E32" s="48" t="inlineStr">
        <is>
          <t>Urgent</t>
        </is>
      </c>
      <c r="G32" s="49" t="n">
        <v>46314</v>
      </c>
      <c r="H32" s="49" t="n">
        <v>46321</v>
      </c>
      <c r="I32" s="49" t="n"/>
      <c r="J32" s="50" t="n"/>
      <c r="K32" s="48" t="n"/>
      <c r="M32" s="51" t="inlineStr">
        <is>
          <t>Non Reçu</t>
        </is>
      </c>
    </row>
    <row r="33" ht="13.5" customHeight="1" s="35">
      <c r="C33" s="44" t="n"/>
    </row>
    <row r="34" ht="13.5" customHeight="1" s="35">
      <c r="C34" s="44" t="n"/>
    </row>
    <row r="35" ht="13.5" customHeight="1" s="35">
      <c r="C35" s="44" t="n"/>
    </row>
    <row r="36" ht="13.5" customHeight="1" s="35">
      <c r="C36" s="44" t="n"/>
    </row>
    <row r="37" ht="13.5" customHeight="1" s="35">
      <c r="C37" s="44" t="n"/>
    </row>
    <row r="38" ht="13.5" customHeight="1" s="35">
      <c r="C38" s="44" t="n"/>
    </row>
    <row r="39" ht="13.5" customHeight="1" s="35">
      <c r="C39" s="44" t="n"/>
    </row>
    <row r="40" ht="13.5" customHeight="1" s="35">
      <c r="C40" s="44" t="n"/>
    </row>
    <row r="41" ht="13.5" customHeight="1" s="35">
      <c r="C41" s="44" t="n"/>
    </row>
    <row r="42" ht="13.5" customHeight="1" s="35">
      <c r="C42" s="44" t="n"/>
    </row>
    <row r="43" ht="13.5" customHeight="1" s="35">
      <c r="C43" s="44" t="n"/>
    </row>
    <row r="44" ht="13.5" customHeight="1" s="35">
      <c r="C44" s="44" t="n"/>
    </row>
    <row r="45" ht="13.5" customHeight="1" s="35">
      <c r="C45" s="44" t="n"/>
    </row>
    <row r="46" ht="13.5" customHeight="1" s="35">
      <c r="C46" s="44" t="n"/>
    </row>
    <row r="47" ht="13.5" customHeight="1" s="35">
      <c r="C47" s="44" t="n"/>
    </row>
    <row r="48" ht="13.5" customHeight="1" s="35">
      <c r="C48" s="44" t="n"/>
    </row>
    <row r="49" ht="13.5" customHeight="1" s="35">
      <c r="C49" s="44" t="n"/>
    </row>
    <row r="50" ht="13.5" customHeight="1" s="35">
      <c r="C50" s="44" t="n"/>
    </row>
    <row r="51" ht="13.5" customHeight="1" s="35">
      <c r="C51" s="44" t="n"/>
    </row>
    <row r="52" ht="13.5" customHeight="1" s="35">
      <c r="C52" s="44" t="n"/>
    </row>
    <row r="53" ht="13.5" customHeight="1" s="35">
      <c r="C53" s="44" t="n"/>
    </row>
    <row r="54" ht="13.5" customFormat="1" customHeight="1" s="52">
      <c r="C54" s="44" t="n"/>
    </row>
    <row r="55" ht="13.5" customHeight="1" s="35">
      <c r="C55" s="44" t="n"/>
    </row>
    <row r="56" ht="13.5" customHeight="1" s="35">
      <c r="C56" s="44" t="n"/>
    </row>
    <row r="57" ht="13.5" customHeight="1" s="35">
      <c r="C57" s="44" t="n"/>
    </row>
    <row r="58" ht="13.5" customHeight="1" s="35">
      <c r="C58" s="44" t="n"/>
    </row>
    <row r="59" ht="13.5" customHeight="1" s="35">
      <c r="C59" s="44" t="n"/>
    </row>
    <row r="60" ht="13.5" customHeight="1" s="35">
      <c r="C60" s="44" t="n"/>
    </row>
    <row r="61" ht="13.5" customHeight="1" s="35">
      <c r="C61" s="44" t="n"/>
    </row>
    <row r="62" ht="13.5" customHeight="1" s="35">
      <c r="C62" s="44" t="n"/>
    </row>
    <row r="63" ht="13.5" customHeight="1" s="35">
      <c r="C63" s="44" t="n"/>
    </row>
    <row r="64" ht="13.5" customHeight="1" s="35">
      <c r="C64" s="44" t="n"/>
    </row>
    <row r="65" ht="13.5" customHeight="1" s="35">
      <c r="C65" s="44" t="n"/>
    </row>
    <row r="66" ht="13.5" customHeight="1" s="35">
      <c r="C66" s="44" t="n"/>
    </row>
    <row r="67" ht="13.5" customHeight="1" s="35">
      <c r="C67" s="44" t="n"/>
    </row>
    <row r="68" ht="13.5" customFormat="1" customHeight="1" s="52">
      <c r="C68" s="44" t="n"/>
    </row>
    <row r="69" ht="13.5" customHeight="1" s="35">
      <c r="C69" s="44" t="n"/>
    </row>
    <row r="70" ht="13.5" customHeight="1" s="35">
      <c r="C70" s="44" t="n"/>
    </row>
    <row r="71" ht="13.5" customHeight="1" s="35">
      <c r="C71" s="44" t="n"/>
    </row>
    <row r="72" ht="13.5" customHeight="1" s="35">
      <c r="C72" s="44" t="n"/>
    </row>
    <row r="73" ht="13.5" customHeight="1" s="35">
      <c r="C73" s="44" t="n"/>
    </row>
    <row r="74" ht="13.5" customHeight="1" s="35">
      <c r="C74" s="44" t="n"/>
    </row>
    <row r="75" ht="13.5" customHeight="1" s="35">
      <c r="C75" s="44" t="n"/>
    </row>
    <row r="76" ht="13.5" customHeight="1" s="35">
      <c r="C76" s="44" t="n"/>
    </row>
    <row r="77" ht="13.5" customHeight="1" s="35">
      <c r="C77" s="44" t="n"/>
    </row>
    <row r="78" ht="13.5" customHeight="1" s="35">
      <c r="C78" s="44" t="n"/>
    </row>
    <row r="79" ht="13.5" customHeight="1" s="35">
      <c r="C79" s="44" t="n"/>
    </row>
    <row r="80" ht="13.5" customHeight="1" s="35">
      <c r="C80" s="44" t="n"/>
    </row>
    <row r="81" ht="13.5" customHeight="1" s="35">
      <c r="C81" s="44" t="n"/>
    </row>
    <row r="82" ht="13.5" customHeight="1" s="35">
      <c r="C82" s="44" t="n"/>
    </row>
    <row r="83" ht="13.5" customHeight="1" s="35">
      <c r="C83" s="44" t="n"/>
    </row>
    <row r="84" ht="13.5" customHeight="1" s="35">
      <c r="C84" s="44" t="n"/>
    </row>
    <row r="85" ht="13.5" customHeight="1" s="35">
      <c r="C85" s="44" t="n"/>
    </row>
    <row r="86" ht="13.5" customHeight="1" s="35">
      <c r="C86" s="44" t="n"/>
    </row>
    <row r="87" ht="13.5" customHeight="1" s="35">
      <c r="C87" s="44" t="n"/>
    </row>
    <row r="88" ht="13.5" customHeight="1" s="35">
      <c r="C88" s="44" t="n"/>
    </row>
    <row r="89" ht="13.5" customHeight="1" s="35">
      <c r="C89" s="44" t="n"/>
    </row>
    <row r="90" ht="13.5" customHeight="1" s="35">
      <c r="C90" s="44" t="n"/>
    </row>
    <row r="91" ht="13.5" customHeight="1" s="35">
      <c r="C91" s="44" t="n"/>
    </row>
    <row r="92" ht="13.5" customHeight="1" s="35">
      <c r="C92" s="44" t="n"/>
    </row>
    <row r="93" ht="13.5" customHeight="1" s="35">
      <c r="C93" s="44" t="n"/>
    </row>
    <row r="94" ht="13.5" customHeight="1" s="35">
      <c r="C94" s="44" t="n"/>
    </row>
    <row r="95" ht="13.5" customHeight="1" s="35">
      <c r="C95" s="44" t="n"/>
    </row>
    <row r="96" ht="13.5" customHeight="1" s="35">
      <c r="C96" s="44" t="n"/>
    </row>
    <row r="97" ht="13.5" customHeight="1" s="35">
      <c r="C97" s="44" t="n"/>
    </row>
    <row r="98" ht="13.5" customHeight="1" s="35">
      <c r="C98" s="44" t="n"/>
    </row>
    <row r="99" ht="13.5" customHeight="1" s="35">
      <c r="C99" s="44" t="n"/>
    </row>
    <row r="100" ht="13.5" customHeight="1" s="35">
      <c r="C100" s="44" t="n"/>
    </row>
    <row r="101" ht="13.5" customHeight="1" s="35">
      <c r="C101" s="44" t="n"/>
    </row>
    <row r="102" ht="13.5" customHeight="1" s="35">
      <c r="C102" s="44" t="n"/>
    </row>
    <row r="103" ht="13.5" customHeight="1" s="35">
      <c r="C103" s="44" t="n"/>
    </row>
    <row r="104" ht="13.5" customHeight="1" s="35">
      <c r="C104" s="44" t="n"/>
    </row>
    <row r="105" ht="13.5" customHeight="1" s="35">
      <c r="C105" s="44" t="n"/>
    </row>
    <row r="106" ht="13.5" customHeight="1" s="35">
      <c r="C106" s="44" t="n"/>
    </row>
    <row r="107" ht="13.5" customHeight="1" s="35">
      <c r="C107" s="44" t="n"/>
    </row>
    <row r="108" ht="13.5" customHeight="1" s="35">
      <c r="C108" s="44" t="n"/>
    </row>
    <row r="109" ht="13.5" customHeight="1" s="35">
      <c r="C109" s="44" t="n"/>
    </row>
    <row r="110" ht="13.5" customHeight="1" s="35">
      <c r="C110" s="44" t="n"/>
    </row>
    <row r="111" ht="13.5" customHeight="1" s="35">
      <c r="C111" s="44" t="n"/>
    </row>
    <row r="112" ht="13.5" customHeight="1" s="35">
      <c r="C112" s="44" t="n"/>
    </row>
    <row r="113" ht="13.5" customHeight="1" s="35">
      <c r="C113" s="44" t="n"/>
    </row>
    <row r="114" ht="13.5" customHeight="1" s="35">
      <c r="C114" s="44" t="n"/>
    </row>
    <row r="115" ht="13.5" customHeight="1" s="35">
      <c r="C115" s="44" t="n"/>
    </row>
    <row r="116" ht="13.5" customHeight="1" s="35">
      <c r="C116" s="44" t="n"/>
    </row>
    <row r="117" ht="13.5" customHeight="1" s="35">
      <c r="C117" s="44" t="n"/>
    </row>
    <row r="118" ht="13.5" customHeight="1" s="35">
      <c r="C118" s="44" t="n"/>
    </row>
    <row r="119" ht="13.5" customHeight="1" s="35">
      <c r="C119" s="44" t="n"/>
    </row>
    <row r="120" ht="13.5" customHeight="1" s="35">
      <c r="C120" s="44" t="n"/>
    </row>
    <row r="121" ht="13.5" customHeight="1" s="35">
      <c r="C121" s="44" t="n"/>
    </row>
    <row r="122" ht="13.5" customHeight="1" s="35">
      <c r="C122" s="44" t="n"/>
    </row>
    <row r="123" ht="13.5" customHeight="1" s="35">
      <c r="C123" s="44" t="n"/>
    </row>
    <row r="124" ht="13.5" customHeight="1" s="35">
      <c r="C124" s="44" t="n"/>
    </row>
    <row r="125" ht="13.5" customHeight="1" s="35">
      <c r="C125" s="44" t="n"/>
    </row>
    <row r="126" ht="13.5" customHeight="1" s="35">
      <c r="C126" s="44" t="n"/>
    </row>
    <row r="127" ht="13.5" customHeight="1" s="35">
      <c r="C127" s="44" t="n"/>
    </row>
    <row r="128" ht="13.5" customHeight="1" s="35">
      <c r="C128" s="44" t="n"/>
    </row>
    <row r="129" ht="13.5" customHeight="1" s="35">
      <c r="C129" s="44" t="n"/>
    </row>
  </sheetData>
  <autoFilter ref="B12:P12"/>
  <mergeCells count="3">
    <mergeCell ref="C6:M6"/>
    <mergeCell ref="C5:M5"/>
    <mergeCell ref="C4:M4"/>
  </mergeCells>
  <conditionalFormatting sqref="M11:M32">
    <cfRule type="cellIs" rank="0" priority="2" equalAverage="0" operator="equal" aboveAverage="0" dxfId="5" text="" percent="0" bottom="0">
      <formula>"Partiellement Reçu"</formula>
    </cfRule>
    <cfRule type="cellIs" rank="0" priority="3" equalAverage="0" operator="equal" aboveAverage="0" dxfId="6" text="" percent="0" bottom="0">
      <formula>"Non Reçu"</formula>
    </cfRule>
    <cfRule type="cellIs" rank="0" priority="4" equalAverage="0" operator="equal" aboveAverage="0" dxfId="7" text="" percent="0" bottom="0">
      <formula>"Reçu"</formula>
    </cfRule>
  </conditionalFormatting>
  <conditionalFormatting sqref="E11:E32">
    <cfRule type="cellIs" rank="0" priority="5" equalAverage="0" operator="equal" aboveAverage="0" dxfId="8" text="" percent="0" bottom="0">
      <formula>"Faible"</formula>
    </cfRule>
    <cfRule type="cellIs" rank="0" priority="6" equalAverage="0" operator="equal" aboveAverage="0" dxfId="9" text="" percent="0" bottom="0">
      <formula>"Moyen"</formula>
    </cfRule>
    <cfRule type="cellIs" rank="0" priority="7" equalAverage="0" operator="equal" aboveAverage="0" dxfId="10" text="" percent="0" bottom="0">
      <formula>"Urgent"</formula>
    </cfRule>
  </conditionalFormatting>
  <dataValidations count="3">
    <dataValidation sqref="E11:E32" showDropDown="0" showInputMessage="0" showErrorMessage="0" allowBlank="1" type="list">
      <formula1>"Urgent,Moyen,Faible"</formula1>
    </dataValidation>
    <dataValidation sqref="J11:J32" showDropDown="0" showInputMessage="0" showErrorMessage="0" allowBlank="1" type="list">
      <formula1>"Physique,Electronique,Physique et Electronique"</formula1>
    </dataValidation>
    <dataValidation sqref="M11:M32" showDropDown="0" showInputMessage="0" showErrorMessage="0" allowBlank="1" type="list">
      <formula1>"Reçu,Non Reçu,Non Applicable,Partiellement Reçu"</formula1>
    </dataValidation>
  </dataValidations>
  <printOptions horizontalCentered="0" verticalCentered="0" headings="0" gridLines="0" gridLinesSet="1"/>
  <pageMargins left="0.39375" right="0.196527777777778" top="0.39375" bottom="0.39375" header="0.118055555555556" footer="0.118055555555556"/>
  <pageSetup orientation="landscape" paperSize="77" scale="100" fitToHeight="0" fitToWidth="1" pageOrder="downThenOver" blackAndWhite="0" draft="0" horizontalDpi="300" verticalDpi="300" copies="1"/>
  <headerFooter differentOddEven="0" differentFirst="0">
    <oddHeader>&amp;C&amp;8 &amp;A&amp;R&amp;P/&amp;N</oddHeader>
    <oddFooter>&amp;C&amp;8 &amp;F&amp;R&amp;P/&amp;N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Miensa Ruth Kouassi</dc:creator>
  <dc:language xmlns:dc="http://purl.org/dc/elements/1.1/">en-US</dc:language>
  <dcterms:created xmlns:dcterms="http://purl.org/dc/terms/" xmlns:xsi="http://www.w3.org/2001/XMLSchema-instance" xsi:type="dcterms:W3CDTF">2026-09-08T09:02:33Z</dcterms:created>
  <dcterms:modified xmlns:dcterms="http://purl.org/dc/terms/" xmlns:xsi="http://www.w3.org/2001/XMLSchema-instance" xsi:type="dcterms:W3CDTF">2026-10-19T17:48:00Z</dcterms:modified>
  <cp:lastModifiedBy>Saimby Loïc Keme</cp:lastModifiedBy>
  <cp:revision>0</cp:revision>
</cp:coreProperties>
</file>