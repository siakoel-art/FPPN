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BC Sinistres et prestations" sheetId="1" state="visible" r:id="rId3"/>
    <sheet name="Modèle données décès" sheetId="2" state="visible" r:id="rId4"/>
    <sheet name="Modèle données santé" sheetId="3" state="visible" r:id="rId5"/>
  </sheets>
  <definedNames>
    <definedName function="false" hidden="false" localSheetId="0" name="_xlnm.Print_Area" vbProcedure="false">'PBC Sinistres et prestations'!$A$1:$N$32</definedName>
    <definedName function="false" hidden="false" localSheetId="0" name="_xlnm.Print_Titles" vbProcedure="false">'PBC Sinistres et prestations'!$1:$9</definedName>
    <definedName function="false" hidden="true" localSheetId="0" name="_xlnm._FilterDatabase" vbProcedure="false">'PBC Sinistres et prestations'!$B$12:$P$12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<sst xmlns="http://schemas.openxmlformats.org/spreadsheetml/2006/main" count="188" uniqueCount="140">
  <si>
    <t xml:space="preserve">AUDIT DU FPPN 2020 – 31 AOÛT 2026 : DEMANDE COMPLÉMENTAIRE SINISTRES ET PRESTATIONS</t>
  </si>
  <si>
    <t xml:space="preserve">SUITE À L'ENTRETIEN DU 16/10/2026 AVEC LE SERVICE ASSURANCE (SINISTRES ET PRESTATIONS)</t>
  </si>
  <si>
    <t xml:space="preserve">(Liste non exhaustive; selon les spécificités et informations relevées avec ces documents, des demandes complémentaires pourront être réalisées.)</t>
  </si>
  <si>
    <t xml:space="preserve">No.</t>
  </si>
  <si>
    <t xml:space="preserve">Documents &amp; Informations</t>
  </si>
  <si>
    <t xml:space="preserve">Priorité</t>
  </si>
  <si>
    <t xml:space="preserve">Date demande</t>
  </si>
  <si>
    <t xml:space="preserve">Deadline</t>
  </si>
  <si>
    <t xml:space="preserve">Date réception</t>
  </si>
  <si>
    <t xml:space="preserve">Physique / Electronique</t>
  </si>
  <si>
    <t xml:space="preserve">Commentaires</t>
  </si>
  <si>
    <t xml:space="preserve">Statut</t>
  </si>
  <si>
    <t xml:space="preserve">Prestations décès et allocations</t>
  </si>
  <si>
    <t xml:space="preserve">Fichiers de suivi de la sinistralité de 2019 au 31/08/2026 (tableau de bord du service), avec le détail du calcul du taux de sinistralité.</t>
  </si>
  <si>
    <t xml:space="preserve">Urgent</t>
  </si>
  <si>
    <t xml:space="preserve">Electronique</t>
  </si>
  <si>
    <t xml:space="preserve">Non Reçu</t>
  </si>
  <si>
    <t xml:space="preserve">Base des sinistres décès et allocations du 01/01/2019 au 31/08/2026, une ligne par dossier, au format de l'onglet « Modèle données décès » : matricule, grade, date de naissance, bénéficiaire (policier, conjoint, enfant), date du décès, date de déclaration, date de dossier complet, date de paiement, capital, frais funéraires, statut.</t>
  </si>
  <si>
    <t xml:space="preserve">Liste des dossiers non payés au 31/12/2025 et au 31/08/2026, avec l'année du décès, y compris les dossiers antérieurs à 2013 et les dossiers bloqués par un litige familial.</t>
  </si>
  <si>
    <t xml:space="preserve">Barèmes successifs des capitaux décès, frais funéraires et allocations aux ayants droit, de 2001 à 2026, avec les décisions qui les ont adoptés.</t>
  </si>
  <si>
    <t xml:space="preserve">Simulations de revalorisation des prestations (2021 à 2023 et 2026, trois options), avec les fichiers de calcul et les hypothèses.</t>
  </si>
  <si>
    <t xml:space="preserve">Contrats conclus avec les assureurs pour la gestion externalisée (novembre 2013 à 2020), avec les primes payées et les sinistres réglés par année.</t>
  </si>
  <si>
    <t xml:space="preserve">Moyen</t>
  </si>
  <si>
    <t xml:space="preserve">Liste des pièces exigées pour chaque prestation et cahier du régime des prestations sociales.</t>
  </si>
  <si>
    <t xml:space="preserve">Projet de manuel de procédures de 2014 et tout document décrivant le traitement des prestations.</t>
  </si>
  <si>
    <t xml:space="preserve">Rapport de contrôle de l'AIRMS et plan de redressement en cours.</t>
  </si>
  <si>
    <t xml:space="preserve">Documentation technique du produit retraite créé en mai 2007 : conditions, cotisations, méthode de calcul, nombre d'adhérents, sommes dues.</t>
  </si>
  <si>
    <t xml:space="preserve">Documentation de la flotte automobile des policiers : convention avec l'assureur, primes, sinistres, rôle du FPPN.</t>
  </si>
  <si>
    <t xml:space="preserve">Faible</t>
  </si>
  <si>
    <t xml:space="preserve">État des dossiers transmis aux assureurs et non encore réglés.</t>
  </si>
  <si>
    <t xml:space="preserve">Liste des cas de fraude détectés depuis 2020, avec les montants en jeu et les suites données.</t>
  </si>
  <si>
    <t xml:space="preserve">Prestations santé</t>
  </si>
  <si>
    <t xml:space="preserve">Base des prestations santé du 01/01/2019 au 31/08/2026, une ligne par facture, au format de l'onglet « Modèle données santé » : bénéficiaire, matricule du mutualiste, lien, prestataire, date des soins, date de la facture, date de paiement, montant facturé, montant payé.</t>
  </si>
  <si>
    <t xml:space="preserve">Liste des prestataires de santé conventionnés et conventions signées (tarifs, taux de prise en charge, plafonds).</t>
  </si>
  <si>
    <t xml:space="preserve">Fichier des cartes de santé actives au 31/08/2026 : mutualistes en activité, retraités, ayants droit.</t>
  </si>
  <si>
    <t xml:space="preserve">Statistiques des prises en charge et orientations délivrées par le médecin, de 2019 au 31/08/2026.</t>
  </si>
  <si>
    <t xml:space="preserve">Modèle données décès</t>
  </si>
  <si>
    <t xml:space="preserve">Une ligne par dossier. Une colonne par information. Dates au format JJ/MM/AAAA. Montants en FCFA, sans espace ni texte.</t>
  </si>
  <si>
    <t xml:space="preserve">Colonne</t>
  </si>
  <si>
    <t xml:space="preserve">Contenu attendu</t>
  </si>
  <si>
    <t xml:space="preserve">Exemple</t>
  </si>
  <si>
    <t xml:space="preserve">N_dossier</t>
  </si>
  <si>
    <t xml:space="preserve">Numéro unique du dossier</t>
  </si>
  <si>
    <t xml:space="preserve">D2024-0153</t>
  </si>
  <si>
    <t xml:space="preserve">Matricule</t>
  </si>
  <si>
    <t xml:space="preserve">Matricule du policier mutualiste</t>
  </si>
  <si>
    <t xml:space="preserve">123456A</t>
  </si>
  <si>
    <t xml:space="preserve">Grade</t>
  </si>
  <si>
    <t xml:space="preserve">Grade du policier à la date du décès</t>
  </si>
  <si>
    <t xml:space="preserve">Sergent-chef</t>
  </si>
  <si>
    <t xml:space="preserve">Corps</t>
  </si>
  <si>
    <t xml:space="preserve">Corps du policier (commissaire, officier, sous-officier)</t>
  </si>
  <si>
    <t xml:space="preserve">Sous-officier</t>
  </si>
  <si>
    <t xml:space="preserve">Date_naissance_policier</t>
  </si>
  <si>
    <t xml:space="preserve">Date de naissance du policier</t>
  </si>
  <si>
    <t xml:space="preserve">12/05/1978</t>
  </si>
  <si>
    <t xml:space="preserve">Beneficiaire_decede</t>
  </si>
  <si>
    <t xml:space="preserve">Personne décédée : policier, conjoint ou enfant</t>
  </si>
  <si>
    <t xml:space="preserve">Policier</t>
  </si>
  <si>
    <t xml:space="preserve">Date_naissance_decede</t>
  </si>
  <si>
    <t xml:space="preserve">Date de naissance de la personne décédée</t>
  </si>
  <si>
    <t xml:space="preserve">Statut_policier</t>
  </si>
  <si>
    <t xml:space="preserve">Actif ou retraité à la date du décès</t>
  </si>
  <si>
    <t xml:space="preserve">Actif</t>
  </si>
  <si>
    <t xml:space="preserve">Salaire_base</t>
  </si>
  <si>
    <t xml:space="preserve">Salaire de base mensuel du policier (si le capital en dépend)</t>
  </si>
  <si>
    <t xml:space="preserve">350000</t>
  </si>
  <si>
    <t xml:space="preserve">Date_deces</t>
  </si>
  <si>
    <t xml:space="preserve">Date du décès</t>
  </si>
  <si>
    <t xml:space="preserve">03/02/2024</t>
  </si>
  <si>
    <t xml:space="preserve">Cause_deces</t>
  </si>
  <si>
    <t xml:space="preserve">Maladie, accident, suicide, autre</t>
  </si>
  <si>
    <t xml:space="preserve">Maladie</t>
  </si>
  <si>
    <t xml:space="preserve">Date_declaration</t>
  </si>
  <si>
    <t xml:space="preserve">Date du courrier du chef hiérarchique</t>
  </si>
  <si>
    <t xml:space="preserve">10/02/2024</t>
  </si>
  <si>
    <t xml:space="preserve">Date_dossier_complet</t>
  </si>
  <si>
    <t xml:space="preserve">Date à laquelle toutes les pièces ont été reçues</t>
  </si>
  <si>
    <t xml:space="preserve">15/06/2024</t>
  </si>
  <si>
    <t xml:space="preserve">Date_paiement</t>
  </si>
  <si>
    <t xml:space="preserve">Date du paiement (vide si non payé)</t>
  </si>
  <si>
    <t xml:space="preserve">02/07/2024</t>
  </si>
  <si>
    <t xml:space="preserve">Montant_capital</t>
  </si>
  <si>
    <t xml:space="preserve">Capital décès dû</t>
  </si>
  <si>
    <t xml:space="preserve">1000000</t>
  </si>
  <si>
    <t xml:space="preserve">Montant_frais_funeraires</t>
  </si>
  <si>
    <t xml:space="preserve">Frais funéraires dus</t>
  </si>
  <si>
    <t xml:space="preserve">300000</t>
  </si>
  <si>
    <t xml:space="preserve">Montant_paye</t>
  </si>
  <si>
    <t xml:space="preserve">Montant total payé</t>
  </si>
  <si>
    <t xml:space="preserve">1300000</t>
  </si>
  <si>
    <t xml:space="preserve">Statut_dossier</t>
  </si>
  <si>
    <t xml:space="preserve">Payé, en attente, incomplet, litige, rejeté</t>
  </si>
  <si>
    <t xml:space="preserve">Payé</t>
  </si>
  <si>
    <t xml:space="preserve">Gestion</t>
  </si>
  <si>
    <t xml:space="preserve">Interne ou nom de l'assureur</t>
  </si>
  <si>
    <t xml:space="preserve">Interne</t>
  </si>
  <si>
    <t xml:space="preserve">Motif_rejet_ou_attente</t>
  </si>
  <si>
    <t xml:space="preserve">Si non payé : raison</t>
  </si>
  <si>
    <t xml:space="preserve">Litige familial</t>
  </si>
  <si>
    <t xml:space="preserve">Modèle données santé</t>
  </si>
  <si>
    <t xml:space="preserve">N_facture</t>
  </si>
  <si>
    <t xml:space="preserve">Numéro de la facture</t>
  </si>
  <si>
    <t xml:space="preserve">F2025-08812</t>
  </si>
  <si>
    <t xml:space="preserve">Matricule du mutualiste</t>
  </si>
  <si>
    <t xml:space="preserve">Beneficiaire</t>
  </si>
  <si>
    <t xml:space="preserve">Nom ou identifiant du patient</t>
  </si>
  <si>
    <t xml:space="preserve">Identifiant interne</t>
  </si>
  <si>
    <t xml:space="preserve">Lien</t>
  </si>
  <si>
    <t xml:space="preserve">Mutualiste, conjoint, enfant, autre</t>
  </si>
  <si>
    <t xml:space="preserve">Enfant</t>
  </si>
  <si>
    <t xml:space="preserve">Date_naissance_beneficiaire</t>
  </si>
  <si>
    <t xml:space="preserve">Date de naissance du patient</t>
  </si>
  <si>
    <t xml:space="preserve">20/09/2012</t>
  </si>
  <si>
    <t xml:space="preserve">Statut_mutualiste</t>
  </si>
  <si>
    <t xml:space="preserve">Actif ou retraité</t>
  </si>
  <si>
    <t xml:space="preserve">Prestataire</t>
  </si>
  <si>
    <t xml:space="preserve">Nom du prestataire de santé</t>
  </si>
  <si>
    <t xml:space="preserve">Clinique X</t>
  </si>
  <si>
    <t xml:space="preserve">Type_acte</t>
  </si>
  <si>
    <t xml:space="preserve">Consultation, pharmacie, hospitalisation, analyse, autre</t>
  </si>
  <si>
    <t xml:space="preserve">Pharmacie</t>
  </si>
  <si>
    <t xml:space="preserve">Date_soins</t>
  </si>
  <si>
    <t xml:space="preserve">Date des soins</t>
  </si>
  <si>
    <t xml:space="preserve">04/03/2025</t>
  </si>
  <si>
    <t xml:space="preserve">Date_facture</t>
  </si>
  <si>
    <t xml:space="preserve">Date de réception de la facture</t>
  </si>
  <si>
    <t xml:space="preserve">28/03/2025</t>
  </si>
  <si>
    <t xml:space="preserve">Date du paiement</t>
  </si>
  <si>
    <t xml:space="preserve">15/04/2025</t>
  </si>
  <si>
    <t xml:space="preserve">Montant_facture</t>
  </si>
  <si>
    <t xml:space="preserve">Montant facturé</t>
  </si>
  <si>
    <t xml:space="preserve">45000</t>
  </si>
  <si>
    <t xml:space="preserve">Montant_pris_en_charge</t>
  </si>
  <si>
    <t xml:space="preserve">Montant accepté par le FPPN</t>
  </si>
  <si>
    <t xml:space="preserve">36000</t>
  </si>
  <si>
    <t xml:space="preserve">Montant payé</t>
  </si>
  <si>
    <t xml:space="preserve">N_prise_en_charge</t>
  </si>
  <si>
    <t xml:space="preserve">Numéro de la prise en charge signée par le médecin</t>
  </si>
  <si>
    <t xml:space="preserve">PEC-2025-1123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</si>
</sst>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m/d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i val="true"/>
      <sz val="11"/>
      <color rgb="FF00B050"/>
      <name val="Arial"/>
      <family val="0"/>
      <charset val="1"/>
    </font>
    <font>
      <b val="true"/>
      <sz val="11"/>
      <color theme="8" tint="-0.5"/>
      <name val="Arial"/>
      <family val="0"/>
      <charset val="1"/>
    </font>
    <font>
      <b val="true"/>
      <u val="single"/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u val="single"/>
      <sz val="1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112A40"/>
        <bgColor rgb="FF20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BBCBC"/>
      </left>
      <right style="thin">
        <color rgb="FFBBBCBC"/>
      </right>
      <top style="thin">
        <color rgb="FFBBBCBC"/>
      </top>
      <bottom style="thin">
        <color rgb="FFBBBC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ED7D31"/>
      </font>
    </dxf>
    <dxf>
      <font>
        <color rgb="FFFF0000"/>
      </font>
    </dxf>
    <dxf>
      <font>
        <color rgb="FF00B050"/>
      </font>
    </dxf>
    <dxf>
      <font>
        <color rgb="FFBF9000"/>
      </font>
      <fill>
        <patternFill>
          <bgColor theme="7" tint="0.7999"/>
        </patternFill>
      </fill>
    </dxf>
    <dxf>
      <font>
        <color rgb="FFC55A11"/>
      </font>
      <fill>
        <patternFill>
          <bgColor theme="5" tint="0.5999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CB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ED7D31"/>
      <rgbColor rgb="FF666699"/>
      <rgbColor rgb="FF969696"/>
      <rgbColor rgb="FF112A40"/>
      <rgbColor rgb="FF00B050"/>
      <rgbColor rgb="FF003300"/>
      <rgbColor rgb="FF333300"/>
      <rgbColor rgb="FFC55A11"/>
      <rgbColor rgb="FF993366"/>
      <rgbColor rgb="FF333399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true"/>
  </sheetPr>
  <dimension ref="B4:M129"/>
  <sheetViews>
    <sheetView showFormulas="false" showGridLines="false" showRowColHeaders="true" showZeros="true" rightToLeft="false" tabSelected="true" showOutlineSymbols="true" defaultGridColor="true" view="pageBreakPreview" topLeftCell="A1" colorId="64" zoomScale="70" zoomScaleNormal="80" zoomScalePageLayoutView="70" workbookViewId="0">
      <pane xSplit="0" ySplit="9" topLeftCell="A10" activePane="bottomLeft" state="frozen"/>
      <selection pane="topLeft" activeCell="A1" activeCellId="0" sqref="A1"/>
      <selection pane="bottomLeft" activeCell="A111" activeCellId="0" sqref="A111"/>
    </sheetView>
  </sheetViews>
  <sheetFormatPr defaultColWidth="9.18359375" defaultRowHeight="13.5" zeroHeight="false" outlineLevelRow="0" outlineLevelCol="1"/>
  <cols>
    <col collapsed="false" customWidth="true" hidden="false" outlineLevel="0" max="1" min="1" style="1" width="4.82"/>
    <col collapsed="false" customWidth="true" hidden="false" outlineLevel="0" max="2" min="2" style="2" width="4.45"/>
    <col collapsed="false" customWidth="true" hidden="false" outlineLevel="0" max="3" min="3" style="3" width="118.82"/>
    <col collapsed="false" customWidth="true" hidden="false" outlineLevel="0" max="4" min="4" style="1" width="0.54"/>
    <col collapsed="false" customWidth="true" hidden="false" outlineLevel="0" max="5" min="5" style="1" width="8.82"/>
    <col collapsed="false" customWidth="true" hidden="false" outlineLevel="0" max="6" min="6" style="1" width="0.54"/>
    <col collapsed="false" customWidth="true" hidden="false" outlineLevel="0" max="8" min="7" style="1" width="13.54"/>
    <col collapsed="false" customWidth="true" hidden="false" outlineLevel="0" max="9" min="9" style="1" width="19.18"/>
    <col collapsed="false" customWidth="true" hidden="false" outlineLevel="0" max="10" min="10" style="1" width="22.18"/>
    <col collapsed="false" customWidth="true" hidden="false" outlineLevel="0" max="11" min="11" style="1" width="11.54"/>
    <col collapsed="false" customWidth="true" hidden="false" outlineLevel="0" max="12" min="12" style="2" width="0.54"/>
    <col collapsed="false" customWidth="true" hidden="false" outlineLevel="1" max="13" min="13" style="4" width="15.82"/>
    <col collapsed="false" customWidth="true" hidden="false" outlineLevel="0" max="14" min="14" style="1" width="3.54"/>
    <col collapsed="false" customWidth="true" hidden="false" outlineLevel="0" max="15" min="15" style="1" width="11.45"/>
    <col collapsed="false" customWidth="true" hidden="false" outlineLevel="0" max="16" min="16" style="1" width="12.54"/>
    <col collapsed="false" customWidth="false" hidden="false" outlineLevel="0" max="16384" min="17" style="1" width="9.18"/>
  </cols>
  <sheetData>
    <row r="4" customFormat="false" ht="13.5" hidden="false" customHeight="true" outlineLevel="0" collapsed="false">
      <c r="C4" s="5" t="s">
        <v>0</v>
      </c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3.5" hidden="false" customHeight="true" outlineLevel="0" collapsed="false">
      <c r="B5" s="6"/>
      <c r="C5" s="7" t="s">
        <v>1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customFormat="false" ht="14.25" hidden="false" customHeight="true" outlineLevel="0" collapsed="false">
      <c r="B6" s="8"/>
      <c r="C6" s="9" t="s">
        <v>2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3.5" hidden="false" customHeight="true" outlineLevel="0" collapsed="false">
      <c r="M7" s="10" t="n">
        <f aca="false">IFERROR(COUNTIF($M$11:$M$29,"Reçu")/(COUNTA($M$11:$M$29)-COUNTIF($M$11:$M$29,"Non Applicable")),0)</f>
        <v>0</v>
      </c>
    </row>
    <row r="8" s="11" customFormat="true" ht="27.75" hidden="false" customHeight="true" outlineLevel="0" collapsed="false">
      <c r="B8" s="12" t="s">
        <v>3</v>
      </c>
      <c r="C8" s="12" t="s">
        <v>4</v>
      </c>
      <c r="D8" s="13"/>
      <c r="E8" s="12" t="s">
        <v>5</v>
      </c>
      <c r="F8" s="13"/>
      <c r="G8" s="12" t="s">
        <v>6</v>
      </c>
      <c r="H8" s="12" t="s">
        <v>7</v>
      </c>
      <c r="I8" s="12" t="s">
        <v>8</v>
      </c>
      <c r="J8" s="12" t="s">
        <v>9</v>
      </c>
      <c r="K8" s="12" t="s">
        <v>10</v>
      </c>
      <c r="L8" s="14"/>
      <c r="M8" s="12" t="s">
        <v>11</v>
      </c>
    </row>
    <row r="9" customFormat="false" ht="13.5" hidden="false" customHeight="true" outlineLevel="0" collapsed="false">
      <c r="C9" s="15"/>
    </row>
    <row r="10" customFormat="false" ht="18" hidden="false" customHeight="true" outlineLevel="0" collapsed="false">
      <c r="C10" s="16" t="s">
        <v>12</v>
      </c>
    </row>
    <row r="11" customFormat="false" ht="36" hidden="false" customHeight="true" outlineLevel="0" collapsed="false">
      <c r="B11" s="17" t="n">
        <f aca="false">27</f>
        <v>27</v>
      </c>
      <c r="C11" s="18" t="s">
        <v>13</v>
      </c>
      <c r="E11" s="19" t="s">
        <v>14</v>
      </c>
      <c r="G11" s="20" t="n">
        <v>46311</v>
      </c>
      <c r="H11" s="20" t="n">
        <v>46316</v>
      </c>
      <c r="I11" s="20"/>
      <c r="J11" s="21" t="s">
        <v>15</v>
      </c>
      <c r="K11" s="19"/>
      <c r="M11" s="22" t="s">
        <v>16</v>
      </c>
    </row>
    <row r="12" customFormat="false" ht="66" hidden="false" customHeight="true" outlineLevel="0" collapsed="false">
      <c r="B12" s="17" t="n">
        <f aca="false">+B11+1</f>
        <v>28</v>
      </c>
      <c r="C12" s="18" t="s">
        <v>17</v>
      </c>
      <c r="E12" s="19" t="s">
        <v>14</v>
      </c>
      <c r="G12" s="20" t="n">
        <v>46311</v>
      </c>
      <c r="H12" s="20" t="n">
        <v>46316</v>
      </c>
      <c r="I12" s="20"/>
      <c r="J12" s="21" t="s">
        <v>15</v>
      </c>
      <c r="K12" s="19"/>
      <c r="M12" s="22" t="s">
        <v>16</v>
      </c>
    </row>
    <row r="13" customFormat="false" ht="36" hidden="false" customHeight="true" outlineLevel="0" collapsed="false">
      <c r="B13" s="17" t="n">
        <f aca="false">+B12+1</f>
        <v>29</v>
      </c>
      <c r="C13" s="18" t="s">
        <v>18</v>
      </c>
      <c r="E13" s="19" t="s">
        <v>14</v>
      </c>
      <c r="G13" s="20" t="n">
        <v>46311</v>
      </c>
      <c r="H13" s="20" t="n">
        <v>46316</v>
      </c>
      <c r="I13" s="20"/>
      <c r="J13" s="21" t="s">
        <v>15</v>
      </c>
      <c r="K13" s="19"/>
      <c r="M13" s="22" t="s">
        <v>16</v>
      </c>
    </row>
    <row r="14" customFormat="false" ht="36" hidden="false" customHeight="true" outlineLevel="0" collapsed="false">
      <c r="B14" s="17" t="n">
        <f aca="false">+B13+1</f>
        <v>30</v>
      </c>
      <c r="C14" s="18" t="s">
        <v>19</v>
      </c>
      <c r="E14" s="19" t="s">
        <v>14</v>
      </c>
      <c r="G14" s="20" t="n">
        <v>46311</v>
      </c>
      <c r="H14" s="20" t="n">
        <v>46316</v>
      </c>
      <c r="I14" s="20"/>
      <c r="J14" s="21"/>
      <c r="K14" s="19"/>
      <c r="M14" s="22" t="s">
        <v>16</v>
      </c>
    </row>
    <row r="15" customFormat="false" ht="36" hidden="false" customHeight="true" outlineLevel="0" collapsed="false">
      <c r="B15" s="17" t="n">
        <f aca="false">+B14+1</f>
        <v>31</v>
      </c>
      <c r="C15" s="18" t="s">
        <v>20</v>
      </c>
      <c r="E15" s="19" t="s">
        <v>14</v>
      </c>
      <c r="G15" s="20" t="n">
        <v>46311</v>
      </c>
      <c r="H15" s="20" t="n">
        <v>46316</v>
      </c>
      <c r="I15" s="20"/>
      <c r="J15" s="21" t="s">
        <v>15</v>
      </c>
      <c r="K15" s="19"/>
      <c r="M15" s="22" t="s">
        <v>16</v>
      </c>
    </row>
    <row r="16" customFormat="false" ht="36" hidden="false" customHeight="true" outlineLevel="0" collapsed="false">
      <c r="B16" s="17" t="n">
        <f aca="false">+B15+1</f>
        <v>32</v>
      </c>
      <c r="C16" s="18" t="s">
        <v>21</v>
      </c>
      <c r="E16" s="19" t="s">
        <v>22</v>
      </c>
      <c r="G16" s="20" t="n">
        <v>46311</v>
      </c>
      <c r="H16" s="20" t="n">
        <v>46316</v>
      </c>
      <c r="I16" s="20"/>
      <c r="J16" s="21"/>
      <c r="K16" s="19"/>
      <c r="M16" s="22" t="s">
        <v>16</v>
      </c>
    </row>
    <row r="17" customFormat="false" ht="21" hidden="false" customHeight="true" outlineLevel="0" collapsed="false">
      <c r="B17" s="17" t="n">
        <f aca="false">+B16+1</f>
        <v>33</v>
      </c>
      <c r="C17" s="18" t="s">
        <v>23</v>
      </c>
      <c r="E17" s="19" t="s">
        <v>22</v>
      </c>
      <c r="G17" s="20" t="n">
        <v>46311</v>
      </c>
      <c r="H17" s="20" t="n">
        <v>46316</v>
      </c>
      <c r="I17" s="20"/>
      <c r="J17" s="21"/>
      <c r="K17" s="19"/>
      <c r="M17" s="22" t="s">
        <v>16</v>
      </c>
    </row>
    <row r="18" customFormat="false" ht="21" hidden="false" customHeight="true" outlineLevel="0" collapsed="false">
      <c r="B18" s="17" t="n">
        <f aca="false">+B17+1</f>
        <v>34</v>
      </c>
      <c r="C18" s="18" t="s">
        <v>24</v>
      </c>
      <c r="E18" s="19" t="s">
        <v>22</v>
      </c>
      <c r="G18" s="20" t="n">
        <v>46311</v>
      </c>
      <c r="H18" s="20" t="n">
        <v>46316</v>
      </c>
      <c r="I18" s="20"/>
      <c r="J18" s="21"/>
      <c r="K18" s="19"/>
      <c r="M18" s="22" t="s">
        <v>16</v>
      </c>
    </row>
    <row r="19" customFormat="false" ht="21" hidden="false" customHeight="true" outlineLevel="0" collapsed="false">
      <c r="B19" s="17" t="n">
        <f aca="false">+B18+1</f>
        <v>35</v>
      </c>
      <c r="C19" s="18" t="s">
        <v>25</v>
      </c>
      <c r="E19" s="19" t="s">
        <v>14</v>
      </c>
      <c r="G19" s="20" t="n">
        <v>46311</v>
      </c>
      <c r="H19" s="20" t="n">
        <v>46316</v>
      </c>
      <c r="I19" s="20"/>
      <c r="J19" s="21"/>
      <c r="K19" s="19"/>
      <c r="M19" s="22" t="s">
        <v>16</v>
      </c>
    </row>
    <row r="20" customFormat="false" ht="36" hidden="false" customHeight="true" outlineLevel="0" collapsed="false">
      <c r="B20" s="17" t="n">
        <f aca="false">+B19+1</f>
        <v>36</v>
      </c>
      <c r="C20" s="18" t="s">
        <v>26</v>
      </c>
      <c r="E20" s="19" t="s">
        <v>22</v>
      </c>
      <c r="G20" s="20" t="n">
        <v>46311</v>
      </c>
      <c r="H20" s="20" t="n">
        <v>46316</v>
      </c>
      <c r="I20" s="20"/>
      <c r="J20" s="21"/>
      <c r="K20" s="19"/>
      <c r="M20" s="22" t="s">
        <v>16</v>
      </c>
    </row>
    <row r="21" customFormat="false" ht="36" hidden="false" customHeight="true" outlineLevel="0" collapsed="false">
      <c r="B21" s="17" t="n">
        <f aca="false">+B20+1</f>
        <v>37</v>
      </c>
      <c r="C21" s="18" t="s">
        <v>27</v>
      </c>
      <c r="E21" s="19" t="s">
        <v>28</v>
      </c>
      <c r="G21" s="20" t="n">
        <v>46311</v>
      </c>
      <c r="H21" s="20" t="n">
        <v>46316</v>
      </c>
      <c r="I21" s="20"/>
      <c r="J21" s="21"/>
      <c r="K21" s="19"/>
      <c r="M21" s="22" t="s">
        <v>16</v>
      </c>
    </row>
    <row r="22" customFormat="false" ht="21" hidden="false" customHeight="true" outlineLevel="0" collapsed="false">
      <c r="B22" s="17" t="n">
        <f aca="false">+B21+1</f>
        <v>38</v>
      </c>
      <c r="C22" s="18" t="s">
        <v>29</v>
      </c>
      <c r="E22" s="19" t="s">
        <v>22</v>
      </c>
      <c r="G22" s="20" t="n">
        <v>46311</v>
      </c>
      <c r="H22" s="20" t="n">
        <v>46316</v>
      </c>
      <c r="I22" s="20"/>
      <c r="J22" s="21" t="s">
        <v>15</v>
      </c>
      <c r="K22" s="19"/>
      <c r="M22" s="22" t="s">
        <v>16</v>
      </c>
    </row>
    <row r="23" customFormat="false" ht="21" hidden="false" customHeight="true" outlineLevel="0" collapsed="false">
      <c r="B23" s="17" t="n">
        <f aca="false">+B22+1</f>
        <v>39</v>
      </c>
      <c r="C23" s="18" t="s">
        <v>30</v>
      </c>
      <c r="E23" s="19" t="s">
        <v>22</v>
      </c>
      <c r="G23" s="20" t="n">
        <v>46311</v>
      </c>
      <c r="H23" s="20" t="n">
        <v>46316</v>
      </c>
      <c r="I23" s="20"/>
      <c r="J23" s="21"/>
      <c r="K23" s="19"/>
      <c r="M23" s="22" t="s">
        <v>16</v>
      </c>
    </row>
    <row r="24" customFormat="false" ht="13.5" hidden="false" customHeight="true" outlineLevel="0" collapsed="false">
      <c r="C24" s="23"/>
    </row>
    <row r="25" customFormat="false" ht="18" hidden="false" customHeight="true" outlineLevel="0" collapsed="false">
      <c r="C25" s="16" t="s">
        <v>31</v>
      </c>
    </row>
    <row r="26" customFormat="false" ht="51" hidden="false" customHeight="true" outlineLevel="0" collapsed="false">
      <c r="B26" s="17" t="n">
        <f aca="false">+B23+1</f>
        <v>40</v>
      </c>
      <c r="C26" s="18" t="s">
        <v>32</v>
      </c>
      <c r="E26" s="19" t="s">
        <v>14</v>
      </c>
      <c r="G26" s="20" t="n">
        <v>46311</v>
      </c>
      <c r="H26" s="20" t="n">
        <v>46316</v>
      </c>
      <c r="I26" s="20"/>
      <c r="J26" s="21" t="s">
        <v>15</v>
      </c>
      <c r="K26" s="19"/>
      <c r="M26" s="22" t="s">
        <v>16</v>
      </c>
    </row>
    <row r="27" customFormat="false" ht="36" hidden="false" customHeight="true" outlineLevel="0" collapsed="false">
      <c r="B27" s="17" t="n">
        <f aca="false">+B26+1</f>
        <v>41</v>
      </c>
      <c r="C27" s="18" t="s">
        <v>33</v>
      </c>
      <c r="E27" s="19" t="s">
        <v>22</v>
      </c>
      <c r="G27" s="20" t="n">
        <v>46311</v>
      </c>
      <c r="H27" s="20" t="n">
        <v>46316</v>
      </c>
      <c r="I27" s="20"/>
      <c r="J27" s="21"/>
      <c r="K27" s="19"/>
      <c r="M27" s="22" t="s">
        <v>16</v>
      </c>
    </row>
    <row r="28" customFormat="false" ht="21" hidden="false" customHeight="true" outlineLevel="0" collapsed="false">
      <c r="B28" s="17" t="n">
        <f aca="false">+B27+1</f>
        <v>42</v>
      </c>
      <c r="C28" s="18" t="s">
        <v>34</v>
      </c>
      <c r="E28" s="19" t="s">
        <v>22</v>
      </c>
      <c r="G28" s="20" t="n">
        <v>46311</v>
      </c>
      <c r="H28" s="20" t="n">
        <v>46316</v>
      </c>
      <c r="I28" s="20"/>
      <c r="J28" s="21" t="s">
        <v>15</v>
      </c>
      <c r="K28" s="19"/>
      <c r="M28" s="22" t="s">
        <v>16</v>
      </c>
    </row>
    <row r="29" customFormat="false" ht="21" hidden="false" customHeight="true" outlineLevel="0" collapsed="false">
      <c r="B29" s="17" t="n">
        <f aca="false">+B28+1</f>
        <v>43</v>
      </c>
      <c r="C29" s="18" t="s">
        <v>35</v>
      </c>
      <c r="E29" s="19" t="s">
        <v>28</v>
      </c>
      <c r="G29" s="20" t="n">
        <v>46311</v>
      </c>
      <c r="H29" s="20" t="n">
        <v>46316</v>
      </c>
      <c r="I29" s="20"/>
      <c r="J29" s="21" t="s">
        <v>15</v>
      </c>
      <c r="K29" s="19"/>
      <c r="M29" s="22" t="s">
        <v>16</v>
      </c>
    </row>
    <row r="30" customFormat="false" ht="13.5" hidden="false" customHeight="true" outlineLevel="0" collapsed="false">
      <c r="C30" s="23"/>
    </row>
    <row r="31" customFormat="false" ht="13.5" hidden="false" customHeight="true" outlineLevel="0" collapsed="false">
      <c r="C31" s="23"/>
    </row>
    <row r="32" customFormat="false" ht="13.5" hidden="false" customHeight="true" outlineLevel="0" collapsed="false">
      <c r="C32" s="23"/>
    </row>
    <row r="33" customFormat="false" ht="13.5" hidden="false" customHeight="true" outlineLevel="0" collapsed="false">
      <c r="C33" s="23"/>
    </row>
    <row r="34" customFormat="false" ht="13.5" hidden="false" customHeight="true" outlineLevel="0" collapsed="false">
      <c r="C34" s="23"/>
    </row>
    <row r="35" customFormat="false" ht="13.5" hidden="false" customHeight="true" outlineLevel="0" collapsed="false">
      <c r="C35" s="23"/>
    </row>
    <row r="36" customFormat="false" ht="13.5" hidden="false" customHeight="true" outlineLevel="0" collapsed="false">
      <c r="C36" s="23"/>
    </row>
    <row r="37" customFormat="false" ht="13.5" hidden="false" customHeight="true" outlineLevel="0" collapsed="false">
      <c r="C37" s="23"/>
    </row>
    <row r="38" customFormat="false" ht="13.5" hidden="false" customHeight="true" outlineLevel="0" collapsed="false">
      <c r="C38" s="23"/>
    </row>
    <row r="39" customFormat="false" ht="13.5" hidden="false" customHeight="true" outlineLevel="0" collapsed="false">
      <c r="C39" s="23"/>
    </row>
    <row r="40" customFormat="false" ht="13.5" hidden="false" customHeight="true" outlineLevel="0" collapsed="false">
      <c r="C40" s="23"/>
    </row>
    <row r="41" customFormat="false" ht="13.5" hidden="false" customHeight="true" outlineLevel="0" collapsed="false">
      <c r="C41" s="23"/>
    </row>
    <row r="42" customFormat="false" ht="13.5" hidden="false" customHeight="true" outlineLevel="0" collapsed="false">
      <c r="C42" s="23"/>
    </row>
    <row r="43" customFormat="false" ht="13.5" hidden="false" customHeight="true" outlineLevel="0" collapsed="false">
      <c r="C43" s="23"/>
    </row>
    <row r="44" customFormat="false" ht="13.5" hidden="false" customHeight="true" outlineLevel="0" collapsed="false">
      <c r="C44" s="23"/>
    </row>
    <row r="45" customFormat="false" ht="13.5" hidden="false" customHeight="true" outlineLevel="0" collapsed="false">
      <c r="C45" s="23"/>
    </row>
    <row r="46" customFormat="false" ht="13.5" hidden="false" customHeight="true" outlineLevel="0" collapsed="false">
      <c r="C46" s="23"/>
    </row>
    <row r="47" customFormat="false" ht="13.5" hidden="false" customHeight="true" outlineLevel="0" collapsed="false">
      <c r="C47" s="23"/>
    </row>
    <row r="48" customFormat="false" ht="13.5" hidden="false" customHeight="true" outlineLevel="0" collapsed="false">
      <c r="C48" s="23"/>
    </row>
    <row r="49" customFormat="false" ht="13.5" hidden="false" customHeight="true" outlineLevel="0" collapsed="false">
      <c r="C49" s="23"/>
    </row>
    <row r="50" customFormat="false" ht="13.5" hidden="false" customHeight="true" outlineLevel="0" collapsed="false">
      <c r="C50" s="23"/>
    </row>
    <row r="51" customFormat="false" ht="13.5" hidden="false" customHeight="true" outlineLevel="0" collapsed="false">
      <c r="C51" s="23"/>
    </row>
    <row r="52" customFormat="false" ht="13.5" hidden="false" customHeight="true" outlineLevel="0" collapsed="false">
      <c r="C52" s="23"/>
    </row>
    <row r="53" customFormat="false" ht="13.5" hidden="false" customHeight="true" outlineLevel="0" collapsed="false">
      <c r="C53" s="23"/>
    </row>
    <row r="54" s="24" customFormat="true" ht="13.5" hidden="false" customHeight="true" outlineLevel="0" collapsed="false">
      <c r="C54" s="23"/>
    </row>
    <row r="55" customFormat="false" ht="13.5" hidden="false" customHeight="true" outlineLevel="0" collapsed="false">
      <c r="C55" s="23"/>
    </row>
    <row r="56" customFormat="false" ht="13.5" hidden="false" customHeight="true" outlineLevel="0" collapsed="false">
      <c r="C56" s="23"/>
    </row>
    <row r="57" customFormat="false" ht="13.5" hidden="false" customHeight="true" outlineLevel="0" collapsed="false">
      <c r="C57" s="23"/>
    </row>
    <row r="58" customFormat="false" ht="13.5" hidden="false" customHeight="true" outlineLevel="0" collapsed="false">
      <c r="C58" s="23"/>
    </row>
    <row r="59" customFormat="false" ht="13.5" hidden="false" customHeight="true" outlineLevel="0" collapsed="false">
      <c r="C59" s="23"/>
    </row>
    <row r="60" customFormat="false" ht="13.5" hidden="false" customHeight="true" outlineLevel="0" collapsed="false">
      <c r="C60" s="23"/>
    </row>
    <row r="61" customFormat="false" ht="13.5" hidden="false" customHeight="true" outlineLevel="0" collapsed="false">
      <c r="C61" s="23"/>
    </row>
    <row r="62" customFormat="false" ht="13.5" hidden="false" customHeight="true" outlineLevel="0" collapsed="false">
      <c r="C62" s="23"/>
    </row>
    <row r="63" customFormat="false" ht="13.5" hidden="false" customHeight="true" outlineLevel="0" collapsed="false">
      <c r="C63" s="23"/>
    </row>
    <row r="64" customFormat="false" ht="13.5" hidden="false" customHeight="true" outlineLevel="0" collapsed="false">
      <c r="C64" s="23"/>
    </row>
    <row r="65" customFormat="false" ht="13.5" hidden="false" customHeight="true" outlineLevel="0" collapsed="false">
      <c r="C65" s="23"/>
    </row>
    <row r="66" customFormat="false" ht="13.5" hidden="false" customHeight="true" outlineLevel="0" collapsed="false">
      <c r="C66" s="23"/>
    </row>
    <row r="67" customFormat="false" ht="13.5" hidden="false" customHeight="true" outlineLevel="0" collapsed="false">
      <c r="C67" s="23"/>
    </row>
    <row r="68" s="24" customFormat="true" ht="13.5" hidden="false" customHeight="true" outlineLevel="0" collapsed="false">
      <c r="C68" s="23"/>
    </row>
    <row r="69" customFormat="false" ht="13.5" hidden="false" customHeight="true" outlineLevel="0" collapsed="false">
      <c r="C69" s="23"/>
    </row>
    <row r="70" customFormat="false" ht="13.5" hidden="false" customHeight="true" outlineLevel="0" collapsed="false">
      <c r="C70" s="23"/>
    </row>
    <row r="71" customFormat="false" ht="13.5" hidden="false" customHeight="true" outlineLevel="0" collapsed="false">
      <c r="C71" s="23"/>
    </row>
    <row r="72" customFormat="false" ht="13.5" hidden="false" customHeight="true" outlineLevel="0" collapsed="false">
      <c r="C72" s="23"/>
    </row>
    <row r="73" customFormat="false" ht="13.5" hidden="false" customHeight="true" outlineLevel="0" collapsed="false">
      <c r="C73" s="23"/>
    </row>
    <row r="74" customFormat="false" ht="13.5" hidden="false" customHeight="true" outlineLevel="0" collapsed="false">
      <c r="C74" s="23"/>
    </row>
    <row r="75" customFormat="false" ht="13.5" hidden="false" customHeight="true" outlineLevel="0" collapsed="false">
      <c r="C75" s="23"/>
    </row>
    <row r="76" customFormat="false" ht="13.5" hidden="false" customHeight="true" outlineLevel="0" collapsed="false">
      <c r="C76" s="23"/>
    </row>
    <row r="77" customFormat="false" ht="13.5" hidden="false" customHeight="true" outlineLevel="0" collapsed="false">
      <c r="C77" s="23"/>
    </row>
    <row r="78" customFormat="false" ht="13.5" hidden="false" customHeight="true" outlineLevel="0" collapsed="false">
      <c r="C78" s="23"/>
    </row>
    <row r="79" customFormat="false" ht="13.5" hidden="false" customHeight="true" outlineLevel="0" collapsed="false">
      <c r="C79" s="23"/>
    </row>
    <row r="80" customFormat="false" ht="13.5" hidden="false" customHeight="true" outlineLevel="0" collapsed="false">
      <c r="C80" s="23"/>
    </row>
    <row r="81" customFormat="false" ht="13.5" hidden="false" customHeight="true" outlineLevel="0" collapsed="false">
      <c r="C81" s="23"/>
    </row>
    <row r="82" customFormat="false" ht="13.5" hidden="false" customHeight="true" outlineLevel="0" collapsed="false">
      <c r="C82" s="23"/>
    </row>
    <row r="83" customFormat="false" ht="13.5" hidden="false" customHeight="true" outlineLevel="0" collapsed="false">
      <c r="C83" s="23"/>
    </row>
    <row r="84" customFormat="false" ht="13.5" hidden="false" customHeight="true" outlineLevel="0" collapsed="false">
      <c r="C84" s="23"/>
    </row>
    <row r="85" customFormat="false" ht="13.5" hidden="false" customHeight="true" outlineLevel="0" collapsed="false">
      <c r="C85" s="23"/>
    </row>
    <row r="86" customFormat="false" ht="13.5" hidden="false" customHeight="true" outlineLevel="0" collapsed="false">
      <c r="C86" s="23"/>
    </row>
    <row r="87" customFormat="false" ht="13.5" hidden="false" customHeight="true" outlineLevel="0" collapsed="false">
      <c r="C87" s="23"/>
    </row>
    <row r="88" customFormat="false" ht="13.5" hidden="false" customHeight="true" outlineLevel="0" collapsed="false">
      <c r="C88" s="23"/>
    </row>
    <row r="89" customFormat="false" ht="13.5" hidden="false" customHeight="true" outlineLevel="0" collapsed="false">
      <c r="C89" s="23"/>
    </row>
    <row r="90" customFormat="false" ht="13.5" hidden="false" customHeight="true" outlineLevel="0" collapsed="false">
      <c r="C90" s="23"/>
    </row>
    <row r="91" customFormat="false" ht="13.5" hidden="false" customHeight="true" outlineLevel="0" collapsed="false">
      <c r="C91" s="23"/>
    </row>
    <row r="92" customFormat="false" ht="13.5" hidden="false" customHeight="true" outlineLevel="0" collapsed="false">
      <c r="C92" s="23"/>
    </row>
    <row r="93" customFormat="false" ht="13.5" hidden="false" customHeight="true" outlineLevel="0" collapsed="false">
      <c r="C93" s="23"/>
    </row>
    <row r="94" customFormat="false" ht="13.5" hidden="false" customHeight="true" outlineLevel="0" collapsed="false">
      <c r="C94" s="23"/>
    </row>
    <row r="95" customFormat="false" ht="13.5" hidden="false" customHeight="true" outlineLevel="0" collapsed="false">
      <c r="C95" s="23"/>
    </row>
    <row r="96" customFormat="false" ht="13.5" hidden="false" customHeight="true" outlineLevel="0" collapsed="false">
      <c r="C96" s="23"/>
    </row>
    <row r="97" customFormat="false" ht="13.5" hidden="false" customHeight="true" outlineLevel="0" collapsed="false">
      <c r="C97" s="23"/>
    </row>
    <row r="98" customFormat="false" ht="13.5" hidden="false" customHeight="true" outlineLevel="0" collapsed="false">
      <c r="C98" s="23"/>
    </row>
    <row r="99" customFormat="false" ht="13.5" hidden="false" customHeight="true" outlineLevel="0" collapsed="false">
      <c r="C99" s="23"/>
    </row>
    <row r="100" customFormat="false" ht="13.5" hidden="false" customHeight="true" outlineLevel="0" collapsed="false">
      <c r="C100" s="23"/>
    </row>
    <row r="101" customFormat="false" ht="13.5" hidden="false" customHeight="true" outlineLevel="0" collapsed="false">
      <c r="C101" s="23"/>
    </row>
    <row r="102" customFormat="false" ht="13.5" hidden="false" customHeight="true" outlineLevel="0" collapsed="false">
      <c r="C102" s="23"/>
    </row>
    <row r="103" customFormat="false" ht="13.5" hidden="false" customHeight="true" outlineLevel="0" collapsed="false">
      <c r="C103" s="23"/>
    </row>
    <row r="104" customFormat="false" ht="13.5" hidden="false" customHeight="true" outlineLevel="0" collapsed="false">
      <c r="C104" s="23"/>
    </row>
    <row r="105" customFormat="false" ht="13.5" hidden="false" customHeight="true" outlineLevel="0" collapsed="false">
      <c r="C105" s="23"/>
    </row>
    <row r="106" customFormat="false" ht="13.5" hidden="false" customHeight="true" outlineLevel="0" collapsed="false">
      <c r="C106" s="23"/>
    </row>
    <row r="107" customFormat="false" ht="13.5" hidden="false" customHeight="true" outlineLevel="0" collapsed="false">
      <c r="C107" s="23"/>
    </row>
    <row r="108" customFormat="false" ht="13.5" hidden="false" customHeight="true" outlineLevel="0" collapsed="false">
      <c r="C108" s="23"/>
    </row>
    <row r="109" customFormat="false" ht="13.5" hidden="false" customHeight="true" outlineLevel="0" collapsed="false">
      <c r="C109" s="23"/>
    </row>
    <row r="110" customFormat="false" ht="13.5" hidden="false" customHeight="true" outlineLevel="0" collapsed="false">
      <c r="C110" s="23"/>
    </row>
    <row r="111" customFormat="false" ht="13.5" hidden="false" customHeight="true" outlineLevel="0" collapsed="false">
      <c r="C111" s="23"/>
    </row>
    <row r="112" customFormat="false" ht="13.5" hidden="false" customHeight="true" outlineLevel="0" collapsed="false">
      <c r="C112" s="23"/>
    </row>
    <row r="113" customFormat="false" ht="13.5" hidden="false" customHeight="true" outlineLevel="0" collapsed="false">
      <c r="C113" s="23"/>
    </row>
    <row r="114" customFormat="false" ht="13.5" hidden="false" customHeight="true" outlineLevel="0" collapsed="false">
      <c r="C114" s="23"/>
    </row>
    <row r="115" customFormat="false" ht="13.5" hidden="false" customHeight="true" outlineLevel="0" collapsed="false">
      <c r="C115" s="23"/>
    </row>
    <row r="116" customFormat="false" ht="13.5" hidden="false" customHeight="true" outlineLevel="0" collapsed="false">
      <c r="C116" s="23"/>
    </row>
    <row r="117" customFormat="false" ht="13.5" hidden="false" customHeight="true" outlineLevel="0" collapsed="false">
      <c r="C117" s="23"/>
    </row>
    <row r="118" customFormat="false" ht="13.5" hidden="false" customHeight="true" outlineLevel="0" collapsed="false">
      <c r="C118" s="23"/>
    </row>
    <row r="119" customFormat="false" ht="13.5" hidden="false" customHeight="true" outlineLevel="0" collapsed="false">
      <c r="C119" s="23"/>
    </row>
    <row r="120" customFormat="false" ht="13.5" hidden="false" customHeight="true" outlineLevel="0" collapsed="false">
      <c r="C120" s="23"/>
    </row>
    <row r="121" customFormat="false" ht="13.5" hidden="false" customHeight="true" outlineLevel="0" collapsed="false">
      <c r="C121" s="23"/>
    </row>
    <row r="122" customFormat="false" ht="13.5" hidden="false" customHeight="true" outlineLevel="0" collapsed="false">
      <c r="C122" s="23"/>
    </row>
    <row r="123" customFormat="false" ht="13.5" hidden="false" customHeight="true" outlineLevel="0" collapsed="false">
      <c r="C123" s="23"/>
    </row>
    <row r="124" customFormat="false" ht="13.5" hidden="false" customHeight="true" outlineLevel="0" collapsed="false">
      <c r="C124" s="23"/>
    </row>
    <row r="125" customFormat="false" ht="13.5" hidden="false" customHeight="true" outlineLevel="0" collapsed="false">
      <c r="C125" s="23"/>
    </row>
    <row r="126" customFormat="false" ht="13.5" hidden="false" customHeight="true" outlineLevel="0" collapsed="false">
      <c r="C126" s="23"/>
    </row>
    <row r="127" customFormat="false" ht="13.5" hidden="false" customHeight="true" outlineLevel="0" collapsed="false">
      <c r="C127" s="23"/>
    </row>
    <row r="128" customFormat="false" ht="13.5" hidden="false" customHeight="true" outlineLevel="0" collapsed="false">
      <c r="C128" s="23"/>
    </row>
    <row r="129" customFormat="false" ht="13.5" hidden="false" customHeight="true" outlineLevel="0" collapsed="false">
      <c r="C129" s="23"/>
    </row>
  </sheetData>
  <autoFilter ref="B12:P12"/>
  <mergeCells count="3">
    <mergeCell ref="C4:M4"/>
    <mergeCell ref="C5:M5"/>
    <mergeCell ref="C6:M6"/>
  </mergeCells>
  <conditionalFormatting sqref="M11:M29">
    <cfRule type="cellIs" priority="2" operator="equal" aboveAverage="0" equalAverage="0" bottom="0" percent="0" rank="0" text="" dxfId="5">
      <formula>"Partiellement Reçu"</formula>
    </cfRule>
    <cfRule type="cellIs" priority="3" operator="equal" aboveAverage="0" equalAverage="0" bottom="0" percent="0" rank="0" text="" dxfId="6">
      <formula>"Non Reçu"</formula>
    </cfRule>
    <cfRule type="cellIs" priority="4" operator="equal" aboveAverage="0" equalAverage="0" bottom="0" percent="0" rank="0" text="" dxfId="7">
      <formula>"Reçu"</formula>
    </cfRule>
  </conditionalFormatting>
  <conditionalFormatting sqref="E11:E29">
    <cfRule type="cellIs" priority="5" operator="equal" aboveAverage="0" equalAverage="0" bottom="0" percent="0" rank="0" text="" dxfId="8">
      <formula>"Faible"</formula>
    </cfRule>
    <cfRule type="cellIs" priority="6" operator="equal" aboveAverage="0" equalAverage="0" bottom="0" percent="0" rank="0" text="" dxfId="9">
      <formula>"Moyen"</formula>
    </cfRule>
    <cfRule type="cellIs" priority="7" operator="equal" aboveAverage="0" equalAverage="0" bottom="0" percent="0" rank="0" text="" dxfId="10">
      <formula>"Urgent"</formula>
    </cfRule>
  </conditionalFormatting>
  <dataValidations count="3">
    <dataValidation allowBlank="true" errorStyle="stop" operator="between" showDropDown="false" showErrorMessage="false" showInputMessage="false" sqref="E11:E29" type="list">
      <formula1>"Urgent,Moyen,Faible"</formula1>
      <formula2>0</formula2>
    </dataValidation>
    <dataValidation allowBlank="true" errorStyle="stop" operator="between" showDropDown="false" showErrorMessage="false" showInputMessage="false" sqref="J11:J29" type="list">
      <formula1>"Physique,Electronique,Physique et Electronique"</formula1>
      <formula2>0</formula2>
    </dataValidation>
    <dataValidation allowBlank="true" errorStyle="stop" operator="between" showDropDown="false" showErrorMessage="false" showInputMessage="false" sqref="M11:M29" type="list">
      <formula1>"Reçu,Non Reçu,Non Applicable,Partiellement Reçu"</formula1>
      <formula2>0</formula2>
    </dataValidation>
  </dataValidations>
  <printOptions headings="false" gridLines="false" gridLinesSet="true" horizontalCentered="false" verticalCentered="false"/>
  <pageMargins left="0.39375" right="0.196527777777778" top="0.39375" bottom="0.39375" header="0.118055555555556" footer="0.118055555555556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&amp;C&amp;8 &amp;A&amp;R&amp;P/&amp;N</oddHeader>
    <oddFooter>&amp;C&amp;8 &amp;F&amp;R&amp;P/&amp;N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5" width="2"/>
    <col collapsed="false" customWidth="true" hidden="false" outlineLevel="0" max="2" min="2" style="25" width="26"/>
    <col collapsed="false" customWidth="true" hidden="false" outlineLevel="0" max="3" min="3" style="25" width="70"/>
    <col collapsed="false" customWidth="true" hidden="false" outlineLevel="0" max="4" min="4" style="25" width="24"/>
  </cols>
  <sheetData>
    <row r="2" customFormat="false" ht="15.75" hidden="false" customHeight="true" outlineLevel="0" collapsed="false">
      <c r="B2" s="26" t="s">
        <v>36</v>
      </c>
    </row>
    <row r="3" customFormat="false" ht="15" hidden="false" customHeight="true" outlineLevel="0" collapsed="false">
      <c r="B3" s="27" t="s">
        <v>37</v>
      </c>
    </row>
    <row r="5" customFormat="false" ht="15" hidden="false" customHeight="true" outlineLevel="0" collapsed="false">
      <c r="B5" s="28" t="s">
        <v>38</v>
      </c>
      <c r="C5" s="28" t="s">
        <v>39</v>
      </c>
      <c r="D5" s="28" t="s">
        <v>40</v>
      </c>
    </row>
    <row r="6" customFormat="false" ht="15" hidden="false" customHeight="true" outlineLevel="0" collapsed="false">
      <c r="B6" s="29" t="s">
        <v>41</v>
      </c>
      <c r="C6" s="30" t="s">
        <v>42</v>
      </c>
      <c r="D6" s="30" t="s">
        <v>43</v>
      </c>
    </row>
    <row r="7" customFormat="false" ht="15" hidden="false" customHeight="true" outlineLevel="0" collapsed="false">
      <c r="B7" s="29" t="s">
        <v>44</v>
      </c>
      <c r="C7" s="30" t="s">
        <v>45</v>
      </c>
      <c r="D7" s="30" t="s">
        <v>46</v>
      </c>
    </row>
    <row r="8" customFormat="false" ht="15" hidden="false" customHeight="true" outlineLevel="0" collapsed="false">
      <c r="B8" s="29" t="s">
        <v>47</v>
      </c>
      <c r="C8" s="30" t="s">
        <v>48</v>
      </c>
      <c r="D8" s="30" t="s">
        <v>49</v>
      </c>
    </row>
    <row r="9" customFormat="false" ht="15" hidden="false" customHeight="true" outlineLevel="0" collapsed="false">
      <c r="B9" s="29" t="s">
        <v>50</v>
      </c>
      <c r="C9" s="30" t="s">
        <v>51</v>
      </c>
      <c r="D9" s="30" t="s">
        <v>52</v>
      </c>
    </row>
    <row r="10" customFormat="false" ht="15" hidden="false" customHeight="true" outlineLevel="0" collapsed="false">
      <c r="B10" s="29" t="s">
        <v>53</v>
      </c>
      <c r="C10" s="30" t="s">
        <v>54</v>
      </c>
      <c r="D10" s="30" t="s">
        <v>55</v>
      </c>
    </row>
    <row r="11" customFormat="false" ht="15" hidden="false" customHeight="true" outlineLevel="0" collapsed="false">
      <c r="B11" s="29" t="s">
        <v>56</v>
      </c>
      <c r="C11" s="30" t="s">
        <v>57</v>
      </c>
      <c r="D11" s="30" t="s">
        <v>58</v>
      </c>
    </row>
    <row r="12" customFormat="false" ht="15" hidden="false" customHeight="true" outlineLevel="0" collapsed="false">
      <c r="B12" s="29" t="s">
        <v>59</v>
      </c>
      <c r="C12" s="30" t="s">
        <v>60</v>
      </c>
      <c r="D12" s="30" t="s">
        <v>55</v>
      </c>
    </row>
    <row r="13" customFormat="false" ht="15" hidden="false" customHeight="true" outlineLevel="0" collapsed="false">
      <c r="B13" s="29" t="s">
        <v>61</v>
      </c>
      <c r="C13" s="30" t="s">
        <v>62</v>
      </c>
      <c r="D13" s="30" t="s">
        <v>63</v>
      </c>
    </row>
    <row r="14" customFormat="false" ht="15" hidden="false" customHeight="true" outlineLevel="0" collapsed="false">
      <c r="B14" s="29" t="s">
        <v>64</v>
      </c>
      <c r="C14" s="30" t="s">
        <v>65</v>
      </c>
      <c r="D14" s="30" t="s">
        <v>66</v>
      </c>
    </row>
    <row r="15" customFormat="false" ht="15" hidden="false" customHeight="true" outlineLevel="0" collapsed="false">
      <c r="B15" s="29" t="s">
        <v>67</v>
      </c>
      <c r="C15" s="30" t="s">
        <v>68</v>
      </c>
      <c r="D15" s="30" t="s">
        <v>69</v>
      </c>
    </row>
    <row r="16" customFormat="false" ht="15" hidden="false" customHeight="true" outlineLevel="0" collapsed="false">
      <c r="B16" s="29" t="s">
        <v>70</v>
      </c>
      <c r="C16" s="30" t="s">
        <v>71</v>
      </c>
      <c r="D16" s="30" t="s">
        <v>72</v>
      </c>
    </row>
    <row r="17" customFormat="false" ht="15" hidden="false" customHeight="true" outlineLevel="0" collapsed="false">
      <c r="B17" s="29" t="s">
        <v>73</v>
      </c>
      <c r="C17" s="30" t="s">
        <v>74</v>
      </c>
      <c r="D17" s="30" t="s">
        <v>75</v>
      </c>
    </row>
    <row r="18" customFormat="false" ht="15" hidden="false" customHeight="true" outlineLevel="0" collapsed="false">
      <c r="B18" s="29" t="s">
        <v>76</v>
      </c>
      <c r="C18" s="30" t="s">
        <v>77</v>
      </c>
      <c r="D18" s="30" t="s">
        <v>78</v>
      </c>
    </row>
    <row r="19" customFormat="false" ht="15" hidden="false" customHeight="true" outlineLevel="0" collapsed="false">
      <c r="B19" s="29" t="s">
        <v>79</v>
      </c>
      <c r="C19" s="30" t="s">
        <v>80</v>
      </c>
      <c r="D19" s="30" t="s">
        <v>81</v>
      </c>
    </row>
    <row r="20" customFormat="false" ht="15" hidden="false" customHeight="true" outlineLevel="0" collapsed="false">
      <c r="B20" s="29" t="s">
        <v>82</v>
      </c>
      <c r="C20" s="30" t="s">
        <v>83</v>
      </c>
      <c r="D20" s="30" t="s">
        <v>84</v>
      </c>
    </row>
    <row r="21" customFormat="false" ht="15" hidden="false" customHeight="true" outlineLevel="0" collapsed="false">
      <c r="B21" s="29" t="s">
        <v>85</v>
      </c>
      <c r="C21" s="30" t="s">
        <v>86</v>
      </c>
      <c r="D21" s="30" t="s">
        <v>87</v>
      </c>
    </row>
    <row r="22" customFormat="false" ht="15" hidden="false" customHeight="true" outlineLevel="0" collapsed="false">
      <c r="B22" s="29" t="s">
        <v>88</v>
      </c>
      <c r="C22" s="30" t="s">
        <v>89</v>
      </c>
      <c r="D22" s="30" t="s">
        <v>90</v>
      </c>
    </row>
    <row r="23" customFormat="false" ht="15" hidden="false" customHeight="true" outlineLevel="0" collapsed="false">
      <c r="B23" s="29" t="s">
        <v>91</v>
      </c>
      <c r="C23" s="30" t="s">
        <v>92</v>
      </c>
      <c r="D23" s="30" t="s">
        <v>93</v>
      </c>
    </row>
    <row r="24" customFormat="false" ht="15" hidden="false" customHeight="true" outlineLevel="0" collapsed="false">
      <c r="B24" s="29" t="s">
        <v>94</v>
      </c>
      <c r="C24" s="30" t="s">
        <v>95</v>
      </c>
      <c r="D24" s="30" t="s">
        <v>96</v>
      </c>
    </row>
    <row r="25" customFormat="false" ht="15" hidden="false" customHeight="true" outlineLevel="0" collapsed="false">
      <c r="B25" s="29" t="s">
        <v>97</v>
      </c>
      <c r="C25" s="30" t="s">
        <v>98</v>
      </c>
      <c r="D25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5" width="2"/>
    <col collapsed="false" customWidth="true" hidden="false" outlineLevel="0" max="2" min="2" style="25" width="26"/>
    <col collapsed="false" customWidth="true" hidden="false" outlineLevel="0" max="3" min="3" style="25" width="70"/>
    <col collapsed="false" customWidth="true" hidden="false" outlineLevel="0" max="4" min="4" style="25" width="24"/>
  </cols>
  <sheetData>
    <row r="2" customFormat="false" ht="15.75" hidden="false" customHeight="true" outlineLevel="0" collapsed="false">
      <c r="B2" s="26" t="s">
        <v>100</v>
      </c>
    </row>
    <row r="3" customFormat="false" ht="15" hidden="false" customHeight="true" outlineLevel="0" collapsed="false">
      <c r="B3" s="27" t="s">
        <v>37</v>
      </c>
    </row>
    <row r="5" customFormat="false" ht="15" hidden="false" customHeight="true" outlineLevel="0" collapsed="false">
      <c r="B5" s="28" t="s">
        <v>38</v>
      </c>
      <c r="C5" s="28" t="s">
        <v>39</v>
      </c>
      <c r="D5" s="28" t="s">
        <v>40</v>
      </c>
    </row>
    <row r="6" customFormat="false" ht="15" hidden="false" customHeight="true" outlineLevel="0" collapsed="false">
      <c r="B6" s="29" t="s">
        <v>101</v>
      </c>
      <c r="C6" s="30" t="s">
        <v>102</v>
      </c>
      <c r="D6" s="30" t="s">
        <v>103</v>
      </c>
    </row>
    <row r="7" customFormat="false" ht="15" hidden="false" customHeight="true" outlineLevel="0" collapsed="false">
      <c r="B7" s="29" t="s">
        <v>44</v>
      </c>
      <c r="C7" s="30" t="s">
        <v>104</v>
      </c>
      <c r="D7" s="30" t="s">
        <v>46</v>
      </c>
    </row>
    <row r="8" customFormat="false" ht="15" hidden="false" customHeight="true" outlineLevel="0" collapsed="false">
      <c r="B8" s="29" t="s">
        <v>105</v>
      </c>
      <c r="C8" s="30" t="s">
        <v>106</v>
      </c>
      <c r="D8" s="30" t="s">
        <v>107</v>
      </c>
    </row>
    <row r="9" customFormat="false" ht="15" hidden="false" customHeight="true" outlineLevel="0" collapsed="false">
      <c r="B9" s="29" t="s">
        <v>108</v>
      </c>
      <c r="C9" s="30" t="s">
        <v>109</v>
      </c>
      <c r="D9" s="30" t="s">
        <v>110</v>
      </c>
    </row>
    <row r="10" customFormat="false" ht="15" hidden="false" customHeight="true" outlineLevel="0" collapsed="false">
      <c r="B10" s="29" t="s">
        <v>111</v>
      </c>
      <c r="C10" s="30" t="s">
        <v>112</v>
      </c>
      <c r="D10" s="30" t="s">
        <v>113</v>
      </c>
    </row>
    <row r="11" customFormat="false" ht="15" hidden="false" customHeight="true" outlineLevel="0" collapsed="false">
      <c r="B11" s="29" t="s">
        <v>114</v>
      </c>
      <c r="C11" s="30" t="s">
        <v>115</v>
      </c>
      <c r="D11" s="30" t="s">
        <v>63</v>
      </c>
    </row>
    <row r="12" customFormat="false" ht="15" hidden="false" customHeight="true" outlineLevel="0" collapsed="false">
      <c r="B12" s="29" t="s">
        <v>116</v>
      </c>
      <c r="C12" s="30" t="s">
        <v>117</v>
      </c>
      <c r="D12" s="30" t="s">
        <v>118</v>
      </c>
    </row>
    <row r="13" customFormat="false" ht="15" hidden="false" customHeight="true" outlineLevel="0" collapsed="false">
      <c r="B13" s="29" t="s">
        <v>119</v>
      </c>
      <c r="C13" s="30" t="s">
        <v>120</v>
      </c>
      <c r="D13" s="30" t="s">
        <v>121</v>
      </c>
    </row>
    <row r="14" customFormat="false" ht="15" hidden="false" customHeight="true" outlineLevel="0" collapsed="false">
      <c r="B14" s="29" t="s">
        <v>122</v>
      </c>
      <c r="C14" s="30" t="s">
        <v>123</v>
      </c>
      <c r="D14" s="30" t="s">
        <v>124</v>
      </c>
    </row>
    <row r="15" customFormat="false" ht="15" hidden="false" customHeight="true" outlineLevel="0" collapsed="false">
      <c r="B15" s="29" t="s">
        <v>125</v>
      </c>
      <c r="C15" s="30" t="s">
        <v>126</v>
      </c>
      <c r="D15" s="30" t="s">
        <v>127</v>
      </c>
    </row>
    <row r="16" customFormat="false" ht="15" hidden="false" customHeight="true" outlineLevel="0" collapsed="false">
      <c r="B16" s="29" t="s">
        <v>79</v>
      </c>
      <c r="C16" s="30" t="s">
        <v>128</v>
      </c>
      <c r="D16" s="30" t="s">
        <v>129</v>
      </c>
    </row>
    <row r="17" customFormat="false" ht="15" hidden="false" customHeight="true" outlineLevel="0" collapsed="false">
      <c r="B17" s="29" t="s">
        <v>130</v>
      </c>
      <c r="C17" s="30" t="s">
        <v>131</v>
      </c>
      <c r="D17" s="30" t="s">
        <v>132</v>
      </c>
    </row>
    <row r="18" customFormat="false" ht="15" hidden="false" customHeight="true" outlineLevel="0" collapsed="false">
      <c r="B18" s="29" t="s">
        <v>133</v>
      </c>
      <c r="C18" s="30" t="s">
        <v>134</v>
      </c>
      <c r="D18" s="30" t="s">
        <v>135</v>
      </c>
    </row>
    <row r="19" customFormat="false" ht="15" hidden="false" customHeight="true" outlineLevel="0" collapsed="false">
      <c r="B19" s="29" t="s">
        <v>88</v>
      </c>
      <c r="C19" s="30" t="s">
        <v>136</v>
      </c>
      <c r="D19" s="30" t="s">
        <v>135</v>
      </c>
    </row>
    <row r="20" customFormat="false" ht="15" hidden="false" customHeight="true" outlineLevel="0" collapsed="false">
      <c r="B20" s="29" t="s">
        <v>137</v>
      </c>
      <c r="C20" s="30" t="s">
        <v>138</v>
      </c>
      <c r="D20" s="3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2026-09-08T09:02:33Z</dcterms:created>
  <dc:creator>Miensa Ruth Kouassi</dc:creator>
  <dc:description/>
  <dc:language>en-US</dc:language>
  <cp:lastModifiedBy>Saimby Loïc Keme</cp:lastModifiedBy>
  <dcterms:modified xsi:type="dcterms:W3CDTF">2026-10-16T13:50:15Z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