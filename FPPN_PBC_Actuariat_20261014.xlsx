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BC Actuariat FPPN" sheetId="1" state="visible" r:id="rId3"/>
  </sheets>
  <definedNames>
    <definedName function="false" hidden="false" localSheetId="0" name="_xlnm.Print_Area" vbProcedure="false">'PBC Actuariat FPPN'!$A$1:$N$50</definedName>
    <definedName function="false" hidden="false" localSheetId="0" name="_xlnm.Print_Titles" vbProcedure="false">'PBC Actuariat FPPN'!$1:$9</definedName>
    <definedName function="false" hidden="true" localSheetId="0" name="_xlnm._FilterDatabase" vbProcedure="false">'PBC Actuariat FPPN'!$B$12:$P$12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<sst xmlns="http://schemas.openxmlformats.org/spreadsheetml/2006/main" count="108" uniqueCount="50">
  <si>
    <t xml:space="preserve">AUDIT DU FPPN 2020 – 31 AOÛT 2026 : VOLET ACTUARIEL</t>
  </si>
  <si>
    <t xml:space="preserve">DEMANDE DES DOCUMENTS PRÉLIMINAIRE</t>
  </si>
  <si>
    <t xml:space="preserve">(Liste non exhaustive; selon les spécificités et informations relevées avec ces documents, des demandes complémentaires pourront être réalisées.)</t>
  </si>
  <si>
    <t xml:space="preserve">No.</t>
  </si>
  <si>
    <t xml:space="preserve">Documents &amp; Informations</t>
  </si>
  <si>
    <t xml:space="preserve">Priorité</t>
  </si>
  <si>
    <t xml:space="preserve">Date demande</t>
  </si>
  <si>
    <t xml:space="preserve">Deadline</t>
  </si>
  <si>
    <t xml:space="preserve">Date réception</t>
  </si>
  <si>
    <t xml:space="preserve">Physique / Electronique</t>
  </si>
  <si>
    <t xml:space="preserve">Commentaires</t>
  </si>
  <si>
    <t xml:space="preserve">Statut</t>
  </si>
  <si>
    <t xml:space="preserve">Règles des garanties et des cotisations</t>
  </si>
  <si>
    <t xml:space="preserve">Statuts et règlement intérieur en vigueur, ainsi que les versions applicables entre le 1er janvier 2020 et le 31 août 2026, avec leurs dates d'adoption.</t>
  </si>
  <si>
    <t xml:space="preserve">Urgent</t>
  </si>
  <si>
    <t xml:space="preserve">Non Reçu</t>
  </si>
  <si>
    <t xml:space="preserve">Règlement ou fiche descriptive de chaque prestation servie (allocation décès, invalidité, prise en charge des retraités, santé, épargne, autres aides) : bénéficiaires, conditions d'ouverture du droit, montants ou barèmes, plafonds, délais de paiement, forme du paiement (capital ou rente), pour chaque année de 2020 à 2026.</t>
  </si>
  <si>
    <t xml:space="preserve">Barème des cotisations par catégorie de membres (actifs, retraités, autres) pour chaque année de 2020 à 2026, et répartition de la cotisation entre les garanties lorsqu'elle existe.</t>
  </si>
  <si>
    <t xml:space="preserve">Convention conclue avec la CGRAE pour la prise en charge des retraités, et ses avenants.</t>
  </si>
  <si>
    <t xml:space="preserve">Moyen</t>
  </si>
  <si>
    <t xml:space="preserve">Procès-verbaux ou décisions du Conseil d'administration et de l'Assemblée générale ayant modifié les cotisations, les prestations ou les taux servis sur l'épargne entre 2020 et 2026.</t>
  </si>
  <si>
    <t xml:space="preserve">Provisions et engagements</t>
  </si>
  <si>
    <t xml:space="preserve">Détail des provisions inscrites au bilan, par nature et par garantie, au 31/12/2019, 31/12/2020, 31/12/2021, 31/12/2022, 31/12/2023, 31/12/2024, 31/12/2025 et 31/08/2026, avec la note ou le fichier de calcul de chaque provision.</t>
  </si>
  <si>
    <t xml:space="preserve">Tout rapport actuariel, étude technique ou note de calcul des engagements envers les mutualistes existant, quelle que soit sa date.</t>
  </si>
  <si>
    <t xml:space="preserve">Correspondances avec l'AIRMS portant sur les réserves, les provisions ou les indicateurs prudentiels (observations, mises en demeure, plans de redressement).</t>
  </si>
  <si>
    <t xml:space="preserve">Données des mutualistes et ayants droit (format Excel)</t>
  </si>
  <si>
    <t xml:space="preserve">Fichier des mutualistes à chacune des dates suivantes : 31/12/2019, 31/12/2020, 31/12/2021, 31/12/2022, 31/12/2023, 31/12/2024, 31/12/2025 et 31/08/2026. Une ligne par mutualiste : matricule, date de naissance, sexe, date d'entrée dans la police, date d'adhésion au FPPN, statut (actif, retraité, sorti, décédé), date et motif de sortie, montant de la cotisation mensuelle.</t>
  </si>
  <si>
    <t xml:space="preserve">Electronique</t>
  </si>
  <si>
    <t xml:space="preserve">Fichier des ayants droit. Une ligne par ayant droit : matricule du mutualiste, lien (conjoint, enfant), date de naissance, sexe.</t>
  </si>
  <si>
    <t xml:space="preserve">État annuel des mouvements d'effectifs de 2020 au 31/08/2026 : nouvelles adhésions, départs à la retraite, décès, autres sorties.</t>
  </si>
  <si>
    <t xml:space="preserve">Cotisations appelées et cotisations encaissées par mois et par catégorie de membres, du 01/01/2020 au 31/08/2026.</t>
  </si>
  <si>
    <t xml:space="preserve">Prestations (format Excel)</t>
  </si>
  <si>
    <t xml:space="preserve">Fichier des prestations payées du 01/01/2020 au 31/08/2026. Une ligne par dossier : matricule, type de prestation, date de l'événement (décès, soins, départ à la retraite, etc.), date de déclaration ou de réception de la facture, date de paiement, montant dû, montant payé.</t>
  </si>
  <si>
    <t xml:space="preserve">Liste des dossiers de prestations non payés à chacune des dates suivantes : 31/12/2019, 31/12/2020, 31/12/2021, 31/12/2022, 31/12/2023, 31/12/2024, 31/12/2025 et 31/08/2026, y compris les factures des prestataires de santé non réglées. Une ligne par dossier : matricule, type de prestation, date de l'événement, date de déclaration, montant dû.</t>
  </si>
  <si>
    <t xml:space="preserve">État détaillé des arriérés apurés en 2026 envers les mutualistes et les prestataires de santé : bénéficiaire, nature, date d'origine, montant, date de paiement.</t>
  </si>
  <si>
    <t xml:space="preserve">Épargne des mutualistes (si le FPPN gère de l'épargne ; sinon, le préciser)</t>
  </si>
  <si>
    <t xml:space="preserve">Description des produits d'épargne (épargne de fin de carrière, Plan Épargne Plus, autres) : règles de versement, taux d'intérêt servi ou garanti, conditions de retrait, de sortie anticipée et en cas de décès.</t>
  </si>
  <si>
    <t xml:space="preserve">Comptes individuels d'épargne de 2020 au 31/08/2026. Une ligne par mutualiste et par année : solde d'ouverture, versements, intérêts crédités, retraits, solde de clôture.</t>
  </si>
  <si>
    <t xml:space="preserve">Taux d'intérêt crédité sur l'épargne chaque année et décision qui l'a fixé.</t>
  </si>
  <si>
    <t xml:space="preserve">Rapprochement, à chaque date d'arrêté, entre le total des comptes individuels d'épargne et le montant inscrit au bilan.</t>
  </si>
  <si>
    <t xml:space="preserve">Placements et autres actifs</t>
  </si>
  <si>
    <t xml:space="preserve">Échéancier des placements au 31/12/2025 et au 31/08/2026 : nature, établissement, montant, date de souscription, date d'échéance, taux, conditions de sortie anticipée.</t>
  </si>
  <si>
    <t xml:space="preserve">Prêts aux mutualistes (« Le Grenier du Policier ») au 31/12/2025 et au 31/08/2026 : encours par emprunteur, échéancier de remboursement, montants impayés et leur ancienneté.</t>
  </si>
  <si>
    <t xml:space="preserve">Cotisations retenues par l'État et non reversées au FPPN : montant par année, montants recouvrés, échéancier ou accord de recouvrement.</t>
  </si>
  <si>
    <t xml:space="preserve">Biens immobiliers et participations (centre médical, programme immobilier, autres) au 31/08/2026 : valeur au bilan, dernière évaluation, revenus annuels, contraintes de cession.</t>
  </si>
  <si>
    <t xml:space="preserve">Faible</t>
  </si>
  <si>
    <t xml:space="preserve">Politique de placement approuvée par le Conseil d'administration, si elle existe.</t>
  </si>
  <si>
    <t xml:space="preserve">Informations complémentaires</t>
  </si>
  <si>
    <t xml:space="preserve">Âge de départ à la retraite des fonctionnaires de police, par grade le cas échéant, et texte de référence.</t>
  </si>
  <si>
    <t xml:space="preserve">Nom, fonction et contact des responsables à rencontrer pour les prestations, l'épargne, les placements et les données des mutualistes.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</si>
</sst>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General"/>
    <numFmt numFmtId="167" formatCode="m/d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  <font>
      <b val="true"/>
      <i val="true"/>
      <sz val="11"/>
      <color rgb="FF00B050"/>
      <name val="Arial"/>
      <family val="0"/>
      <charset val="1"/>
    </font>
    <font>
      <b val="true"/>
      <sz val="11"/>
      <color theme="8" tint="-0.5"/>
      <name val="Arial"/>
      <family val="0"/>
      <charset val="1"/>
    </font>
    <font>
      <b val="true"/>
      <u val="single"/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u val="single"/>
      <sz val="1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FF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05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ED7D31"/>
      </font>
    </dxf>
    <dxf>
      <font>
        <color rgb="FFFF0000"/>
      </font>
    </dxf>
    <dxf>
      <font>
        <color rgb="FF00B050"/>
      </font>
    </dxf>
    <dxf>
      <font>
        <color rgb="FFBF9000"/>
      </font>
      <fill>
        <patternFill>
          <bgColor theme="7" tint="0.7999"/>
        </patternFill>
      </fill>
    </dxf>
    <dxf>
      <font>
        <color rgb="FFC55A11"/>
      </font>
      <fill>
        <patternFill>
          <bgColor theme="5" tint="0.5999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9000"/>
      <rgbColor rgb="FFED7D31"/>
      <rgbColor rgb="FF666699"/>
      <rgbColor rgb="FF969696"/>
      <rgbColor rgb="FF203864"/>
      <rgbColor rgb="FF00B050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true"/>
  </sheetPr>
  <dimension ref="B4:M129"/>
  <sheetViews>
    <sheetView showFormulas="false" showGridLines="false" showRowColHeaders="true" showZeros="true" rightToLeft="false" tabSelected="true" showOutlineSymbols="true" defaultGridColor="true" view="pageBreakPreview" topLeftCell="A1" colorId="64" zoomScale="70" zoomScaleNormal="80" zoomScalePageLayoutView="70" workbookViewId="0">
      <pane xSplit="0" ySplit="9" topLeftCell="A10" activePane="bottomLeft" state="frozen"/>
      <selection pane="topLeft" activeCell="A1" activeCellId="0" sqref="A1"/>
      <selection pane="bottomLeft" activeCell="A111" activeCellId="0" sqref="A111"/>
    </sheetView>
  </sheetViews>
  <sheetFormatPr defaultColWidth="9.18359375" defaultRowHeight="13.5" zeroHeight="false" outlineLevelRow="0" outlineLevelCol="1"/>
  <cols>
    <col collapsed="false" customWidth="true" hidden="false" outlineLevel="0" max="1" min="1" style="1" width="4.82"/>
    <col collapsed="false" customWidth="true" hidden="false" outlineLevel="0" max="2" min="2" style="2" width="4.45"/>
    <col collapsed="false" customWidth="true" hidden="false" outlineLevel="0" max="3" min="3" style="3" width="118.82"/>
    <col collapsed="false" customWidth="true" hidden="false" outlineLevel="0" max="4" min="4" style="1" width="0.54"/>
    <col collapsed="false" customWidth="true" hidden="false" outlineLevel="0" max="5" min="5" style="1" width="8.82"/>
    <col collapsed="false" customWidth="true" hidden="false" outlineLevel="0" max="6" min="6" style="1" width="0.54"/>
    <col collapsed="false" customWidth="true" hidden="false" outlineLevel="0" max="8" min="7" style="1" width="13.54"/>
    <col collapsed="false" customWidth="true" hidden="false" outlineLevel="0" max="9" min="9" style="1" width="19.18"/>
    <col collapsed="false" customWidth="true" hidden="false" outlineLevel="0" max="10" min="10" style="1" width="22.18"/>
    <col collapsed="false" customWidth="true" hidden="false" outlineLevel="0" max="11" min="11" style="1" width="11.54"/>
    <col collapsed="false" customWidth="true" hidden="false" outlineLevel="0" max="12" min="12" style="2" width="0.54"/>
    <col collapsed="false" customWidth="true" hidden="false" outlineLevel="1" max="13" min="13" style="4" width="15.82"/>
    <col collapsed="false" customWidth="true" hidden="false" outlineLevel="0" max="14" min="14" style="1" width="3.54"/>
    <col collapsed="false" customWidth="true" hidden="false" outlineLevel="0" max="15" min="15" style="1" width="11.45"/>
    <col collapsed="false" customWidth="true" hidden="false" outlineLevel="0" max="16" min="16" style="1" width="12.54"/>
    <col collapsed="false" customWidth="false" hidden="false" outlineLevel="0" max="16384" min="17" style="1" width="9.18"/>
  </cols>
  <sheetData>
    <row r="4" customFormat="false" ht="13.5" hidden="false" customHeight="false" outlineLevel="0" collapsed="false">
      <c r="C4" s="5" t="s">
        <v>0</v>
      </c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13.5" hidden="false" customHeight="true" outlineLevel="0" collapsed="false">
      <c r="B5" s="6"/>
      <c r="C5" s="7" t="s">
        <v>1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 customFormat="false" ht="14.25" hidden="false" customHeight="true" outlineLevel="0" collapsed="false">
      <c r="B6" s="8"/>
      <c r="C6" s="9" t="s">
        <v>2</v>
      </c>
      <c r="D6" s="9"/>
      <c r="E6" s="9"/>
      <c r="F6" s="9"/>
      <c r="G6" s="9"/>
      <c r="H6" s="9"/>
      <c r="I6" s="9"/>
      <c r="J6" s="9"/>
      <c r="K6" s="9"/>
      <c r="L6" s="9"/>
      <c r="M6" s="9"/>
    </row>
    <row r="7" customFormat="false" ht="13.5" hidden="false" customHeight="false" outlineLevel="0" collapsed="false">
      <c r="M7" s="10" t="n">
        <f aca="false">IFERROR(COUNTIF($M$11:$M$48,"Reçu")/(COUNTA($M$11:$M$48)-COUNTIF($M$11:$M$48,"Non Applicable")),0)</f>
        <v>0</v>
      </c>
    </row>
    <row r="8" s="11" customFormat="true" ht="27.75" hidden="false" customHeight="true" outlineLevel="0" collapsed="false">
      <c r="B8" s="12" t="s">
        <v>3</v>
      </c>
      <c r="C8" s="12" t="s">
        <v>4</v>
      </c>
      <c r="D8" s="13"/>
      <c r="E8" s="12" t="s">
        <v>5</v>
      </c>
      <c r="F8" s="13"/>
      <c r="G8" s="12" t="s">
        <v>6</v>
      </c>
      <c r="H8" s="12" t="s">
        <v>7</v>
      </c>
      <c r="I8" s="12" t="s">
        <v>8</v>
      </c>
      <c r="J8" s="12" t="s">
        <v>9</v>
      </c>
      <c r="K8" s="12" t="s">
        <v>10</v>
      </c>
      <c r="L8" s="14"/>
      <c r="M8" s="12" t="s">
        <v>11</v>
      </c>
    </row>
    <row r="9" customFormat="false" ht="13.5" hidden="false" customHeight="false" outlineLevel="0" collapsed="false">
      <c r="C9" s="15"/>
    </row>
    <row r="10" customFormat="false" ht="18" hidden="false" customHeight="true" outlineLevel="0" collapsed="false">
      <c r="C10" s="16" t="s">
        <v>12</v>
      </c>
    </row>
    <row r="11" customFormat="false" ht="36" hidden="false" customHeight="true" outlineLevel="0" collapsed="false">
      <c r="B11" s="17" t="n">
        <f aca="false">1</f>
        <v>1</v>
      </c>
      <c r="C11" s="18" t="s">
        <v>13</v>
      </c>
      <c r="E11" s="19" t="s">
        <v>14</v>
      </c>
      <c r="G11" s="20" t="n">
        <v>46309</v>
      </c>
      <c r="H11" s="20" t="n">
        <v>46316</v>
      </c>
      <c r="I11" s="20"/>
      <c r="J11" s="21"/>
      <c r="K11" s="19"/>
      <c r="M11" s="22" t="s">
        <v>15</v>
      </c>
    </row>
    <row r="12" customFormat="false" ht="66" hidden="false" customHeight="true" outlineLevel="0" collapsed="false">
      <c r="B12" s="17" t="n">
        <f aca="false">+B11+1</f>
        <v>2</v>
      </c>
      <c r="C12" s="18" t="s">
        <v>16</v>
      </c>
      <c r="E12" s="19" t="s">
        <v>14</v>
      </c>
      <c r="G12" s="20" t="n">
        <v>46309</v>
      </c>
      <c r="H12" s="20" t="n">
        <v>46316</v>
      </c>
      <c r="I12" s="20"/>
      <c r="J12" s="21"/>
      <c r="K12" s="19"/>
      <c r="M12" s="22" t="s">
        <v>15</v>
      </c>
    </row>
    <row r="13" customFormat="false" ht="36" hidden="false" customHeight="true" outlineLevel="0" collapsed="false">
      <c r="B13" s="17" t="n">
        <f aca="false">+B12+1</f>
        <v>3</v>
      </c>
      <c r="C13" s="18" t="s">
        <v>17</v>
      </c>
      <c r="E13" s="19" t="s">
        <v>14</v>
      </c>
      <c r="G13" s="20" t="n">
        <v>46309</v>
      </c>
      <c r="H13" s="20" t="n">
        <v>46316</v>
      </c>
      <c r="I13" s="20"/>
      <c r="J13" s="21"/>
      <c r="K13" s="19"/>
      <c r="M13" s="22" t="s">
        <v>15</v>
      </c>
    </row>
    <row r="14" customFormat="false" ht="21" hidden="false" customHeight="true" outlineLevel="0" collapsed="false">
      <c r="B14" s="17" t="n">
        <f aca="false">+B13+1</f>
        <v>4</v>
      </c>
      <c r="C14" s="18" t="s">
        <v>18</v>
      </c>
      <c r="E14" s="19" t="s">
        <v>19</v>
      </c>
      <c r="G14" s="20" t="n">
        <v>46309</v>
      </c>
      <c r="H14" s="20" t="n">
        <v>46318</v>
      </c>
      <c r="I14" s="20"/>
      <c r="J14" s="21"/>
      <c r="K14" s="19"/>
      <c r="M14" s="22" t="s">
        <v>15</v>
      </c>
    </row>
    <row r="15" customFormat="false" ht="36" hidden="false" customHeight="true" outlineLevel="0" collapsed="false">
      <c r="B15" s="17" t="n">
        <f aca="false">+B14+1</f>
        <v>5</v>
      </c>
      <c r="C15" s="18" t="s">
        <v>20</v>
      </c>
      <c r="E15" s="19" t="s">
        <v>19</v>
      </c>
      <c r="G15" s="20" t="n">
        <v>46309</v>
      </c>
      <c r="H15" s="20" t="n">
        <v>46318</v>
      </c>
      <c r="I15" s="20"/>
      <c r="J15" s="21"/>
      <c r="K15" s="19"/>
      <c r="M15" s="22" t="s">
        <v>15</v>
      </c>
    </row>
    <row r="16" customFormat="false" ht="13.5" hidden="false" customHeight="false" outlineLevel="0" collapsed="false">
      <c r="C16" s="23"/>
    </row>
    <row r="17" customFormat="false" ht="18" hidden="false" customHeight="true" outlineLevel="0" collapsed="false">
      <c r="C17" s="16" t="s">
        <v>21</v>
      </c>
    </row>
    <row r="18" customFormat="false" ht="51" hidden="false" customHeight="true" outlineLevel="0" collapsed="false">
      <c r="B18" s="17" t="n">
        <f aca="false">+B15+1</f>
        <v>6</v>
      </c>
      <c r="C18" s="18" t="s">
        <v>22</v>
      </c>
      <c r="E18" s="19" t="s">
        <v>14</v>
      </c>
      <c r="G18" s="20" t="n">
        <v>46309</v>
      </c>
      <c r="H18" s="20" t="n">
        <v>46316</v>
      </c>
      <c r="I18" s="20"/>
      <c r="J18" s="21"/>
      <c r="K18" s="19"/>
      <c r="M18" s="22" t="s">
        <v>15</v>
      </c>
    </row>
    <row r="19" customFormat="false" ht="36" hidden="false" customHeight="true" outlineLevel="0" collapsed="false">
      <c r="B19" s="17" t="n">
        <f aca="false">+B18+1</f>
        <v>7</v>
      </c>
      <c r="C19" s="18" t="s">
        <v>23</v>
      </c>
      <c r="E19" s="19" t="s">
        <v>19</v>
      </c>
      <c r="G19" s="20" t="n">
        <v>46309</v>
      </c>
      <c r="H19" s="20" t="n">
        <v>46318</v>
      </c>
      <c r="I19" s="20"/>
      <c r="J19" s="21"/>
      <c r="K19" s="19"/>
      <c r="M19" s="22" t="s">
        <v>15</v>
      </c>
    </row>
    <row r="20" customFormat="false" ht="36" hidden="false" customHeight="true" outlineLevel="0" collapsed="false">
      <c r="B20" s="17" t="n">
        <f aca="false">+B19+1</f>
        <v>8</v>
      </c>
      <c r="C20" s="18" t="s">
        <v>24</v>
      </c>
      <c r="E20" s="19" t="s">
        <v>19</v>
      </c>
      <c r="G20" s="20" t="n">
        <v>46309</v>
      </c>
      <c r="H20" s="20" t="n">
        <v>46318</v>
      </c>
      <c r="I20" s="20"/>
      <c r="J20" s="21"/>
      <c r="K20" s="19"/>
      <c r="M20" s="22" t="s">
        <v>15</v>
      </c>
    </row>
    <row r="21" customFormat="false" ht="13.5" hidden="false" customHeight="false" outlineLevel="0" collapsed="false">
      <c r="C21" s="23"/>
    </row>
    <row r="22" customFormat="false" ht="18" hidden="false" customHeight="true" outlineLevel="0" collapsed="false">
      <c r="C22" s="16" t="s">
        <v>25</v>
      </c>
    </row>
    <row r="23" customFormat="false" ht="66" hidden="false" customHeight="true" outlineLevel="0" collapsed="false">
      <c r="B23" s="17" t="n">
        <f aca="false">+B20+1</f>
        <v>9</v>
      </c>
      <c r="C23" s="18" t="s">
        <v>26</v>
      </c>
      <c r="E23" s="19" t="s">
        <v>14</v>
      </c>
      <c r="G23" s="20" t="n">
        <v>46309</v>
      </c>
      <c r="H23" s="20" t="n">
        <v>46316</v>
      </c>
      <c r="I23" s="20"/>
      <c r="J23" s="21" t="s">
        <v>27</v>
      </c>
      <c r="K23" s="19"/>
      <c r="M23" s="22" t="s">
        <v>15</v>
      </c>
    </row>
    <row r="24" customFormat="false" ht="36" hidden="false" customHeight="true" outlineLevel="0" collapsed="false">
      <c r="B24" s="17" t="n">
        <f aca="false">+B23+1</f>
        <v>10</v>
      </c>
      <c r="C24" s="18" t="s">
        <v>28</v>
      </c>
      <c r="E24" s="19" t="s">
        <v>19</v>
      </c>
      <c r="G24" s="20" t="n">
        <v>46309</v>
      </c>
      <c r="H24" s="20" t="n">
        <v>46318</v>
      </c>
      <c r="I24" s="20"/>
      <c r="J24" s="21" t="s">
        <v>27</v>
      </c>
      <c r="K24" s="19"/>
      <c r="M24" s="22" t="s">
        <v>15</v>
      </c>
    </row>
    <row r="25" customFormat="false" ht="36" hidden="false" customHeight="true" outlineLevel="0" collapsed="false">
      <c r="B25" s="17" t="n">
        <f aca="false">+B24+1</f>
        <v>11</v>
      </c>
      <c r="C25" s="18" t="s">
        <v>29</v>
      </c>
      <c r="E25" s="19" t="s">
        <v>19</v>
      </c>
      <c r="G25" s="20" t="n">
        <v>46309</v>
      </c>
      <c r="H25" s="20" t="n">
        <v>46318</v>
      </c>
      <c r="I25" s="20"/>
      <c r="J25" s="21" t="s">
        <v>27</v>
      </c>
      <c r="K25" s="19"/>
      <c r="M25" s="22" t="s">
        <v>15</v>
      </c>
    </row>
    <row r="26" customFormat="false" ht="36" hidden="false" customHeight="true" outlineLevel="0" collapsed="false">
      <c r="B26" s="17" t="n">
        <f aca="false">+B25+1</f>
        <v>12</v>
      </c>
      <c r="C26" s="18" t="s">
        <v>30</v>
      </c>
      <c r="E26" s="19" t="s">
        <v>19</v>
      </c>
      <c r="G26" s="20" t="n">
        <v>46309</v>
      </c>
      <c r="H26" s="20" t="n">
        <v>46318</v>
      </c>
      <c r="I26" s="20"/>
      <c r="J26" s="21" t="s">
        <v>27</v>
      </c>
      <c r="K26" s="19"/>
      <c r="M26" s="22" t="s">
        <v>15</v>
      </c>
    </row>
    <row r="27" customFormat="false" ht="13.5" hidden="false" customHeight="false" outlineLevel="0" collapsed="false">
      <c r="C27" s="23"/>
    </row>
    <row r="28" customFormat="false" ht="18" hidden="false" customHeight="true" outlineLevel="0" collapsed="false">
      <c r="C28" s="16" t="s">
        <v>31</v>
      </c>
    </row>
    <row r="29" customFormat="false" ht="51" hidden="false" customHeight="true" outlineLevel="0" collapsed="false">
      <c r="B29" s="17" t="n">
        <f aca="false">+B26+1</f>
        <v>13</v>
      </c>
      <c r="C29" s="18" t="s">
        <v>32</v>
      </c>
      <c r="E29" s="19" t="s">
        <v>14</v>
      </c>
      <c r="G29" s="20" t="n">
        <v>46309</v>
      </c>
      <c r="H29" s="20" t="n">
        <v>46316</v>
      </c>
      <c r="I29" s="20"/>
      <c r="J29" s="21" t="s">
        <v>27</v>
      </c>
      <c r="K29" s="19"/>
      <c r="M29" s="22" t="s">
        <v>15</v>
      </c>
    </row>
    <row r="30" customFormat="false" ht="66" hidden="false" customHeight="true" outlineLevel="0" collapsed="false">
      <c r="B30" s="17" t="n">
        <f aca="false">+B29+1</f>
        <v>14</v>
      </c>
      <c r="C30" s="18" t="s">
        <v>33</v>
      </c>
      <c r="E30" s="19" t="s">
        <v>14</v>
      </c>
      <c r="G30" s="20" t="n">
        <v>46309</v>
      </c>
      <c r="H30" s="20" t="n">
        <v>46316</v>
      </c>
      <c r="I30" s="20"/>
      <c r="J30" s="21" t="s">
        <v>27</v>
      </c>
      <c r="K30" s="19"/>
      <c r="M30" s="22" t="s">
        <v>15</v>
      </c>
    </row>
    <row r="31" customFormat="false" ht="36" hidden="false" customHeight="true" outlineLevel="0" collapsed="false">
      <c r="B31" s="17" t="n">
        <f aca="false">+B30+1</f>
        <v>15</v>
      </c>
      <c r="C31" s="18" t="s">
        <v>34</v>
      </c>
      <c r="E31" s="19" t="s">
        <v>19</v>
      </c>
      <c r="G31" s="20" t="n">
        <v>46309</v>
      </c>
      <c r="H31" s="20" t="n">
        <v>46318</v>
      </c>
      <c r="I31" s="20"/>
      <c r="J31" s="21" t="s">
        <v>27</v>
      </c>
      <c r="K31" s="19"/>
      <c r="M31" s="22" t="s">
        <v>15</v>
      </c>
    </row>
    <row r="32" customFormat="false" ht="13.5" hidden="false" customHeight="false" outlineLevel="0" collapsed="false">
      <c r="C32" s="23"/>
    </row>
    <row r="33" customFormat="false" ht="18" hidden="false" customHeight="true" outlineLevel="0" collapsed="false">
      <c r="C33" s="16" t="s">
        <v>35</v>
      </c>
    </row>
    <row r="34" customFormat="false" ht="36" hidden="false" customHeight="true" outlineLevel="0" collapsed="false">
      <c r="B34" s="17" t="n">
        <f aca="false">+B31+1</f>
        <v>16</v>
      </c>
      <c r="C34" s="18" t="s">
        <v>36</v>
      </c>
      <c r="E34" s="19" t="s">
        <v>14</v>
      </c>
      <c r="G34" s="20" t="n">
        <v>46309</v>
      </c>
      <c r="H34" s="20" t="n">
        <v>46316</v>
      </c>
      <c r="I34" s="20"/>
      <c r="J34" s="21"/>
      <c r="K34" s="19"/>
      <c r="M34" s="22" t="s">
        <v>15</v>
      </c>
    </row>
    <row r="35" customFormat="false" ht="36" hidden="false" customHeight="true" outlineLevel="0" collapsed="false">
      <c r="B35" s="17" t="n">
        <f aca="false">+B34+1</f>
        <v>17</v>
      </c>
      <c r="C35" s="18" t="s">
        <v>37</v>
      </c>
      <c r="E35" s="19" t="s">
        <v>14</v>
      </c>
      <c r="G35" s="20" t="n">
        <v>46309</v>
      </c>
      <c r="H35" s="20" t="n">
        <v>46316</v>
      </c>
      <c r="I35" s="20"/>
      <c r="J35" s="21" t="s">
        <v>27</v>
      </c>
      <c r="K35" s="19"/>
      <c r="M35" s="22" t="s">
        <v>15</v>
      </c>
    </row>
    <row r="36" customFormat="false" ht="21" hidden="false" customHeight="true" outlineLevel="0" collapsed="false">
      <c r="B36" s="17" t="n">
        <f aca="false">+B35+1</f>
        <v>18</v>
      </c>
      <c r="C36" s="18" t="s">
        <v>38</v>
      </c>
      <c r="E36" s="19" t="s">
        <v>19</v>
      </c>
      <c r="G36" s="20" t="n">
        <v>46309</v>
      </c>
      <c r="H36" s="20" t="n">
        <v>46318</v>
      </c>
      <c r="I36" s="20"/>
      <c r="J36" s="21"/>
      <c r="K36" s="19"/>
      <c r="M36" s="22" t="s">
        <v>15</v>
      </c>
    </row>
    <row r="37" customFormat="false" ht="36" hidden="false" customHeight="true" outlineLevel="0" collapsed="false">
      <c r="B37" s="17" t="n">
        <f aca="false">+B36+1</f>
        <v>19</v>
      </c>
      <c r="C37" s="18" t="s">
        <v>39</v>
      </c>
      <c r="E37" s="19" t="s">
        <v>19</v>
      </c>
      <c r="G37" s="20" t="n">
        <v>46309</v>
      </c>
      <c r="H37" s="20" t="n">
        <v>46318</v>
      </c>
      <c r="I37" s="20"/>
      <c r="J37" s="21" t="s">
        <v>27</v>
      </c>
      <c r="K37" s="19"/>
      <c r="M37" s="22" t="s">
        <v>15</v>
      </c>
    </row>
    <row r="38" customFormat="false" ht="13.5" hidden="false" customHeight="false" outlineLevel="0" collapsed="false">
      <c r="C38" s="23"/>
    </row>
    <row r="39" customFormat="false" ht="18" hidden="false" customHeight="true" outlineLevel="0" collapsed="false">
      <c r="C39" s="16" t="s">
        <v>40</v>
      </c>
    </row>
    <row r="40" customFormat="false" ht="36" hidden="false" customHeight="true" outlineLevel="0" collapsed="false">
      <c r="B40" s="17" t="n">
        <f aca="false">+B37+1</f>
        <v>20</v>
      </c>
      <c r="C40" s="18" t="s">
        <v>41</v>
      </c>
      <c r="E40" s="19" t="s">
        <v>14</v>
      </c>
      <c r="G40" s="20" t="n">
        <v>46309</v>
      </c>
      <c r="H40" s="20" t="n">
        <v>46316</v>
      </c>
      <c r="I40" s="20"/>
      <c r="J40" s="21" t="s">
        <v>27</v>
      </c>
      <c r="K40" s="19"/>
      <c r="M40" s="22" t="s">
        <v>15</v>
      </c>
    </row>
    <row r="41" customFormat="false" ht="36" hidden="false" customHeight="true" outlineLevel="0" collapsed="false">
      <c r="B41" s="17" t="n">
        <f aca="false">+B40+1</f>
        <v>21</v>
      </c>
      <c r="C41" s="18" t="s">
        <v>42</v>
      </c>
      <c r="E41" s="19" t="s">
        <v>19</v>
      </c>
      <c r="G41" s="20" t="n">
        <v>46309</v>
      </c>
      <c r="H41" s="20" t="n">
        <v>46318</v>
      </c>
      <c r="I41" s="20"/>
      <c r="J41" s="21" t="s">
        <v>27</v>
      </c>
      <c r="K41" s="19"/>
      <c r="M41" s="22" t="s">
        <v>15</v>
      </c>
    </row>
    <row r="42" customFormat="false" ht="36" hidden="false" customHeight="true" outlineLevel="0" collapsed="false">
      <c r="B42" s="17" t="n">
        <f aca="false">+B41+1</f>
        <v>22</v>
      </c>
      <c r="C42" s="18" t="s">
        <v>43</v>
      </c>
      <c r="E42" s="19" t="s">
        <v>19</v>
      </c>
      <c r="G42" s="20" t="n">
        <v>46309</v>
      </c>
      <c r="H42" s="20" t="n">
        <v>46318</v>
      </c>
      <c r="I42" s="20"/>
      <c r="J42" s="21"/>
      <c r="K42" s="19"/>
      <c r="M42" s="22" t="s">
        <v>15</v>
      </c>
    </row>
    <row r="43" customFormat="false" ht="36" hidden="false" customHeight="true" outlineLevel="0" collapsed="false">
      <c r="B43" s="17" t="n">
        <f aca="false">+B42+1</f>
        <v>23</v>
      </c>
      <c r="C43" s="18" t="s">
        <v>44</v>
      </c>
      <c r="E43" s="19" t="s">
        <v>45</v>
      </c>
      <c r="G43" s="20" t="n">
        <v>46309</v>
      </c>
      <c r="H43" s="20" t="n">
        <v>46323</v>
      </c>
      <c r="I43" s="20"/>
      <c r="J43" s="21"/>
      <c r="K43" s="19"/>
      <c r="M43" s="22" t="s">
        <v>15</v>
      </c>
    </row>
    <row r="44" customFormat="false" ht="21" hidden="false" customHeight="true" outlineLevel="0" collapsed="false">
      <c r="B44" s="17" t="n">
        <f aca="false">+B43+1</f>
        <v>24</v>
      </c>
      <c r="C44" s="18" t="s">
        <v>46</v>
      </c>
      <c r="E44" s="19" t="s">
        <v>45</v>
      </c>
      <c r="G44" s="20" t="n">
        <v>46309</v>
      </c>
      <c r="H44" s="20" t="n">
        <v>46323</v>
      </c>
      <c r="I44" s="20"/>
      <c r="J44" s="21"/>
      <c r="K44" s="19"/>
      <c r="M44" s="22" t="s">
        <v>15</v>
      </c>
    </row>
    <row r="45" customFormat="false" ht="13.5" hidden="false" customHeight="false" outlineLevel="0" collapsed="false">
      <c r="C45" s="23"/>
    </row>
    <row r="46" customFormat="false" ht="18" hidden="false" customHeight="true" outlineLevel="0" collapsed="false">
      <c r="C46" s="16" t="s">
        <v>47</v>
      </c>
    </row>
    <row r="47" customFormat="false" ht="36" hidden="false" customHeight="true" outlineLevel="0" collapsed="false">
      <c r="B47" s="17" t="n">
        <f aca="false">+B44+1</f>
        <v>25</v>
      </c>
      <c r="C47" s="18" t="s">
        <v>48</v>
      </c>
      <c r="E47" s="19" t="s">
        <v>19</v>
      </c>
      <c r="G47" s="20" t="n">
        <v>46309</v>
      </c>
      <c r="H47" s="20" t="n">
        <v>46318</v>
      </c>
      <c r="I47" s="20"/>
      <c r="J47" s="21"/>
      <c r="K47" s="19"/>
      <c r="M47" s="22" t="s">
        <v>15</v>
      </c>
    </row>
    <row r="48" customFormat="false" ht="36" hidden="false" customHeight="true" outlineLevel="0" collapsed="false">
      <c r="B48" s="17" t="n">
        <f aca="false">+B47+1</f>
        <v>26</v>
      </c>
      <c r="C48" s="18" t="s">
        <v>49</v>
      </c>
      <c r="E48" s="19" t="s">
        <v>14</v>
      </c>
      <c r="G48" s="20" t="n">
        <v>46309</v>
      </c>
      <c r="H48" s="20" t="n">
        <v>46316</v>
      </c>
      <c r="I48" s="20"/>
      <c r="J48" s="21"/>
      <c r="K48" s="19"/>
      <c r="M48" s="22" t="s">
        <v>15</v>
      </c>
    </row>
    <row r="49" customFormat="false" ht="13.5" hidden="false" customHeight="false" outlineLevel="0" collapsed="false">
      <c r="C49" s="23"/>
    </row>
    <row r="50" customFormat="false" ht="13.5" hidden="false" customHeight="false" outlineLevel="0" collapsed="false">
      <c r="C50" s="23"/>
    </row>
    <row r="51" customFormat="false" ht="13.5" hidden="false" customHeight="false" outlineLevel="0" collapsed="false">
      <c r="C51" s="23"/>
    </row>
    <row r="52" customFormat="false" ht="13.5" hidden="false" customHeight="false" outlineLevel="0" collapsed="false">
      <c r="C52" s="23"/>
    </row>
    <row r="53" customFormat="false" ht="13.5" hidden="false" customHeight="false" outlineLevel="0" collapsed="false">
      <c r="C53" s="23"/>
    </row>
    <row r="54" s="24" customFormat="true" ht="13.5" hidden="false" customHeight="false" outlineLevel="0" collapsed="false">
      <c r="C54" s="23"/>
    </row>
    <row r="55" customFormat="false" ht="13.5" hidden="false" customHeight="false" outlineLevel="0" collapsed="false">
      <c r="C55" s="23"/>
    </row>
    <row r="56" customFormat="false" ht="13.5" hidden="false" customHeight="false" outlineLevel="0" collapsed="false">
      <c r="C56" s="23"/>
    </row>
    <row r="57" customFormat="false" ht="13.5" hidden="false" customHeight="false" outlineLevel="0" collapsed="false">
      <c r="C57" s="23"/>
    </row>
    <row r="58" customFormat="false" ht="13.5" hidden="false" customHeight="false" outlineLevel="0" collapsed="false">
      <c r="C58" s="23"/>
    </row>
    <row r="59" customFormat="false" ht="13.5" hidden="false" customHeight="false" outlineLevel="0" collapsed="false">
      <c r="C59" s="23"/>
    </row>
    <row r="60" customFormat="false" ht="13.5" hidden="false" customHeight="false" outlineLevel="0" collapsed="false">
      <c r="C60" s="23"/>
    </row>
    <row r="61" customFormat="false" ht="13.5" hidden="false" customHeight="false" outlineLevel="0" collapsed="false">
      <c r="C61" s="23"/>
    </row>
    <row r="62" customFormat="false" ht="13.5" hidden="false" customHeight="false" outlineLevel="0" collapsed="false">
      <c r="C62" s="23"/>
    </row>
    <row r="63" customFormat="false" ht="13.5" hidden="false" customHeight="false" outlineLevel="0" collapsed="false">
      <c r="C63" s="23"/>
    </row>
    <row r="64" customFormat="false" ht="13.5" hidden="false" customHeight="false" outlineLevel="0" collapsed="false">
      <c r="C64" s="23"/>
    </row>
    <row r="65" customFormat="false" ht="13.5" hidden="false" customHeight="false" outlineLevel="0" collapsed="false">
      <c r="C65" s="23"/>
    </row>
    <row r="66" customFormat="false" ht="13.5" hidden="false" customHeight="false" outlineLevel="0" collapsed="false">
      <c r="C66" s="23"/>
    </row>
    <row r="67" customFormat="false" ht="13.5" hidden="false" customHeight="false" outlineLevel="0" collapsed="false">
      <c r="C67" s="23"/>
    </row>
    <row r="68" s="24" customFormat="true" ht="13.5" hidden="false" customHeight="false" outlineLevel="0" collapsed="false">
      <c r="C68" s="23"/>
    </row>
    <row r="69" customFormat="false" ht="13.5" hidden="false" customHeight="false" outlineLevel="0" collapsed="false">
      <c r="C69" s="23"/>
    </row>
    <row r="70" customFormat="false" ht="13.5" hidden="false" customHeight="false" outlineLevel="0" collapsed="false">
      <c r="C70" s="23"/>
    </row>
    <row r="71" customFormat="false" ht="13.5" hidden="false" customHeight="false" outlineLevel="0" collapsed="false">
      <c r="C71" s="23"/>
    </row>
    <row r="72" customFormat="false" ht="13.5" hidden="false" customHeight="false" outlineLevel="0" collapsed="false">
      <c r="C72" s="23"/>
    </row>
    <row r="73" customFormat="false" ht="13.5" hidden="false" customHeight="false" outlineLevel="0" collapsed="false">
      <c r="C73" s="23"/>
    </row>
    <row r="74" customFormat="false" ht="13.5" hidden="false" customHeight="false" outlineLevel="0" collapsed="false">
      <c r="C74" s="23"/>
    </row>
    <row r="75" customFormat="false" ht="13.5" hidden="false" customHeight="false" outlineLevel="0" collapsed="false">
      <c r="C75" s="23"/>
    </row>
    <row r="76" customFormat="false" ht="13.5" hidden="false" customHeight="false" outlineLevel="0" collapsed="false">
      <c r="C76" s="23"/>
    </row>
    <row r="77" customFormat="false" ht="13.5" hidden="false" customHeight="false" outlineLevel="0" collapsed="false">
      <c r="C77" s="23"/>
    </row>
    <row r="78" customFormat="false" ht="13.5" hidden="false" customHeight="false" outlineLevel="0" collapsed="false">
      <c r="C78" s="23"/>
    </row>
    <row r="79" customFormat="false" ht="13.5" hidden="false" customHeight="false" outlineLevel="0" collapsed="false">
      <c r="C79" s="23"/>
    </row>
    <row r="80" customFormat="false" ht="13.5" hidden="false" customHeight="false" outlineLevel="0" collapsed="false">
      <c r="C80" s="23"/>
    </row>
    <row r="81" customFormat="false" ht="13.5" hidden="false" customHeight="false" outlineLevel="0" collapsed="false">
      <c r="C81" s="23"/>
    </row>
    <row r="82" customFormat="false" ht="13.5" hidden="false" customHeight="false" outlineLevel="0" collapsed="false">
      <c r="C82" s="23"/>
    </row>
    <row r="83" customFormat="false" ht="13.5" hidden="false" customHeight="false" outlineLevel="0" collapsed="false">
      <c r="C83" s="23"/>
    </row>
    <row r="84" customFormat="false" ht="13.5" hidden="false" customHeight="false" outlineLevel="0" collapsed="false">
      <c r="C84" s="23"/>
    </row>
    <row r="85" customFormat="false" ht="13.5" hidden="false" customHeight="false" outlineLevel="0" collapsed="false">
      <c r="C85" s="23"/>
    </row>
    <row r="86" customFormat="false" ht="13.5" hidden="false" customHeight="false" outlineLevel="0" collapsed="false">
      <c r="C86" s="23"/>
    </row>
    <row r="87" customFormat="false" ht="13.5" hidden="false" customHeight="false" outlineLevel="0" collapsed="false">
      <c r="C87" s="23"/>
    </row>
    <row r="88" customFormat="false" ht="13.5" hidden="false" customHeight="false" outlineLevel="0" collapsed="false">
      <c r="C88" s="23"/>
    </row>
    <row r="89" customFormat="false" ht="13.5" hidden="false" customHeight="false" outlineLevel="0" collapsed="false">
      <c r="C89" s="23"/>
    </row>
    <row r="90" customFormat="false" ht="13.5" hidden="false" customHeight="false" outlineLevel="0" collapsed="false">
      <c r="C90" s="23"/>
    </row>
    <row r="91" customFormat="false" ht="13.5" hidden="false" customHeight="false" outlineLevel="0" collapsed="false">
      <c r="C91" s="23"/>
    </row>
    <row r="92" customFormat="false" ht="13.5" hidden="false" customHeight="false" outlineLevel="0" collapsed="false">
      <c r="C92" s="23"/>
    </row>
    <row r="93" customFormat="false" ht="13.5" hidden="false" customHeight="false" outlineLevel="0" collapsed="false">
      <c r="C93" s="23"/>
    </row>
    <row r="94" customFormat="false" ht="13.5" hidden="false" customHeight="false" outlineLevel="0" collapsed="false">
      <c r="C94" s="23"/>
    </row>
    <row r="95" customFormat="false" ht="13.5" hidden="false" customHeight="false" outlineLevel="0" collapsed="false">
      <c r="C95" s="23"/>
    </row>
    <row r="96" customFormat="false" ht="13.5" hidden="false" customHeight="false" outlineLevel="0" collapsed="false">
      <c r="C96" s="23"/>
    </row>
    <row r="97" customFormat="false" ht="13.5" hidden="false" customHeight="false" outlineLevel="0" collapsed="false">
      <c r="C97" s="23"/>
    </row>
    <row r="98" customFormat="false" ht="13.5" hidden="false" customHeight="false" outlineLevel="0" collapsed="false">
      <c r="C98" s="23"/>
    </row>
    <row r="99" customFormat="false" ht="13.5" hidden="false" customHeight="false" outlineLevel="0" collapsed="false">
      <c r="C99" s="23"/>
    </row>
    <row r="100" customFormat="false" ht="13.5" hidden="false" customHeight="false" outlineLevel="0" collapsed="false">
      <c r="C100" s="23"/>
    </row>
    <row r="101" customFormat="false" ht="13.5" hidden="false" customHeight="false" outlineLevel="0" collapsed="false">
      <c r="C101" s="23"/>
    </row>
    <row r="102" customFormat="false" ht="13.5" hidden="false" customHeight="false" outlineLevel="0" collapsed="false">
      <c r="C102" s="23"/>
    </row>
    <row r="103" customFormat="false" ht="13.5" hidden="false" customHeight="false" outlineLevel="0" collapsed="false">
      <c r="C103" s="23"/>
    </row>
    <row r="104" customFormat="false" ht="13.5" hidden="false" customHeight="false" outlineLevel="0" collapsed="false">
      <c r="C104" s="23"/>
    </row>
    <row r="105" customFormat="false" ht="13.5" hidden="false" customHeight="false" outlineLevel="0" collapsed="false">
      <c r="C105" s="23"/>
    </row>
    <row r="106" customFormat="false" ht="13.5" hidden="false" customHeight="false" outlineLevel="0" collapsed="false">
      <c r="C106" s="23"/>
    </row>
    <row r="107" customFormat="false" ht="13.5" hidden="false" customHeight="false" outlineLevel="0" collapsed="false">
      <c r="C107" s="23"/>
    </row>
    <row r="108" customFormat="false" ht="13.5" hidden="false" customHeight="false" outlineLevel="0" collapsed="false">
      <c r="C108" s="23"/>
    </row>
    <row r="109" customFormat="false" ht="13.5" hidden="false" customHeight="false" outlineLevel="0" collapsed="false">
      <c r="C109" s="23"/>
    </row>
    <row r="110" customFormat="false" ht="13.5" hidden="false" customHeight="false" outlineLevel="0" collapsed="false">
      <c r="C110" s="23"/>
    </row>
    <row r="111" customFormat="false" ht="13.5" hidden="false" customHeight="false" outlineLevel="0" collapsed="false">
      <c r="C111" s="23"/>
    </row>
    <row r="112" customFormat="false" ht="13.5" hidden="false" customHeight="false" outlineLevel="0" collapsed="false">
      <c r="C112" s="23"/>
    </row>
    <row r="113" customFormat="false" ht="13.5" hidden="false" customHeight="false" outlineLevel="0" collapsed="false">
      <c r="C113" s="23"/>
    </row>
    <row r="114" customFormat="false" ht="13.5" hidden="false" customHeight="false" outlineLevel="0" collapsed="false">
      <c r="C114" s="23"/>
    </row>
    <row r="115" customFormat="false" ht="13.5" hidden="false" customHeight="false" outlineLevel="0" collapsed="false">
      <c r="C115" s="23"/>
    </row>
    <row r="116" customFormat="false" ht="13.5" hidden="false" customHeight="false" outlineLevel="0" collapsed="false">
      <c r="C116" s="23"/>
    </row>
    <row r="117" customFormat="false" ht="13.5" hidden="false" customHeight="false" outlineLevel="0" collapsed="false">
      <c r="C117" s="23"/>
    </row>
    <row r="118" customFormat="false" ht="13.5" hidden="false" customHeight="false" outlineLevel="0" collapsed="false">
      <c r="C118" s="23"/>
    </row>
    <row r="119" customFormat="false" ht="13.5" hidden="false" customHeight="false" outlineLevel="0" collapsed="false">
      <c r="C119" s="23"/>
    </row>
    <row r="120" customFormat="false" ht="13.5" hidden="false" customHeight="false" outlineLevel="0" collapsed="false">
      <c r="C120" s="23"/>
    </row>
    <row r="121" customFormat="false" ht="13.5" hidden="false" customHeight="false" outlineLevel="0" collapsed="false">
      <c r="C121" s="23"/>
    </row>
    <row r="122" customFormat="false" ht="13.5" hidden="false" customHeight="false" outlineLevel="0" collapsed="false">
      <c r="C122" s="23"/>
    </row>
    <row r="123" customFormat="false" ht="13.5" hidden="false" customHeight="false" outlineLevel="0" collapsed="false">
      <c r="C123" s="23"/>
    </row>
    <row r="124" customFormat="false" ht="13.5" hidden="false" customHeight="false" outlineLevel="0" collapsed="false">
      <c r="C124" s="23"/>
    </row>
    <row r="125" customFormat="false" ht="13.5" hidden="false" customHeight="false" outlineLevel="0" collapsed="false">
      <c r="C125" s="23"/>
    </row>
    <row r="126" customFormat="false" ht="13.5" hidden="false" customHeight="false" outlineLevel="0" collapsed="false">
      <c r="C126" s="23"/>
    </row>
    <row r="127" customFormat="false" ht="13.5" hidden="false" customHeight="false" outlineLevel="0" collapsed="false">
      <c r="C127" s="23"/>
    </row>
    <row r="128" customFormat="false" ht="13.5" hidden="false" customHeight="false" outlineLevel="0" collapsed="false">
      <c r="C128" s="23"/>
    </row>
    <row r="129" customFormat="false" ht="13.5" hidden="false" customHeight="false" outlineLevel="0" collapsed="false">
      <c r="C129" s="23"/>
    </row>
  </sheetData>
  <autoFilter ref="B12:P12"/>
  <mergeCells count="3">
    <mergeCell ref="C4:M4"/>
    <mergeCell ref="C5:M5"/>
    <mergeCell ref="C6:M6"/>
  </mergeCells>
  <conditionalFormatting sqref="M11:M48">
    <cfRule type="cellIs" priority="2" operator="equal" aboveAverage="0" equalAverage="0" bottom="0" percent="0" rank="0" text="" dxfId="5">
      <formula>"Partiellement Reçu"</formula>
    </cfRule>
    <cfRule type="cellIs" priority="3" operator="equal" aboveAverage="0" equalAverage="0" bottom="0" percent="0" rank="0" text="" dxfId="6">
      <formula>"Non Reçu"</formula>
    </cfRule>
    <cfRule type="cellIs" priority="4" operator="equal" aboveAverage="0" equalAverage="0" bottom="0" percent="0" rank="0" text="" dxfId="7">
      <formula>"Reçu"</formula>
    </cfRule>
  </conditionalFormatting>
  <conditionalFormatting sqref="E11:E48">
    <cfRule type="cellIs" priority="5" operator="equal" aboveAverage="0" equalAverage="0" bottom="0" percent="0" rank="0" text="" dxfId="8">
      <formula>"Faible"</formula>
    </cfRule>
    <cfRule type="cellIs" priority="6" operator="equal" aboveAverage="0" equalAverage="0" bottom="0" percent="0" rank="0" text="" dxfId="9">
      <formula>"Moyen"</formula>
    </cfRule>
    <cfRule type="cellIs" priority="7" operator="equal" aboveAverage="0" equalAverage="0" bottom="0" percent="0" rank="0" text="" dxfId="10">
      <formula>"Urgent"</formula>
    </cfRule>
  </conditionalFormatting>
  <dataValidations count="3">
    <dataValidation allowBlank="true" errorStyle="stop" operator="between" showDropDown="false" showErrorMessage="false" showInputMessage="false" sqref="E11:E48" type="list">
      <formula1>"Urgent,Moyen,Faible"</formula1>
      <formula2>0</formula2>
    </dataValidation>
    <dataValidation allowBlank="true" errorStyle="stop" operator="between" showDropDown="false" showErrorMessage="false" showInputMessage="false" sqref="J11:J48" type="list">
      <formula1>"Physique,Electronique,Physique et Electronique"</formula1>
      <formula2>0</formula2>
    </dataValidation>
    <dataValidation allowBlank="true" errorStyle="stop" operator="between" showDropDown="false" showErrorMessage="false" showInputMessage="false" sqref="M11:M48" type="list">
      <formula1>"Reçu,Non Reçu,Non Applicable,Partiellement Reçu"</formula1>
      <formula2>0</formula2>
    </dataValidation>
  </dataValidations>
  <printOptions headings="false" gridLines="false" gridLinesSet="true" horizontalCentered="false" verticalCentered="false"/>
  <pageMargins left="0.39375" right="0.196527777777778" top="0.39375" bottom="0.39375" header="0.118055555555556" footer="0.118055555555556"/>
  <pageSetup paperSize="77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&amp;C&amp;8 &amp;A&amp;R&amp;P/&amp;N</oddHeader>
    <oddFooter>&amp;C&amp;8 &amp;F&amp;R&amp;P/&amp;N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2026-09-08T09:02:33Z</dcterms:created>
  <dc:creator>Miensa Ruth Kouassi</dc:creator>
  <dc:description/>
  <dc:language>en-US</dc:language>
  <cp:lastModifiedBy>Saimby Loïc Keme</cp:lastModifiedBy>
  <dcterms:modified xsi:type="dcterms:W3CDTF">2026-10-14T11:11:45Z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