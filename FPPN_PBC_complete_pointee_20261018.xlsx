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BC Actuariat FPPN" sheetId="1" state="visible" r:id="rId3"/>
    <sheet name="Synthèse du pointage" sheetId="2" state="visible" r:id="rId4"/>
    <sheet name="Reçus hors liste" sheetId="3" state="visible" r:id="rId5"/>
    <sheet name="Points à clarifier" sheetId="4" state="visible" r:id="rId6"/>
  </sheets>
  <definedNames>
    <definedName function="false" hidden="false" localSheetId="0" name="_xlnm.Print_Area" vbProcedure="false">'PBC Actuariat FPPN'!$A$1:$N$71</definedName>
    <definedName function="false" hidden="false" localSheetId="0" name="_xlnm.Print_Titles" vbProcedure="false">'PBC Actuariat FPPN'!$1:$9</definedName>
    <definedName function="false" hidden="true" localSheetId="0" name="_xlnm._FilterDatabase" vbProcedure="false">'PBC Actuariat FPPN'!$B$12:$P$12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<sst xmlns="http://schemas.openxmlformats.org/spreadsheetml/2006/main" count="311" uniqueCount="167">
  <si>
    <t xml:space="preserve">AUDIT DU FPPN 2020 – 31 AOÛT 2026 : VOLET ACTUARIEL</t>
  </si>
  <si>
    <t xml:space="preserve">DEMANDE DES DOCUMENTS (LISTE COMPLÈTE) ET POINTAGE DE L'ENVOI REÇU LE 15/10/2026</t>
  </si>
  <si>
    <t xml:space="preserve">(Liste non exhaustive; selon les spécificités et informations relevées avec ces documents, des demandes complémentaires pourront être réalisées.)</t>
  </si>
  <si>
    <t xml:space="preserve">No.</t>
  </si>
  <si>
    <t xml:space="preserve">Documents &amp; Informations</t>
  </si>
  <si>
    <t xml:space="preserve">Priorité</t>
  </si>
  <si>
    <t xml:space="preserve">Date demande</t>
  </si>
  <si>
    <t xml:space="preserve">Deadline</t>
  </si>
  <si>
    <t xml:space="preserve">Date réception</t>
  </si>
  <si>
    <t xml:space="preserve">Physique / Electronique</t>
  </si>
  <si>
    <t xml:space="preserve">Commentaires</t>
  </si>
  <si>
    <t xml:space="preserve">Statut</t>
  </si>
  <si>
    <t xml:space="preserve">Règles des garanties et des cotisations</t>
  </si>
  <si>
    <t xml:space="preserve">Statuts et règlement intérieur en vigueur, ainsi que les versions applicables entre le 1er janvier 2020 et le 31 août 2026, avec leurs dates d'adoption.</t>
  </si>
  <si>
    <t xml:space="preserve">Urgent</t>
  </si>
  <si>
    <t xml:space="preserve">Non reçu dans l'envoi du 15/10/2026.</t>
  </si>
  <si>
    <t xml:space="preserve">Non Reçu</t>
  </si>
  <si>
    <t xml:space="preserve">Règlement ou fiche descriptive de chaque prestation servie (allocation décès, invalidité, prise en charge des retraités, santé, épargne, autres aides) : bénéficiaires, conditions d'ouverture du droit, montants ou barèmes, plafonds, délais de paiement, forme du paiement (capital ou rente), pour chaque année de 2020 à 2026.</t>
  </si>
  <si>
    <t xml:space="preserve">Non reçu dans l'envoi du 15/10/2026. Seuls des fichiers de précomptes ont été reçus.</t>
  </si>
  <si>
    <t xml:space="preserve">Barème des cotisations par catégorie de membres (actifs, retraités, autres) pour chaque année de 2020 à 2026, et répartition de la cotisation entre les garanties lorsqu'elle existe.</t>
  </si>
  <si>
    <t xml:space="preserve">Reçu : montants précomptés par mutualiste et par mois (FPPN-SOLDE : maladie 936, allocation décès 8Z6, EFC 870, PEP 998). Manque : le barème adopté par catégorie et par année, et la répartition entre garanties.</t>
  </si>
  <si>
    <t xml:space="preserve">Partiellement Reçu</t>
  </si>
  <si>
    <t xml:space="preserve">Convention conclue avec la CGRAE pour la prise en charge des retraités, et ses avenants.</t>
  </si>
  <si>
    <t xml:space="preserve">Moyen</t>
  </si>
  <si>
    <t xml:space="preserve">Reçu : fichiers de gestion CGRAE 2024 à 2026 (FPPN-CGRAE : bordereaux, précomptes aller et retour, courriers de transmission, résiliations, pièces des retraités). Manque : la convention et ses avenants.</t>
  </si>
  <si>
    <t xml:space="preserve">Procès-verbaux ou décisions du Conseil d'administration et de l'Assemblée générale ayant modifié les cotisations, les prestations ou les taux servis sur l'épargne entre 2020 et 2026.</t>
  </si>
  <si>
    <t xml:space="preserve">Provisions et engagements</t>
  </si>
  <si>
    <t xml:space="preserve">Détail des provisions inscrites au bilan, par nature et par garantie, au 31/12/2019, 31/12/2020, 31/12/2021, 31/12/2022, 31/12/2023, 31/12/2024, 31/12/2025 et 31/08/2026, avec la note ou le fichier de calcul de chaque provision.</t>
  </si>
  <si>
    <t xml:space="preserve">Reçu : balances et grands livres de 2020 au 31/08/2026 (AUDIT ADENKA\DAFC), qui donnent les soldes des comptes. Manque : détail par nature et par garantie, notes ou fichiers de calcul, situation au 31/12/2019. Les fichiers 2020 commencent au 01/09/2020.</t>
  </si>
  <si>
    <t xml:space="preserve">Tout rapport actuariel, étude technique ou note de calcul des engagements envers les mutualistes existant, quelle que soit sa date.</t>
  </si>
  <si>
    <t xml:space="preserve">Correspondances avec l'AIRMS portant sur les réserves, les provisions ou les indicateurs prudentiels (observations, mises en demeure, plans de redressement).</t>
  </si>
  <si>
    <t xml:space="preserve">Données des mutualistes et ayants droit (format Excel)</t>
  </si>
  <si>
    <t xml:space="preserve">Fichier des mutualistes à chacune des dates suivantes : 31/12/2019, 31/12/2020, 31/12/2021, 31/12/2022, 31/12/2023, 31/12/2024, 31/12/2025 et 31/08/2026. Une ligne par mutualiste : matricule, date de naissance, sexe, date d'entrée dans la police, date d'adhésion au FPPN, statut (actif, retraité, sorti, décédé), date et motif de sortie, montant de la cotisation mensuelle.</t>
  </si>
  <si>
    <t xml:space="preserve">Electronique</t>
  </si>
  <si>
    <t xml:space="preserve">Reçu : effectifs mensuels maladie 936 de janvier 2024 à septembre 2026 (FPPN-SOLDE\EFFECTIF POLICE (MALADIE)) ; avril 2024 avec grade, date de recrutement et salaire de base ; retraités CGRAE 2024 à 2026, certains avec date de naissance. Manque : 2019 à 2023, date de naissance et sexe des actifs, date d'adhésion, dates et motifs de sortie.</t>
  </si>
  <si>
    <t xml:space="preserve">Fichier des ayants droit. Une ligne par ayant droit : matricule du mutualiste, lien (conjoint, enfant), date de naissance, sexe.</t>
  </si>
  <si>
    <t xml:space="preserve">État annuel des mouvements d'effectifs de 2020 au 31/08/2026 : nouvelles adhésions, départs à la retraite, décès, autres sorties.</t>
  </si>
  <si>
    <t xml:space="preserve">Non reçu dans l'envoi du 15/10/2026. Une reconstitution partielle 2024 à 2026 est possible à partir des effectifs mensuels, sans les motifs de sortie.</t>
  </si>
  <si>
    <t xml:space="preserve">Cotisations appelées et cotisations encaissées par mois et par catégorie de membres, du 01/01/2020 au 31/08/2026.</t>
  </si>
  <si>
    <t xml:space="preserve">Reçu : précomptes mensuels aller et retour par poste (maladie 936 et décès 8Z6 de 2024 à 2026 ; EFC 870 et PEP 998 de 2023 à 2026 ; retraités CGRAE de 2024 à 2026 ; PEP 998 au format texte de 2001 à 2022). Manque : 2020 à 2023 pour maladie et décès, 2020 à 2022 pour EFC, état des cotisations appelées et encaissées par catégorie.</t>
  </si>
  <si>
    <t xml:space="preserve">Prestations (format Excel)</t>
  </si>
  <si>
    <t xml:space="preserve">Fichier des prestations payées du 01/01/2020 au 31/08/2026. Une ligne par dossier : matricule, type de prestation, date de l'événement (décès, soins, départ à la retraite, etc.), date de déclaration ou de réception de la facture, date de paiement, montant dû, montant payé.</t>
  </si>
  <si>
    <t xml:space="preserve">Non reçu dans l'envoi du 15/10/2026. Aucun fichier de prestations payées (décès ou santé).</t>
  </si>
  <si>
    <t xml:space="preserve">Liste des dossiers de prestations non payés à chacune des dates suivantes : 31/12/2019, 31/12/2020, 31/12/2021, 31/12/2022, 31/12/2023, 31/12/2024, 31/12/2025 et 31/08/2026, y compris les factures des prestataires de santé non réglées. Une ligne par dossier : matricule, type de prestation, date de l'événement, date de déclaration, montant dû.</t>
  </si>
  <si>
    <t xml:space="preserve">État détaillé des arriérés apurés en 2026 envers les mutualistes et les prestataires de santé : bénéficiaire, nature, date d'origine, montant, date de paiement.</t>
  </si>
  <si>
    <t xml:space="preserve">Épargne des mutualistes (si le FPPN gère de l'épargne ; sinon, le préciser)</t>
  </si>
  <si>
    <t xml:space="preserve">Description des produits d'épargne (épargne de fin de carrière, Plan Épargne Plus, autres) : règles de versement, taux d'intérêt servi ou garanti, conditions de retrait, de sortie anticipée et en cas de décès.</t>
  </si>
  <si>
    <t xml:space="preserve">Non reçu dans l'envoi du 15/10/2026. Seuls les fichiers de versements EFC 870 et PEP 998 ont été reçus : ils ne décrivent pas les règles des produits.</t>
  </si>
  <si>
    <t xml:space="preserve">Comptes individuels d'épargne de 2020 au 31/08/2026. Une ligne par mutualiste et par année : solde d'ouverture, versements, intérêts crédités, retraits, solde de clôture.</t>
  </si>
  <si>
    <t xml:space="preserve">Reçu : versements mensuels par mutualiste EFC 870 et PEP 998 de 2023 à 2026, et fichiers PEP 998 au format texte de 2001 à 2022 (FPPN-SOLDE\EFC et \PEP). Manque : soldes d'ouverture et de clôture, intérêts crédités, retraits, par mutualiste et par année.</t>
  </si>
  <si>
    <t xml:space="preserve">Taux d'intérêt crédité sur l'épargne chaque année et décision qui l'a fixé.</t>
  </si>
  <si>
    <t xml:space="preserve">Rapprochement, à chaque date d'arrêté, entre le total des comptes individuels d'épargne et le montant inscrit au bilan.</t>
  </si>
  <si>
    <t xml:space="preserve">Placements et autres actifs</t>
  </si>
  <si>
    <t xml:space="preserve">Échéancier des placements au 31/12/2025 et au 31/08/2026 : nature, établissement, montant, date de souscription, date d'échéance, taux, conditions de sortie anticipée.</t>
  </si>
  <si>
    <t xml:space="preserve">Prêts aux mutualistes (« Le Grenier du Policier ») au 31/12/2025 et au 31/08/2026 : encours par emprunteur, échéancier de remboursement, montants impayés et leur ancienneté.</t>
  </si>
  <si>
    <t xml:space="preserve">Reçu : balances âgées et production de la période, fin 2021 à fin 2025 et mensuelles de janvier à septembre 2026, au format PDF ; politique de crédit du 17/07/2021 (.doc) ; précomptes 9X4 de 2022 à 2026. Manque : versions Excel lisibles (les fichiers .xls sont illisibles), échéancier de remboursement par emprunteur.</t>
  </si>
  <si>
    <t xml:space="preserve">Cotisations retenues par l'État et non reversées au FPPN : montant par année, montants recouvrés, échéancier ou accord de recouvrement.</t>
  </si>
  <si>
    <t xml:space="preserve">Biens immobiliers et participations (centre médical, programme immobilier, autres) au 31/08/2026 : valeur au bilan, dernière évaluation, revenus annuels, contraintes de cession.</t>
  </si>
  <si>
    <t xml:space="preserve">Faible</t>
  </si>
  <si>
    <t xml:space="preserve">Politique de placement approuvée par le Conseil d'administration, si elle existe.</t>
  </si>
  <si>
    <t xml:space="preserve">Informations complémentaires</t>
  </si>
  <si>
    <t xml:space="preserve">Âge de départ à la retraite des fonctionnaires de police, par grade le cas échéant, et texte de référence.</t>
  </si>
  <si>
    <t xml:space="preserve">Nom, fonction et contact des responsables à rencontrer pour les prestations, l'épargne, les placements et les données des mutualistes.</t>
  </si>
  <si>
    <t xml:space="preserve">Prestations décès et allocations (demande complémentaire du 16/10/2026)</t>
  </si>
  <si>
    <t xml:space="preserve">Fichiers de suivi de la sinistralité de 2019 au 31/08/2026 (tableau de bord du service), avec le détail du calcul du taux de sinistralité.</t>
  </si>
  <si>
    <t xml:space="preserve">Base des sinistres décès et allocations du 01/01/2019 au 31/08/2026, une ligne par dossier, au format de l'onglet « Modèle données décès » : matricule, grade, date de naissance, bénéficiaire (policier, conjoint, enfant), date du décès, date de déclaration, date de dossier complet, date de paiement, capital, frais funéraires, statut.</t>
  </si>
  <si>
    <t xml:space="preserve">Liste des dossiers non payés au 31/12/2025 et au 31/08/2026, avec l'année du décès, y compris les dossiers antérieurs à 2013 et les dossiers bloqués par un litige familial.</t>
  </si>
  <si>
    <t xml:space="preserve">Barèmes successifs des capitaux décès, frais funéraires et allocations aux ayants droit, de 2001 à 2026, avec les décisions qui les ont adoptés.</t>
  </si>
  <si>
    <t xml:space="preserve">Simulations de revalorisation des prestations (2021 à 2023 et 2026, trois options), avec les fichiers de calcul et les hypothèses.</t>
  </si>
  <si>
    <t xml:space="preserve">Contrats conclus avec les assureurs pour la gestion externalisée (novembre 2013 à 2020), avec les primes payées et les sinistres réglés par année.</t>
  </si>
  <si>
    <t xml:space="preserve">Liste des pièces exigées pour chaque prestation et cahier du régime des prestations sociales.</t>
  </si>
  <si>
    <t xml:space="preserve">Projet de manuel de procédures de 2014 et tout document décrivant le traitement des prestations.</t>
  </si>
  <si>
    <t xml:space="preserve">Rapport de contrôle de l'AIRMS et plan de redressement en cours.</t>
  </si>
  <si>
    <t xml:space="preserve">Documentation technique du produit retraite créé en mai 2007 : conditions, cotisations, méthode de calcul, nombre d'adhérents, sommes dues.</t>
  </si>
  <si>
    <t xml:space="preserve">Documentation de la flotte automobile des policiers : convention avec l'assureur, primes, sinistres, rôle du FPPN.</t>
  </si>
  <si>
    <t xml:space="preserve">Reçu : précomptes mensuels flotte automobile GNA 9W3 de 2023 à 2026 (FPPN-GNA, fichiers aller et retour). Manque : convention avec l'assureur, primes reversées, sinistres, rôle du FPPN.</t>
  </si>
  <si>
    <t xml:space="preserve">État des dossiers transmis aux assureurs et non encore réglés.</t>
  </si>
  <si>
    <t xml:space="preserve">Liste des cas de fraude détectés depuis 2020, avec les montants en jeu et les suites données.</t>
  </si>
  <si>
    <t xml:space="preserve">Prestations santé (demande complémentaire du 16/10/2026)</t>
  </si>
  <si>
    <t xml:space="preserve">Base des prestations santé du 01/01/2019 au 31/08/2026, une ligne par facture, au format de l'onglet « Modèle données santé » : bénéficiaire, matricule du mutualiste, lien, prestataire, date des soins, date de la facture, date de paiement, montant facturé, montant payé.</t>
  </si>
  <si>
    <t xml:space="preserve">Liste des prestataires de santé conventionnés et conventions signées (tarifs, taux de prise en charge, plafonds).</t>
  </si>
  <si>
    <t xml:space="preserve">Fichier des cartes de santé actives au 31/08/2026 : mutualistes en activité, retraités, ayants droit.</t>
  </si>
  <si>
    <t xml:space="preserve">Reçu : effectifs mensuels maladie 936 jusqu'à septembre 2026 et retraités CGRAE 2024 à 2026. Manque : fichier des cartes de santé actives au 31/08/2026, ayants droit.</t>
  </si>
  <si>
    <t xml:space="preserve">Statistiques des prises en charge et orientations délivrées par le médecin, de 2019 au 31/08/2026.</t>
  </si>
  <si>
    <t xml:space="preserve">Synthèse du pointage</t>
  </si>
  <si>
    <t xml:space="preserve">Envoi du client reçu le 15/10/2026 : 4 280 fichiers inventoriés. Pointage au 18/10/2026.</t>
  </si>
  <si>
    <t xml:space="preserve">Nombre d'items</t>
  </si>
  <si>
    <t xml:space="preserve">N° des items</t>
  </si>
  <si>
    <t xml:space="preserve">Reçu</t>
  </si>
  <si>
    <t xml:space="preserve">3, 4, 6, 9, 12, 17, 21, 37, 42</t>
  </si>
  <si>
    <t xml:space="preserve">1, 2, 5, 7, 8, 10, 11, 13, 14, 15, 16, 18, 19, 20, 22, 23, 24, 25, 26, 27, 28, 29, 30, 31, 32, 33, 34, 35, 36, 38, 39, 40, 41, 43</t>
  </si>
  <si>
    <t xml:space="preserve">Total</t>
  </si>
  <si>
    <t xml:space="preserve">1 à 43</t>
  </si>
  <si>
    <t xml:space="preserve">Reçus hors liste</t>
  </si>
  <si>
    <t xml:space="preserve">Documents reçus le 15/10/2026 qui ne répondent à aucun item de la liste. Utilité pour le volet actuariel.</t>
  </si>
  <si>
    <t xml:space="preserve">Dossier</t>
  </si>
  <si>
    <t xml:space="preserve">Contenu</t>
  </si>
  <si>
    <t xml:space="preserve">Période</t>
  </si>
  <si>
    <t xml:space="preserve">Utilité</t>
  </si>
  <si>
    <t xml:space="preserve">AUDIT ADENKA\DAFC</t>
  </si>
  <si>
    <t xml:space="preserve">Balances générales et des tiers, grands livres des comptes et des tiers (Excel et PDF)</t>
  </si>
  <si>
    <t xml:space="preserve">09/2020 à 08/2026</t>
  </si>
  <si>
    <t xml:space="preserve">Lire les comptes de provisions, de placements, d'épargne et de créances sur l'État en attendant les détails demandés (items 6, 18, 19, 22). À partager avec l'équipe d'audit financier.</t>
  </si>
  <si>
    <t xml:space="preserve">AUDIT ADENKA\SERVICE INFORMATIQUE</t>
  </si>
  <si>
    <t xml:space="preserve">Rapport d'audit informatique 2022 et réponse du FPPN à l'audit du système d'information</t>
  </si>
  <si>
    <t xml:space="preserve">2022 à 2026</t>
  </si>
  <si>
    <t xml:space="preserve">Fiabilité des données extraites du système. À partager avec l'équipe d'audit.</t>
  </si>
  <si>
    <t xml:space="preserve">FPPN-SOLDE\MEDOC</t>
  </si>
  <si>
    <t xml:space="preserve">Fichiers aller et précomptes du poste 8Z7 (MEDOC)</t>
  </si>
  <si>
    <t xml:space="preserve">2025 à 2026</t>
  </si>
  <si>
    <t xml:space="preserve">Nature à faire préciser : produit ou garantie non identifié à ce stade.</t>
  </si>
  <si>
    <t xml:space="preserve">FPPN-CGRAE\DOUBLE PRECOMPTE et \PRECOMPTES INDUS</t>
  </si>
  <si>
    <t xml:space="preserve">Demandes de remboursement de retraités pour précomptes en double ou indus, avec bulletins de pension</t>
  </si>
  <si>
    <t xml:space="preserve">2024 à 2025</t>
  </si>
  <si>
    <t xml:space="preserve">Qualité des précomptes des retraités ; montants à rembourser à recenser.</t>
  </si>
  <si>
    <t xml:space="preserve">FPPN-SOLDE\EFC\TEST</t>
  </si>
  <si>
    <t xml:space="preserve">Dossier médical et pièces d'un mutualiste</t>
  </si>
  <si>
    <t xml:space="preserve">Non daté</t>
  </si>
  <si>
    <t xml:space="preserve">Sans lien apparent avec l'EFC. À faire préciser ; contient des données médicales personnelles.</t>
  </si>
  <si>
    <t xml:space="preserve">FPPN-CGRAE (racine)</t>
  </si>
  <si>
    <t xml:space="preserve">RIB du FPPN, fichier aller CGRAE janvier 2025</t>
  </si>
  <si>
    <t xml:space="preserve">2025</t>
  </si>
  <si>
    <t xml:space="preserve">Aucune utilité actuarielle.</t>
  </si>
  <si>
    <t xml:space="preserve">Points à clarifier</t>
  </si>
  <si>
    <t xml:space="preserve">Fichiers à renvoyer ou questions à poser au FPPN sur l'envoi du 15/10/2026.</t>
  </si>
  <si>
    <t xml:space="preserve">N°</t>
  </si>
  <si>
    <t xml:space="preserve">Fichier ou sujet</t>
  </si>
  <si>
    <t xml:space="preserve">Constat</t>
  </si>
  <si>
    <t xml:space="preserve">Demande</t>
  </si>
  <si>
    <t xml:space="preserve">DAFC\2021\BALANCE DES TIERS 2021.xlsx</t>
  </si>
  <si>
    <t xml:space="preserve">Fichier endommagé, illisible</t>
  </si>
  <si>
    <t xml:space="preserve">Renvoyer le fichier</t>
  </si>
  <si>
    <t xml:space="preserve">DAFC\2022\Grand-livre_des_comptes 2022.pdf</t>
  </si>
  <si>
    <t xml:space="preserve">DAFC\2023\GRAND LIVRE DES TIERS 2023.xlsx</t>
  </si>
  <si>
    <t xml:space="preserve">DAFC\2025\BALANCE DES TIERS FPPN 2025.xlsx</t>
  </si>
  <si>
    <t xml:space="preserve">DAFC\2025\Grand-livre_des_comptes FPPN 2025.pdf</t>
  </si>
  <si>
    <t xml:space="preserve">DAFC\2020\Balance_des_comptes de 09-2026 au 31-12-2026.pdf</t>
  </si>
  <si>
    <t xml:space="preserve">Classé dans 2020, intitulé 2026</t>
  </si>
  <si>
    <t xml:space="preserve">Confirmer la période couverte</t>
  </si>
  <si>
    <t xml:space="preserve">DAFC\2021\BALANCE FPPN FORMAT EXCEL DU 01-01-2021 AU 31-12-2026.xlsx</t>
  </si>
  <si>
    <t xml:space="preserve">Intitulé 2021 à 2026</t>
  </si>
  <si>
    <t xml:space="preserve">DAFC\2020 (tous les fichiers)</t>
  </si>
  <si>
    <t xml:space="preserve">Période du 01/09/2020 au 31/12/2020</t>
  </si>
  <si>
    <t xml:space="preserve">Transmettre les états du 01/01/2020 au 31/08/2020 et le bilan au 31/12/2019</t>
  </si>
  <si>
    <t xml:space="preserve">SOLDE\ALLOCATION DECES\2024\FPPN_ALLOC_DECES_8Z6_DECEMBRE_2024.xlsx</t>
  </si>
  <si>
    <t xml:space="preserve">SOLDE\EFFECTIF POLICE (MALADIE)\2024\122024_effectif_police_936_DECEMBRE 2024.xlsx</t>
  </si>
  <si>
    <t xml:space="preserve">SOLDE\EFC et \PEP\FICHIER ALLER\2024\FICHIER ALLER NOVEMBRE 2024.xlsx</t>
  </si>
  <si>
    <t xml:space="preserve">Lecture impossible par le script (mise en forme)</t>
  </si>
  <si>
    <t xml:space="preserve">Vérifier à l'ouverture dans Excel ; renvoyer si besoin</t>
  </si>
  <si>
    <t xml:space="preserve">SERVICE GRENIER DU POLICIER : 70 fichiers .xls (BalanceAgee, production_de_la_periode)</t>
  </si>
  <si>
    <t xml:space="preserve">Format non reconnu (export du logiciel)</t>
  </si>
  <si>
    <t xml:space="preserve">Renvoyer en .xlsx ou .csv</t>
  </si>
  <si>
    <t xml:space="preserve">SERVICE GRENIER DU POLICIER : POLITIK DE CREDIT ... 17 07 2021.doc</t>
  </si>
  <si>
    <t xml:space="preserve">Ancien format Word</t>
  </si>
  <si>
    <t xml:space="preserve">Renvoyer en .docx ou .pdf, et confirmer qu'il s'agit de la version en vigueur</t>
  </si>
  <si>
    <t xml:space="preserve">CGRAE\PIECES A FOURNIR\2025 : 35 fichiers PDF</t>
  </si>
  <si>
    <t xml:space="preserve">Fichiers endommagés, illisibles</t>
  </si>
  <si>
    <t xml:space="preserve">Renvoyer les fichiers</t>
  </si>
  <si>
    <t xml:space="preserve">Poste 8Z7 (MEDOC)</t>
  </si>
  <si>
    <t xml:space="preserve">Nature non connue</t>
  </si>
  <si>
    <t xml:space="preserve">Préciser le produit, les bénéficiaires et le lien avec la santé</t>
  </si>
  <si>
    <t xml:space="preserve">Postes 870 (EFC) et 998 (PEP)</t>
  </si>
  <si>
    <t xml:space="preserve">Règles non transmises</t>
  </si>
  <si>
    <t xml:space="preserve">Voir items 16 à 19</t>
  </si>
  <si>
    <t xml:space="preserve">Effectifs maladie 936</t>
  </si>
  <si>
    <t xml:space="preserve">Pas de date de naissance ni de sexe</t>
  </si>
  <si>
    <t xml:space="preserve">Voir item 9 : un fichier avec ces champs est indispensable aux calculs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</si>
</sst>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%"/>
    <numFmt numFmtId="166" formatCode="General"/>
    <numFmt numFmtId="167" formatCode="m/d/yyyy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0"/>
      <charset val="1"/>
    </font>
    <font>
      <b val="true"/>
      <i val="true"/>
      <sz val="11"/>
      <color rgb="FF00B050"/>
      <name val="Arial"/>
      <family val="0"/>
      <charset val="1"/>
    </font>
    <font>
      <b val="true"/>
      <sz val="11"/>
      <color theme="8" tint="-0.5"/>
      <name val="Arial"/>
      <family val="0"/>
      <charset val="1"/>
    </font>
    <font>
      <b val="true"/>
      <u val="single"/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name val="Arial"/>
      <family val="0"/>
      <charset val="1"/>
    </font>
    <font>
      <u val="single"/>
      <sz val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FFFFFF"/>
      </patternFill>
    </fill>
    <fill>
      <patternFill patternType="solid">
        <fgColor rgb="FF112A40"/>
        <bgColor rgb="FF20386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BBCBC"/>
      </left>
      <right style="thin">
        <color rgb="FFBBBCBC"/>
      </right>
      <top style="thin">
        <color rgb="FFBBBCBC"/>
      </top>
      <bottom style="thin">
        <color rgb="FFBBBCB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color rgb="FFED7D31"/>
      </font>
    </dxf>
    <dxf>
      <font>
        <color rgb="FFFF0000"/>
      </font>
    </dxf>
    <dxf>
      <font>
        <color rgb="FF00B050"/>
      </font>
    </dxf>
    <dxf>
      <font>
        <color rgb="FFBF9000"/>
      </font>
      <fill>
        <patternFill>
          <bgColor theme="7" tint="0.7999"/>
        </patternFill>
      </fill>
    </dxf>
    <dxf>
      <font>
        <color rgb="FFC55A11"/>
      </font>
      <fill>
        <patternFill>
          <bgColor theme="5" tint="0.5999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BBCBC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9000"/>
      <rgbColor rgb="FFED7D31"/>
      <rgbColor rgb="FF666699"/>
      <rgbColor rgb="FF969696"/>
      <rgbColor rgb="FF112A40"/>
      <rgbColor rgb="FF00B050"/>
      <rgbColor rgb="FF003300"/>
      <rgbColor rgb="FF333300"/>
      <rgbColor rgb="FFC55A11"/>
      <rgbColor rgb="FF993366"/>
      <rgbColor rgb="FF333399"/>
      <rgbColor rgb="FF20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true"/>
  </sheetPr>
  <dimension ref="B4:M129"/>
  <sheetViews>
    <sheetView showFormulas="false" showGridLines="false" showRowColHeaders="true" showZeros="true" rightToLeft="false" tabSelected="true" showOutlineSymbols="true" defaultGridColor="true" view="pageBreakPreview" topLeftCell="A1" colorId="64" zoomScale="70" zoomScaleNormal="80" zoomScalePageLayoutView="70" workbookViewId="0">
      <pane xSplit="0" ySplit="9" topLeftCell="A10" activePane="bottomLeft" state="frozen"/>
      <selection pane="topLeft" activeCell="A1" activeCellId="0" sqref="A1"/>
      <selection pane="bottomLeft" activeCell="A111" activeCellId="0" sqref="A111"/>
    </sheetView>
  </sheetViews>
  <sheetFormatPr defaultColWidth="9.18359375" defaultRowHeight="13.5" zeroHeight="false" outlineLevelRow="0" outlineLevelCol="1"/>
  <cols>
    <col collapsed="false" customWidth="true" hidden="false" outlineLevel="0" max="1" min="1" style="1" width="4.82"/>
    <col collapsed="false" customWidth="true" hidden="false" outlineLevel="0" max="2" min="2" style="2" width="4.45"/>
    <col collapsed="false" customWidth="true" hidden="false" outlineLevel="0" max="3" min="3" style="3" width="90"/>
    <col collapsed="false" customWidth="true" hidden="false" outlineLevel="0" max="4" min="4" style="1" width="0.54"/>
    <col collapsed="false" customWidth="true" hidden="false" outlineLevel="0" max="5" min="5" style="1" width="8.82"/>
    <col collapsed="false" customWidth="true" hidden="false" outlineLevel="0" max="6" min="6" style="1" width="0.54"/>
    <col collapsed="false" customWidth="true" hidden="false" outlineLevel="0" max="8" min="7" style="1" width="13.54"/>
    <col collapsed="false" customWidth="true" hidden="false" outlineLevel="0" max="9" min="9" style="1" width="19.18"/>
    <col collapsed="false" customWidth="true" hidden="false" outlineLevel="0" max="10" min="10" style="1" width="22.18"/>
    <col collapsed="false" customWidth="true" hidden="false" outlineLevel="0" max="11" min="11" style="1" width="70"/>
    <col collapsed="false" customWidth="true" hidden="false" outlineLevel="0" max="12" min="12" style="2" width="0.54"/>
    <col collapsed="false" customWidth="true" hidden="false" outlineLevel="1" max="13" min="13" style="4" width="15.82"/>
    <col collapsed="false" customWidth="true" hidden="false" outlineLevel="0" max="14" min="14" style="1" width="3.54"/>
    <col collapsed="false" customWidth="true" hidden="false" outlineLevel="0" max="15" min="15" style="1" width="11.45"/>
    <col collapsed="false" customWidth="true" hidden="false" outlineLevel="0" max="16" min="16" style="1" width="12.54"/>
    <col collapsed="false" customWidth="false" hidden="false" outlineLevel="0" max="16384" min="17" style="1" width="9.18"/>
  </cols>
  <sheetData>
    <row r="4" customFormat="false" ht="13.5" hidden="false" customHeight="false" outlineLevel="0" collapsed="false">
      <c r="C4" s="5" t="s">
        <v>0</v>
      </c>
      <c r="D4" s="5"/>
      <c r="E4" s="5"/>
      <c r="F4" s="5"/>
      <c r="G4" s="5"/>
      <c r="H4" s="5"/>
      <c r="I4" s="5"/>
      <c r="J4" s="5"/>
      <c r="K4" s="5"/>
      <c r="L4" s="5"/>
      <c r="M4" s="5"/>
    </row>
    <row r="5" customFormat="false" ht="13.5" hidden="false" customHeight="true" outlineLevel="0" collapsed="false">
      <c r="B5" s="6"/>
      <c r="C5" s="7" t="s">
        <v>1</v>
      </c>
      <c r="D5" s="7"/>
      <c r="E5" s="7"/>
      <c r="F5" s="7"/>
      <c r="G5" s="7"/>
      <c r="H5" s="7"/>
      <c r="I5" s="7"/>
      <c r="J5" s="7"/>
      <c r="K5" s="7"/>
      <c r="L5" s="7"/>
      <c r="M5" s="7"/>
    </row>
    <row r="6" customFormat="false" ht="14.25" hidden="false" customHeight="true" outlineLevel="0" collapsed="false">
      <c r="B6" s="8"/>
      <c r="C6" s="9" t="s">
        <v>2</v>
      </c>
      <c r="D6" s="9"/>
      <c r="E6" s="9"/>
      <c r="F6" s="9"/>
      <c r="G6" s="9"/>
      <c r="H6" s="9"/>
      <c r="I6" s="9"/>
      <c r="J6" s="9"/>
      <c r="K6" s="9"/>
      <c r="L6" s="9"/>
      <c r="M6" s="9"/>
    </row>
    <row r="7" customFormat="false" ht="13.5" hidden="false" customHeight="false" outlineLevel="0" collapsed="false">
      <c r="M7" s="10" t="n">
        <f aca="false">IFERROR(COUNTIF($M$11:$M$69,"Reçu")/(COUNTA($M$11:$M$69)-COUNTIF($M$11:$M$69,"Non Applicable")),0)</f>
        <v>0</v>
      </c>
    </row>
    <row r="8" s="11" customFormat="true" ht="27.75" hidden="false" customHeight="true" outlineLevel="0" collapsed="false">
      <c r="B8" s="12" t="s">
        <v>3</v>
      </c>
      <c r="C8" s="12" t="s">
        <v>4</v>
      </c>
      <c r="D8" s="13"/>
      <c r="E8" s="12" t="s">
        <v>5</v>
      </c>
      <c r="F8" s="13"/>
      <c r="G8" s="12" t="s">
        <v>6</v>
      </c>
      <c r="H8" s="12" t="s">
        <v>7</v>
      </c>
      <c r="I8" s="12" t="s">
        <v>8</v>
      </c>
      <c r="J8" s="12" t="s">
        <v>9</v>
      </c>
      <c r="K8" s="14" t="s">
        <v>10</v>
      </c>
      <c r="L8" s="15"/>
      <c r="M8" s="12" t="s">
        <v>11</v>
      </c>
    </row>
    <row r="9" customFormat="false" ht="13.5" hidden="false" customHeight="false" outlineLevel="0" collapsed="false">
      <c r="C9" s="16"/>
    </row>
    <row r="10" customFormat="false" ht="18" hidden="false" customHeight="true" outlineLevel="0" collapsed="false">
      <c r="C10" s="17" t="s">
        <v>12</v>
      </c>
    </row>
    <row r="11" customFormat="false" ht="33.75" hidden="false" customHeight="true" outlineLevel="0" collapsed="false">
      <c r="B11" s="18" t="n">
        <f aca="false">1</f>
        <v>1</v>
      </c>
      <c r="C11" s="19" t="s">
        <v>13</v>
      </c>
      <c r="E11" s="20" t="s">
        <v>14</v>
      </c>
      <c r="G11" s="21" t="n">
        <v>46309</v>
      </c>
      <c r="H11" s="21" t="n">
        <v>46316</v>
      </c>
      <c r="I11" s="21"/>
      <c r="J11" s="22"/>
      <c r="K11" s="23" t="s">
        <v>15</v>
      </c>
      <c r="M11" s="24" t="s">
        <v>16</v>
      </c>
    </row>
    <row r="12" customFormat="false" ht="61.5" hidden="false" customHeight="true" outlineLevel="0" collapsed="false">
      <c r="B12" s="18" t="n">
        <f aca="false">+B11+1</f>
        <v>2</v>
      </c>
      <c r="C12" s="19" t="s">
        <v>17</v>
      </c>
      <c r="E12" s="20" t="s">
        <v>14</v>
      </c>
      <c r="G12" s="21" t="n">
        <v>46309</v>
      </c>
      <c r="H12" s="21" t="n">
        <v>46316</v>
      </c>
      <c r="I12" s="21"/>
      <c r="J12" s="22"/>
      <c r="K12" s="23" t="s">
        <v>18</v>
      </c>
      <c r="M12" s="24" t="s">
        <v>16</v>
      </c>
    </row>
    <row r="13" customFormat="false" ht="61.5" hidden="false" customHeight="true" outlineLevel="0" collapsed="false">
      <c r="B13" s="18" t="n">
        <f aca="false">+B12+1</f>
        <v>3</v>
      </c>
      <c r="C13" s="19" t="s">
        <v>19</v>
      </c>
      <c r="E13" s="20" t="s">
        <v>14</v>
      </c>
      <c r="G13" s="21" t="n">
        <v>46309</v>
      </c>
      <c r="H13" s="21" t="n">
        <v>46316</v>
      </c>
      <c r="I13" s="21" t="n">
        <v>46310</v>
      </c>
      <c r="J13" s="22"/>
      <c r="K13" s="23" t="s">
        <v>20</v>
      </c>
      <c r="M13" s="24" t="s">
        <v>21</v>
      </c>
    </row>
    <row r="14" customFormat="false" ht="61.5" hidden="false" customHeight="true" outlineLevel="0" collapsed="false">
      <c r="B14" s="18" t="n">
        <f aca="false">+B13+1</f>
        <v>4</v>
      </c>
      <c r="C14" s="19" t="s">
        <v>22</v>
      </c>
      <c r="E14" s="20" t="s">
        <v>23</v>
      </c>
      <c r="G14" s="21" t="n">
        <v>46309</v>
      </c>
      <c r="H14" s="21" t="n">
        <v>46318</v>
      </c>
      <c r="I14" s="21" t="n">
        <v>46310</v>
      </c>
      <c r="J14" s="22"/>
      <c r="K14" s="23" t="s">
        <v>24</v>
      </c>
      <c r="M14" s="24" t="s">
        <v>21</v>
      </c>
    </row>
    <row r="15" customFormat="false" ht="48" hidden="false" customHeight="true" outlineLevel="0" collapsed="false">
      <c r="B15" s="18" t="n">
        <f aca="false">+B14+1</f>
        <v>5</v>
      </c>
      <c r="C15" s="19" t="s">
        <v>25</v>
      </c>
      <c r="E15" s="20" t="s">
        <v>23</v>
      </c>
      <c r="G15" s="21" t="n">
        <v>46309</v>
      </c>
      <c r="H15" s="21" t="n">
        <v>46318</v>
      </c>
      <c r="I15" s="21"/>
      <c r="J15" s="22"/>
      <c r="K15" s="23" t="s">
        <v>15</v>
      </c>
      <c r="M15" s="24" t="s">
        <v>16</v>
      </c>
    </row>
    <row r="16" customFormat="false" ht="13.5" hidden="false" customHeight="false" outlineLevel="0" collapsed="false">
      <c r="C16" s="25"/>
    </row>
    <row r="17" customFormat="false" ht="18" hidden="false" customHeight="true" outlineLevel="0" collapsed="false">
      <c r="C17" s="17" t="s">
        <v>26</v>
      </c>
    </row>
    <row r="18" customFormat="false" ht="75.75" hidden="false" customHeight="true" outlineLevel="0" collapsed="false">
      <c r="B18" s="18" t="n">
        <f aca="false">+B15+1</f>
        <v>6</v>
      </c>
      <c r="C18" s="19" t="s">
        <v>27</v>
      </c>
      <c r="E18" s="20" t="s">
        <v>14</v>
      </c>
      <c r="G18" s="21" t="n">
        <v>46309</v>
      </c>
      <c r="H18" s="21" t="n">
        <v>46316</v>
      </c>
      <c r="I18" s="21" t="n">
        <v>46310</v>
      </c>
      <c r="J18" s="22"/>
      <c r="K18" s="23" t="s">
        <v>28</v>
      </c>
      <c r="M18" s="24" t="s">
        <v>21</v>
      </c>
    </row>
    <row r="19" customFormat="false" ht="33.75" hidden="false" customHeight="true" outlineLevel="0" collapsed="false">
      <c r="B19" s="18" t="n">
        <f aca="false">+B18+1</f>
        <v>7</v>
      </c>
      <c r="C19" s="19" t="s">
        <v>29</v>
      </c>
      <c r="E19" s="20" t="s">
        <v>23</v>
      </c>
      <c r="G19" s="21" t="n">
        <v>46309</v>
      </c>
      <c r="H19" s="21" t="n">
        <v>46318</v>
      </c>
      <c r="I19" s="21"/>
      <c r="J19" s="22"/>
      <c r="K19" s="23" t="s">
        <v>15</v>
      </c>
      <c r="M19" s="24" t="s">
        <v>16</v>
      </c>
    </row>
    <row r="20" customFormat="false" ht="33.75" hidden="false" customHeight="true" outlineLevel="0" collapsed="false">
      <c r="B20" s="18" t="n">
        <f aca="false">+B19+1</f>
        <v>8</v>
      </c>
      <c r="C20" s="19" t="s">
        <v>30</v>
      </c>
      <c r="E20" s="20" t="s">
        <v>23</v>
      </c>
      <c r="G20" s="21" t="n">
        <v>46309</v>
      </c>
      <c r="H20" s="21" t="n">
        <v>46318</v>
      </c>
      <c r="I20" s="21"/>
      <c r="J20" s="22"/>
      <c r="K20" s="23" t="s">
        <v>15</v>
      </c>
      <c r="M20" s="24" t="s">
        <v>16</v>
      </c>
    </row>
    <row r="21" customFormat="false" ht="13.5" hidden="false" customHeight="false" outlineLevel="0" collapsed="false">
      <c r="C21" s="25"/>
    </row>
    <row r="22" customFormat="false" ht="18" hidden="false" customHeight="true" outlineLevel="0" collapsed="false">
      <c r="C22" s="17" t="s">
        <v>31</v>
      </c>
    </row>
    <row r="23" customFormat="false" ht="90" hidden="false" customHeight="true" outlineLevel="0" collapsed="false">
      <c r="B23" s="18" t="n">
        <f aca="false">+B20+1</f>
        <v>9</v>
      </c>
      <c r="C23" s="19" t="s">
        <v>32</v>
      </c>
      <c r="E23" s="20" t="s">
        <v>14</v>
      </c>
      <c r="G23" s="21" t="n">
        <v>46309</v>
      </c>
      <c r="H23" s="21" t="n">
        <v>46316</v>
      </c>
      <c r="I23" s="21" t="n">
        <v>46310</v>
      </c>
      <c r="J23" s="22" t="s">
        <v>33</v>
      </c>
      <c r="K23" s="23" t="s">
        <v>34</v>
      </c>
      <c r="M23" s="24" t="s">
        <v>21</v>
      </c>
    </row>
    <row r="24" customFormat="false" ht="33.75" hidden="false" customHeight="true" outlineLevel="0" collapsed="false">
      <c r="B24" s="18" t="n">
        <f aca="false">+B23+1</f>
        <v>10</v>
      </c>
      <c r="C24" s="19" t="s">
        <v>35</v>
      </c>
      <c r="E24" s="20" t="s">
        <v>23</v>
      </c>
      <c r="G24" s="21" t="n">
        <v>46309</v>
      </c>
      <c r="H24" s="21" t="n">
        <v>46318</v>
      </c>
      <c r="I24" s="21"/>
      <c r="J24" s="22" t="s">
        <v>33</v>
      </c>
      <c r="K24" s="23" t="s">
        <v>15</v>
      </c>
      <c r="M24" s="24" t="s">
        <v>16</v>
      </c>
    </row>
    <row r="25" customFormat="false" ht="48" hidden="false" customHeight="true" outlineLevel="0" collapsed="false">
      <c r="B25" s="18" t="n">
        <f aca="false">+B24+1</f>
        <v>11</v>
      </c>
      <c r="C25" s="19" t="s">
        <v>36</v>
      </c>
      <c r="E25" s="20" t="s">
        <v>23</v>
      </c>
      <c r="G25" s="21" t="n">
        <v>46309</v>
      </c>
      <c r="H25" s="21" t="n">
        <v>46318</v>
      </c>
      <c r="I25" s="21"/>
      <c r="J25" s="22" t="s">
        <v>33</v>
      </c>
      <c r="K25" s="23" t="s">
        <v>37</v>
      </c>
      <c r="M25" s="24" t="s">
        <v>16</v>
      </c>
    </row>
    <row r="26" customFormat="false" ht="90" hidden="false" customHeight="true" outlineLevel="0" collapsed="false">
      <c r="B26" s="18" t="n">
        <f aca="false">+B25+1</f>
        <v>12</v>
      </c>
      <c r="C26" s="19" t="s">
        <v>38</v>
      </c>
      <c r="E26" s="20" t="s">
        <v>23</v>
      </c>
      <c r="G26" s="21" t="n">
        <v>46309</v>
      </c>
      <c r="H26" s="21" t="n">
        <v>46318</v>
      </c>
      <c r="I26" s="21" t="n">
        <v>46310</v>
      </c>
      <c r="J26" s="22" t="s">
        <v>33</v>
      </c>
      <c r="K26" s="23" t="s">
        <v>39</v>
      </c>
      <c r="M26" s="24" t="s">
        <v>21</v>
      </c>
    </row>
    <row r="27" customFormat="false" ht="13.5" hidden="false" customHeight="false" outlineLevel="0" collapsed="false">
      <c r="C27" s="25"/>
    </row>
    <row r="28" customFormat="false" ht="18" hidden="false" customHeight="true" outlineLevel="0" collapsed="false">
      <c r="C28" s="17" t="s">
        <v>40</v>
      </c>
    </row>
    <row r="29" customFormat="false" ht="61.5" hidden="false" customHeight="true" outlineLevel="0" collapsed="false">
      <c r="B29" s="18" t="n">
        <f aca="false">+B26+1</f>
        <v>13</v>
      </c>
      <c r="C29" s="19" t="s">
        <v>41</v>
      </c>
      <c r="E29" s="20" t="s">
        <v>14</v>
      </c>
      <c r="G29" s="21" t="n">
        <v>46309</v>
      </c>
      <c r="H29" s="21" t="n">
        <v>46316</v>
      </c>
      <c r="I29" s="21"/>
      <c r="J29" s="22" t="s">
        <v>33</v>
      </c>
      <c r="K29" s="23" t="s">
        <v>42</v>
      </c>
      <c r="M29" s="24" t="s">
        <v>16</v>
      </c>
    </row>
    <row r="30" customFormat="false" ht="75.75" hidden="false" customHeight="true" outlineLevel="0" collapsed="false">
      <c r="B30" s="18" t="n">
        <f aca="false">+B29+1</f>
        <v>14</v>
      </c>
      <c r="C30" s="19" t="s">
        <v>43</v>
      </c>
      <c r="E30" s="20" t="s">
        <v>14</v>
      </c>
      <c r="G30" s="21" t="n">
        <v>46309</v>
      </c>
      <c r="H30" s="21" t="n">
        <v>46316</v>
      </c>
      <c r="I30" s="21"/>
      <c r="J30" s="22" t="s">
        <v>33</v>
      </c>
      <c r="K30" s="23" t="s">
        <v>15</v>
      </c>
      <c r="M30" s="24" t="s">
        <v>16</v>
      </c>
    </row>
    <row r="31" customFormat="false" ht="33.75" hidden="false" customHeight="true" outlineLevel="0" collapsed="false">
      <c r="B31" s="18" t="n">
        <f aca="false">+B30+1</f>
        <v>15</v>
      </c>
      <c r="C31" s="19" t="s">
        <v>44</v>
      </c>
      <c r="E31" s="20" t="s">
        <v>23</v>
      </c>
      <c r="G31" s="21" t="n">
        <v>46309</v>
      </c>
      <c r="H31" s="21" t="n">
        <v>46318</v>
      </c>
      <c r="I31" s="21"/>
      <c r="J31" s="22" t="s">
        <v>33</v>
      </c>
      <c r="K31" s="23" t="s">
        <v>15</v>
      </c>
      <c r="M31" s="24" t="s">
        <v>16</v>
      </c>
    </row>
    <row r="32" customFormat="false" ht="13.5" hidden="false" customHeight="false" outlineLevel="0" collapsed="false">
      <c r="C32" s="25"/>
    </row>
    <row r="33" customFormat="false" ht="18" hidden="false" customHeight="true" outlineLevel="0" collapsed="false">
      <c r="C33" s="17" t="s">
        <v>45</v>
      </c>
    </row>
    <row r="34" customFormat="false" ht="48" hidden="false" customHeight="true" outlineLevel="0" collapsed="false">
      <c r="B34" s="18" t="n">
        <f aca="false">+B31+1</f>
        <v>16</v>
      </c>
      <c r="C34" s="19" t="s">
        <v>46</v>
      </c>
      <c r="E34" s="20" t="s">
        <v>14</v>
      </c>
      <c r="G34" s="21" t="n">
        <v>46309</v>
      </c>
      <c r="H34" s="21" t="n">
        <v>46316</v>
      </c>
      <c r="I34" s="21"/>
      <c r="J34" s="22"/>
      <c r="K34" s="23" t="s">
        <v>47</v>
      </c>
      <c r="M34" s="24" t="s">
        <v>16</v>
      </c>
    </row>
    <row r="35" customFormat="false" ht="75.75" hidden="false" customHeight="true" outlineLevel="0" collapsed="false">
      <c r="B35" s="18" t="n">
        <f aca="false">+B34+1</f>
        <v>17</v>
      </c>
      <c r="C35" s="19" t="s">
        <v>48</v>
      </c>
      <c r="E35" s="20" t="s">
        <v>14</v>
      </c>
      <c r="G35" s="21" t="n">
        <v>46309</v>
      </c>
      <c r="H35" s="21" t="n">
        <v>46316</v>
      </c>
      <c r="I35" s="21" t="n">
        <v>46310</v>
      </c>
      <c r="J35" s="22" t="s">
        <v>33</v>
      </c>
      <c r="K35" s="23" t="s">
        <v>49</v>
      </c>
      <c r="M35" s="24" t="s">
        <v>21</v>
      </c>
    </row>
    <row r="36" customFormat="false" ht="19.5" hidden="false" customHeight="true" outlineLevel="0" collapsed="false">
      <c r="B36" s="18" t="n">
        <f aca="false">+B35+1</f>
        <v>18</v>
      </c>
      <c r="C36" s="19" t="s">
        <v>50</v>
      </c>
      <c r="E36" s="20" t="s">
        <v>23</v>
      </c>
      <c r="G36" s="21" t="n">
        <v>46309</v>
      </c>
      <c r="H36" s="21" t="n">
        <v>46318</v>
      </c>
      <c r="I36" s="21"/>
      <c r="J36" s="22"/>
      <c r="K36" s="23" t="s">
        <v>15</v>
      </c>
      <c r="M36" s="24" t="s">
        <v>16</v>
      </c>
    </row>
    <row r="37" customFormat="false" ht="33.75" hidden="false" customHeight="true" outlineLevel="0" collapsed="false">
      <c r="B37" s="18" t="n">
        <f aca="false">+B36+1</f>
        <v>19</v>
      </c>
      <c r="C37" s="19" t="s">
        <v>51</v>
      </c>
      <c r="E37" s="20" t="s">
        <v>23</v>
      </c>
      <c r="G37" s="21" t="n">
        <v>46309</v>
      </c>
      <c r="H37" s="21" t="n">
        <v>46318</v>
      </c>
      <c r="I37" s="21"/>
      <c r="J37" s="22" t="s">
        <v>33</v>
      </c>
      <c r="K37" s="23" t="s">
        <v>15</v>
      </c>
      <c r="M37" s="24" t="s">
        <v>16</v>
      </c>
    </row>
    <row r="38" customFormat="false" ht="13.5" hidden="false" customHeight="false" outlineLevel="0" collapsed="false">
      <c r="C38" s="25"/>
    </row>
    <row r="39" customFormat="false" ht="18" hidden="false" customHeight="true" outlineLevel="0" collapsed="false">
      <c r="C39" s="17" t="s">
        <v>52</v>
      </c>
    </row>
    <row r="40" customFormat="false" ht="33.75" hidden="false" customHeight="true" outlineLevel="0" collapsed="false">
      <c r="B40" s="18" t="n">
        <f aca="false">+B37+1</f>
        <v>20</v>
      </c>
      <c r="C40" s="19" t="s">
        <v>53</v>
      </c>
      <c r="E40" s="20" t="s">
        <v>14</v>
      </c>
      <c r="G40" s="21" t="n">
        <v>46309</v>
      </c>
      <c r="H40" s="21" t="n">
        <v>46316</v>
      </c>
      <c r="I40" s="21"/>
      <c r="J40" s="22" t="s">
        <v>33</v>
      </c>
      <c r="K40" s="23" t="s">
        <v>15</v>
      </c>
      <c r="M40" s="24" t="s">
        <v>16</v>
      </c>
    </row>
    <row r="41" customFormat="false" ht="90" hidden="false" customHeight="true" outlineLevel="0" collapsed="false">
      <c r="B41" s="18" t="n">
        <f aca="false">+B40+1</f>
        <v>21</v>
      </c>
      <c r="C41" s="19" t="s">
        <v>54</v>
      </c>
      <c r="E41" s="20" t="s">
        <v>23</v>
      </c>
      <c r="G41" s="21" t="n">
        <v>46309</v>
      </c>
      <c r="H41" s="21" t="n">
        <v>46318</v>
      </c>
      <c r="I41" s="21" t="n">
        <v>46310</v>
      </c>
      <c r="J41" s="22" t="s">
        <v>33</v>
      </c>
      <c r="K41" s="23" t="s">
        <v>55</v>
      </c>
      <c r="M41" s="24" t="s">
        <v>21</v>
      </c>
    </row>
    <row r="42" customFormat="false" ht="33.75" hidden="false" customHeight="true" outlineLevel="0" collapsed="false">
      <c r="B42" s="18" t="n">
        <f aca="false">+B41+1</f>
        <v>22</v>
      </c>
      <c r="C42" s="19" t="s">
        <v>56</v>
      </c>
      <c r="E42" s="20" t="s">
        <v>23</v>
      </c>
      <c r="G42" s="21" t="n">
        <v>46309</v>
      </c>
      <c r="H42" s="21" t="n">
        <v>46318</v>
      </c>
      <c r="I42" s="21"/>
      <c r="J42" s="22"/>
      <c r="K42" s="23" t="s">
        <v>15</v>
      </c>
      <c r="M42" s="24" t="s">
        <v>16</v>
      </c>
    </row>
    <row r="43" customFormat="false" ht="48" hidden="false" customHeight="true" outlineLevel="0" collapsed="false">
      <c r="B43" s="18" t="n">
        <f aca="false">+B42+1</f>
        <v>23</v>
      </c>
      <c r="C43" s="19" t="s">
        <v>57</v>
      </c>
      <c r="E43" s="20" t="s">
        <v>58</v>
      </c>
      <c r="G43" s="21" t="n">
        <v>46309</v>
      </c>
      <c r="H43" s="21" t="n">
        <v>46323</v>
      </c>
      <c r="I43" s="21"/>
      <c r="J43" s="22"/>
      <c r="K43" s="23" t="s">
        <v>15</v>
      </c>
      <c r="M43" s="24" t="s">
        <v>16</v>
      </c>
    </row>
    <row r="44" customFormat="false" ht="19.5" hidden="false" customHeight="true" outlineLevel="0" collapsed="false">
      <c r="B44" s="18" t="n">
        <f aca="false">+B43+1</f>
        <v>24</v>
      </c>
      <c r="C44" s="19" t="s">
        <v>59</v>
      </c>
      <c r="E44" s="20" t="s">
        <v>58</v>
      </c>
      <c r="G44" s="21" t="n">
        <v>46309</v>
      </c>
      <c r="H44" s="21" t="n">
        <v>46323</v>
      </c>
      <c r="I44" s="21"/>
      <c r="J44" s="22"/>
      <c r="K44" s="23" t="s">
        <v>15</v>
      </c>
      <c r="M44" s="24" t="s">
        <v>16</v>
      </c>
    </row>
    <row r="45" customFormat="false" ht="13.5" hidden="false" customHeight="false" outlineLevel="0" collapsed="false">
      <c r="C45" s="25"/>
    </row>
    <row r="46" customFormat="false" ht="18" hidden="false" customHeight="true" outlineLevel="0" collapsed="false">
      <c r="C46" s="17" t="s">
        <v>60</v>
      </c>
    </row>
    <row r="47" customFormat="false" ht="33.75" hidden="false" customHeight="true" outlineLevel="0" collapsed="false">
      <c r="B47" s="18" t="n">
        <f aca="false">+B44+1</f>
        <v>25</v>
      </c>
      <c r="C47" s="19" t="s">
        <v>61</v>
      </c>
      <c r="E47" s="20" t="s">
        <v>23</v>
      </c>
      <c r="G47" s="21" t="n">
        <v>46309</v>
      </c>
      <c r="H47" s="21" t="n">
        <v>46318</v>
      </c>
      <c r="I47" s="21"/>
      <c r="J47" s="22"/>
      <c r="K47" s="23" t="s">
        <v>15</v>
      </c>
      <c r="M47" s="24" t="s">
        <v>16</v>
      </c>
    </row>
    <row r="48" customFormat="false" ht="33.75" hidden="false" customHeight="true" outlineLevel="0" collapsed="false">
      <c r="B48" s="18" t="n">
        <f aca="false">+B47+1</f>
        <v>26</v>
      </c>
      <c r="C48" s="19" t="s">
        <v>62</v>
      </c>
      <c r="E48" s="20" t="s">
        <v>14</v>
      </c>
      <c r="G48" s="21" t="n">
        <v>46309</v>
      </c>
      <c r="H48" s="21" t="n">
        <v>46316</v>
      </c>
      <c r="I48" s="21"/>
      <c r="J48" s="22"/>
      <c r="K48" s="23" t="s">
        <v>15</v>
      </c>
      <c r="M48" s="24" t="s">
        <v>16</v>
      </c>
    </row>
    <row r="49" customFormat="false" ht="13.5" hidden="false" customHeight="false" outlineLevel="0" collapsed="false">
      <c r="C49" s="25"/>
    </row>
    <row r="50" customFormat="false" ht="18" hidden="false" customHeight="true" outlineLevel="0" collapsed="false">
      <c r="C50" s="17" t="s">
        <v>63</v>
      </c>
    </row>
    <row r="51" customFormat="false" ht="33.75" hidden="false" customHeight="true" outlineLevel="0" collapsed="false">
      <c r="B51" s="18" t="n">
        <f aca="false">+B48+1</f>
        <v>27</v>
      </c>
      <c r="C51" s="19" t="s">
        <v>64</v>
      </c>
      <c r="E51" s="20" t="s">
        <v>14</v>
      </c>
      <c r="G51" s="21" t="n">
        <v>46311</v>
      </c>
      <c r="H51" s="21" t="n">
        <v>46316</v>
      </c>
      <c r="I51" s="21"/>
      <c r="J51" s="22" t="s">
        <v>33</v>
      </c>
      <c r="K51" s="23" t="s">
        <v>15</v>
      </c>
      <c r="M51" s="24" t="s">
        <v>16</v>
      </c>
    </row>
    <row r="52" customFormat="false" ht="61.5" hidden="false" customHeight="true" outlineLevel="0" collapsed="false">
      <c r="B52" s="18" t="n">
        <f aca="false">+B51+1</f>
        <v>28</v>
      </c>
      <c r="C52" s="19" t="s">
        <v>65</v>
      </c>
      <c r="E52" s="20" t="s">
        <v>14</v>
      </c>
      <c r="G52" s="21" t="n">
        <v>46311</v>
      </c>
      <c r="H52" s="21" t="n">
        <v>46316</v>
      </c>
      <c r="I52" s="21"/>
      <c r="J52" s="22" t="s">
        <v>33</v>
      </c>
      <c r="K52" s="23" t="s">
        <v>15</v>
      </c>
      <c r="M52" s="24" t="s">
        <v>16</v>
      </c>
    </row>
    <row r="53" customFormat="false" ht="48" hidden="false" customHeight="true" outlineLevel="0" collapsed="false">
      <c r="B53" s="18" t="n">
        <f aca="false">+B52+1</f>
        <v>29</v>
      </c>
      <c r="C53" s="19" t="s">
        <v>66</v>
      </c>
      <c r="E53" s="20" t="s">
        <v>14</v>
      </c>
      <c r="G53" s="21" t="n">
        <v>46311</v>
      </c>
      <c r="H53" s="21" t="n">
        <v>46316</v>
      </c>
      <c r="I53" s="21"/>
      <c r="J53" s="22" t="s">
        <v>33</v>
      </c>
      <c r="K53" s="23" t="s">
        <v>15</v>
      </c>
      <c r="M53" s="24" t="s">
        <v>16</v>
      </c>
    </row>
    <row r="54" s="26" customFormat="true" ht="33.75" hidden="false" customHeight="true" outlineLevel="0" collapsed="false">
      <c r="B54" s="18" t="n">
        <f aca="false">+B53+1</f>
        <v>30</v>
      </c>
      <c r="C54" s="19" t="s">
        <v>67</v>
      </c>
      <c r="E54" s="20" t="s">
        <v>14</v>
      </c>
      <c r="G54" s="21" t="n">
        <v>46311</v>
      </c>
      <c r="H54" s="21" t="n">
        <v>46316</v>
      </c>
      <c r="I54" s="21"/>
      <c r="J54" s="22"/>
      <c r="K54" s="23" t="s">
        <v>15</v>
      </c>
      <c r="M54" s="24" t="s">
        <v>16</v>
      </c>
    </row>
    <row r="55" customFormat="false" ht="33.75" hidden="false" customHeight="true" outlineLevel="0" collapsed="false">
      <c r="B55" s="18" t="n">
        <f aca="false">+B54+1</f>
        <v>31</v>
      </c>
      <c r="C55" s="19" t="s">
        <v>68</v>
      </c>
      <c r="E55" s="20" t="s">
        <v>14</v>
      </c>
      <c r="G55" s="21" t="n">
        <v>46311</v>
      </c>
      <c r="H55" s="21" t="n">
        <v>46316</v>
      </c>
      <c r="I55" s="21"/>
      <c r="J55" s="22" t="s">
        <v>33</v>
      </c>
      <c r="K55" s="23" t="s">
        <v>15</v>
      </c>
      <c r="M55" s="24" t="s">
        <v>16</v>
      </c>
    </row>
    <row r="56" customFormat="false" ht="33.75" hidden="false" customHeight="true" outlineLevel="0" collapsed="false">
      <c r="B56" s="18" t="n">
        <f aca="false">+B55+1</f>
        <v>32</v>
      </c>
      <c r="C56" s="19" t="s">
        <v>69</v>
      </c>
      <c r="E56" s="20" t="s">
        <v>23</v>
      </c>
      <c r="G56" s="21" t="n">
        <v>46311</v>
      </c>
      <c r="H56" s="21" t="n">
        <v>46316</v>
      </c>
      <c r="I56" s="21"/>
      <c r="J56" s="22"/>
      <c r="K56" s="23" t="s">
        <v>15</v>
      </c>
      <c r="M56" s="24" t="s">
        <v>16</v>
      </c>
    </row>
    <row r="57" customFormat="false" ht="33.75" hidden="false" customHeight="true" outlineLevel="0" collapsed="false">
      <c r="B57" s="18" t="n">
        <f aca="false">+B56+1</f>
        <v>33</v>
      </c>
      <c r="C57" s="19" t="s">
        <v>70</v>
      </c>
      <c r="E57" s="20" t="s">
        <v>23</v>
      </c>
      <c r="G57" s="21" t="n">
        <v>46311</v>
      </c>
      <c r="H57" s="21" t="n">
        <v>46316</v>
      </c>
      <c r="I57" s="21"/>
      <c r="J57" s="22"/>
      <c r="K57" s="23" t="s">
        <v>15</v>
      </c>
      <c r="M57" s="24" t="s">
        <v>16</v>
      </c>
    </row>
    <row r="58" customFormat="false" ht="33.75" hidden="false" customHeight="true" outlineLevel="0" collapsed="false">
      <c r="B58" s="18" t="n">
        <f aca="false">+B57+1</f>
        <v>34</v>
      </c>
      <c r="C58" s="19" t="s">
        <v>71</v>
      </c>
      <c r="E58" s="20" t="s">
        <v>23</v>
      </c>
      <c r="G58" s="21" t="n">
        <v>46311</v>
      </c>
      <c r="H58" s="21" t="n">
        <v>46316</v>
      </c>
      <c r="I58" s="21"/>
      <c r="J58" s="22"/>
      <c r="K58" s="23" t="s">
        <v>15</v>
      </c>
      <c r="M58" s="24" t="s">
        <v>16</v>
      </c>
    </row>
    <row r="59" customFormat="false" ht="19.5" hidden="false" customHeight="true" outlineLevel="0" collapsed="false">
      <c r="B59" s="18" t="n">
        <f aca="false">+B58+1</f>
        <v>35</v>
      </c>
      <c r="C59" s="19" t="s">
        <v>72</v>
      </c>
      <c r="E59" s="20" t="s">
        <v>14</v>
      </c>
      <c r="G59" s="21" t="n">
        <v>46311</v>
      </c>
      <c r="H59" s="21" t="n">
        <v>46316</v>
      </c>
      <c r="I59" s="21"/>
      <c r="J59" s="22"/>
      <c r="K59" s="23" t="s">
        <v>15</v>
      </c>
      <c r="M59" s="24" t="s">
        <v>16</v>
      </c>
    </row>
    <row r="60" customFormat="false" ht="33.75" hidden="false" customHeight="true" outlineLevel="0" collapsed="false">
      <c r="B60" s="18" t="n">
        <f aca="false">+B59+1</f>
        <v>36</v>
      </c>
      <c r="C60" s="19" t="s">
        <v>73</v>
      </c>
      <c r="E60" s="20" t="s">
        <v>23</v>
      </c>
      <c r="G60" s="21" t="n">
        <v>46311</v>
      </c>
      <c r="H60" s="21" t="n">
        <v>46316</v>
      </c>
      <c r="I60" s="21"/>
      <c r="J60" s="22"/>
      <c r="K60" s="23" t="s">
        <v>15</v>
      </c>
      <c r="M60" s="24" t="s">
        <v>16</v>
      </c>
    </row>
    <row r="61" customFormat="false" ht="48" hidden="false" customHeight="true" outlineLevel="0" collapsed="false">
      <c r="B61" s="18" t="n">
        <f aca="false">+B60+1</f>
        <v>37</v>
      </c>
      <c r="C61" s="19" t="s">
        <v>74</v>
      </c>
      <c r="E61" s="20" t="s">
        <v>58</v>
      </c>
      <c r="G61" s="21" t="n">
        <v>46311</v>
      </c>
      <c r="H61" s="21" t="n">
        <v>46316</v>
      </c>
      <c r="I61" s="21" t="n">
        <v>46310</v>
      </c>
      <c r="J61" s="22"/>
      <c r="K61" s="23" t="s">
        <v>75</v>
      </c>
      <c r="M61" s="24" t="s">
        <v>21</v>
      </c>
    </row>
    <row r="62" customFormat="false" ht="19.5" hidden="false" customHeight="true" outlineLevel="0" collapsed="false">
      <c r="B62" s="18" t="n">
        <f aca="false">+B61+1</f>
        <v>38</v>
      </c>
      <c r="C62" s="19" t="s">
        <v>76</v>
      </c>
      <c r="E62" s="20" t="s">
        <v>23</v>
      </c>
      <c r="G62" s="21" t="n">
        <v>46311</v>
      </c>
      <c r="H62" s="21" t="n">
        <v>46316</v>
      </c>
      <c r="I62" s="21"/>
      <c r="J62" s="22" t="s">
        <v>33</v>
      </c>
      <c r="K62" s="23" t="s">
        <v>15</v>
      </c>
      <c r="M62" s="24" t="s">
        <v>16</v>
      </c>
    </row>
    <row r="63" customFormat="false" ht="33.75" hidden="false" customHeight="true" outlineLevel="0" collapsed="false">
      <c r="B63" s="18" t="n">
        <f aca="false">+B62+1</f>
        <v>39</v>
      </c>
      <c r="C63" s="19" t="s">
        <v>77</v>
      </c>
      <c r="E63" s="20" t="s">
        <v>23</v>
      </c>
      <c r="G63" s="21" t="n">
        <v>46311</v>
      </c>
      <c r="H63" s="21" t="n">
        <v>46316</v>
      </c>
      <c r="I63" s="21"/>
      <c r="J63" s="22"/>
      <c r="K63" s="23" t="s">
        <v>15</v>
      </c>
      <c r="M63" s="24" t="s">
        <v>16</v>
      </c>
    </row>
    <row r="64" customFormat="false" ht="13.5" hidden="false" customHeight="false" outlineLevel="0" collapsed="false">
      <c r="C64" s="25"/>
    </row>
    <row r="65" customFormat="false" ht="18" hidden="false" customHeight="true" outlineLevel="0" collapsed="false">
      <c r="C65" s="17" t="s">
        <v>78</v>
      </c>
    </row>
    <row r="66" customFormat="false" ht="61.5" hidden="false" customHeight="true" outlineLevel="0" collapsed="false">
      <c r="B66" s="18" t="n">
        <f aca="false">+B63+1</f>
        <v>40</v>
      </c>
      <c r="C66" s="19" t="s">
        <v>79</v>
      </c>
      <c r="E66" s="20" t="s">
        <v>14</v>
      </c>
      <c r="G66" s="21" t="n">
        <v>46311</v>
      </c>
      <c r="H66" s="21" t="n">
        <v>46316</v>
      </c>
      <c r="I66" s="21"/>
      <c r="J66" s="22" t="s">
        <v>33</v>
      </c>
      <c r="K66" s="23" t="s">
        <v>15</v>
      </c>
      <c r="M66" s="24" t="s">
        <v>16</v>
      </c>
    </row>
    <row r="67" customFormat="false" ht="33.75" hidden="false" customHeight="true" outlineLevel="0" collapsed="false">
      <c r="B67" s="18" t="n">
        <f aca="false">+B66+1</f>
        <v>41</v>
      </c>
      <c r="C67" s="19" t="s">
        <v>80</v>
      </c>
      <c r="E67" s="20" t="s">
        <v>23</v>
      </c>
      <c r="G67" s="21" t="n">
        <v>46311</v>
      </c>
      <c r="H67" s="21" t="n">
        <v>46316</v>
      </c>
      <c r="I67" s="21"/>
      <c r="J67" s="22"/>
      <c r="K67" s="23" t="s">
        <v>15</v>
      </c>
      <c r="M67" s="24" t="s">
        <v>16</v>
      </c>
    </row>
    <row r="68" s="26" customFormat="true" ht="48" hidden="false" customHeight="true" outlineLevel="0" collapsed="false">
      <c r="B68" s="18" t="n">
        <f aca="false">+B67+1</f>
        <v>42</v>
      </c>
      <c r="C68" s="19" t="s">
        <v>81</v>
      </c>
      <c r="E68" s="20" t="s">
        <v>23</v>
      </c>
      <c r="G68" s="21" t="n">
        <v>46311</v>
      </c>
      <c r="H68" s="21" t="n">
        <v>46316</v>
      </c>
      <c r="I68" s="21" t="n">
        <v>46310</v>
      </c>
      <c r="J68" s="22" t="s">
        <v>33</v>
      </c>
      <c r="K68" s="23" t="s">
        <v>82</v>
      </c>
      <c r="M68" s="24" t="s">
        <v>21</v>
      </c>
    </row>
    <row r="69" customFormat="false" ht="33.75" hidden="false" customHeight="true" outlineLevel="0" collapsed="false">
      <c r="B69" s="18" t="n">
        <f aca="false">+B68+1</f>
        <v>43</v>
      </c>
      <c r="C69" s="19" t="s">
        <v>83</v>
      </c>
      <c r="E69" s="20" t="s">
        <v>58</v>
      </c>
      <c r="G69" s="21" t="n">
        <v>46311</v>
      </c>
      <c r="H69" s="21" t="n">
        <v>46316</v>
      </c>
      <c r="I69" s="21"/>
      <c r="J69" s="22" t="s">
        <v>33</v>
      </c>
      <c r="K69" s="23" t="s">
        <v>15</v>
      </c>
      <c r="M69" s="24" t="s">
        <v>16</v>
      </c>
    </row>
    <row r="70" customFormat="false" ht="13.5" hidden="false" customHeight="false" outlineLevel="0" collapsed="false">
      <c r="C70" s="25"/>
    </row>
    <row r="71" customFormat="false" ht="13.5" hidden="false" customHeight="false" outlineLevel="0" collapsed="false">
      <c r="C71" s="25"/>
    </row>
    <row r="72" customFormat="false" ht="13.5" hidden="false" customHeight="false" outlineLevel="0" collapsed="false">
      <c r="C72" s="25"/>
    </row>
    <row r="73" customFormat="false" ht="13.5" hidden="false" customHeight="false" outlineLevel="0" collapsed="false">
      <c r="C73" s="25"/>
    </row>
    <row r="74" customFormat="false" ht="13.5" hidden="false" customHeight="false" outlineLevel="0" collapsed="false">
      <c r="C74" s="25"/>
    </row>
    <row r="75" customFormat="false" ht="13.5" hidden="false" customHeight="false" outlineLevel="0" collapsed="false">
      <c r="C75" s="25"/>
    </row>
    <row r="76" customFormat="false" ht="13.5" hidden="false" customHeight="false" outlineLevel="0" collapsed="false">
      <c r="C76" s="25"/>
    </row>
    <row r="77" customFormat="false" ht="13.5" hidden="false" customHeight="false" outlineLevel="0" collapsed="false">
      <c r="C77" s="25"/>
    </row>
    <row r="78" customFormat="false" ht="13.5" hidden="false" customHeight="false" outlineLevel="0" collapsed="false">
      <c r="C78" s="25"/>
    </row>
    <row r="79" customFormat="false" ht="13.5" hidden="false" customHeight="false" outlineLevel="0" collapsed="false">
      <c r="C79" s="25"/>
    </row>
    <row r="80" customFormat="false" ht="13.5" hidden="false" customHeight="false" outlineLevel="0" collapsed="false">
      <c r="C80" s="25"/>
    </row>
    <row r="81" customFormat="false" ht="13.5" hidden="false" customHeight="false" outlineLevel="0" collapsed="false">
      <c r="C81" s="25"/>
    </row>
    <row r="82" customFormat="false" ht="13.5" hidden="false" customHeight="false" outlineLevel="0" collapsed="false">
      <c r="C82" s="25"/>
    </row>
    <row r="83" customFormat="false" ht="13.5" hidden="false" customHeight="false" outlineLevel="0" collapsed="false">
      <c r="C83" s="25"/>
    </row>
    <row r="84" customFormat="false" ht="13.5" hidden="false" customHeight="false" outlineLevel="0" collapsed="false">
      <c r="C84" s="25"/>
    </row>
    <row r="85" customFormat="false" ht="13.5" hidden="false" customHeight="false" outlineLevel="0" collapsed="false">
      <c r="C85" s="25"/>
    </row>
    <row r="86" customFormat="false" ht="13.5" hidden="false" customHeight="false" outlineLevel="0" collapsed="false">
      <c r="C86" s="25"/>
    </row>
    <row r="87" customFormat="false" ht="13.5" hidden="false" customHeight="false" outlineLevel="0" collapsed="false">
      <c r="C87" s="25"/>
    </row>
    <row r="88" customFormat="false" ht="13.5" hidden="false" customHeight="false" outlineLevel="0" collapsed="false">
      <c r="C88" s="25"/>
    </row>
    <row r="89" customFormat="false" ht="13.5" hidden="false" customHeight="false" outlineLevel="0" collapsed="false">
      <c r="C89" s="25"/>
    </row>
    <row r="90" customFormat="false" ht="13.5" hidden="false" customHeight="false" outlineLevel="0" collapsed="false">
      <c r="C90" s="25"/>
    </row>
    <row r="91" customFormat="false" ht="13.5" hidden="false" customHeight="false" outlineLevel="0" collapsed="false">
      <c r="C91" s="25"/>
    </row>
    <row r="92" customFormat="false" ht="13.5" hidden="false" customHeight="false" outlineLevel="0" collapsed="false">
      <c r="C92" s="25"/>
    </row>
    <row r="93" customFormat="false" ht="13.5" hidden="false" customHeight="false" outlineLevel="0" collapsed="false">
      <c r="C93" s="25"/>
    </row>
    <row r="94" customFormat="false" ht="13.5" hidden="false" customHeight="false" outlineLevel="0" collapsed="false">
      <c r="C94" s="25"/>
    </row>
    <row r="95" customFormat="false" ht="13.5" hidden="false" customHeight="false" outlineLevel="0" collapsed="false">
      <c r="C95" s="25"/>
    </row>
    <row r="96" customFormat="false" ht="13.5" hidden="false" customHeight="false" outlineLevel="0" collapsed="false">
      <c r="C96" s="25"/>
    </row>
    <row r="97" customFormat="false" ht="13.5" hidden="false" customHeight="false" outlineLevel="0" collapsed="false">
      <c r="C97" s="25"/>
    </row>
    <row r="98" customFormat="false" ht="13.5" hidden="false" customHeight="false" outlineLevel="0" collapsed="false">
      <c r="C98" s="25"/>
    </row>
    <row r="99" customFormat="false" ht="13.5" hidden="false" customHeight="false" outlineLevel="0" collapsed="false">
      <c r="C99" s="25"/>
    </row>
    <row r="100" customFormat="false" ht="13.5" hidden="false" customHeight="false" outlineLevel="0" collapsed="false">
      <c r="C100" s="25"/>
    </row>
    <row r="101" customFormat="false" ht="13.5" hidden="false" customHeight="false" outlineLevel="0" collapsed="false">
      <c r="C101" s="25"/>
    </row>
    <row r="102" customFormat="false" ht="13.5" hidden="false" customHeight="false" outlineLevel="0" collapsed="false">
      <c r="C102" s="25"/>
    </row>
    <row r="103" customFormat="false" ht="13.5" hidden="false" customHeight="false" outlineLevel="0" collapsed="false">
      <c r="C103" s="25"/>
    </row>
    <row r="104" customFormat="false" ht="13.5" hidden="false" customHeight="false" outlineLevel="0" collapsed="false">
      <c r="C104" s="25"/>
    </row>
    <row r="105" customFormat="false" ht="13.5" hidden="false" customHeight="false" outlineLevel="0" collapsed="false">
      <c r="C105" s="25"/>
    </row>
    <row r="106" customFormat="false" ht="13.5" hidden="false" customHeight="false" outlineLevel="0" collapsed="false">
      <c r="C106" s="25"/>
    </row>
    <row r="107" customFormat="false" ht="13.5" hidden="false" customHeight="false" outlineLevel="0" collapsed="false">
      <c r="C107" s="25"/>
    </row>
    <row r="108" customFormat="false" ht="13.5" hidden="false" customHeight="false" outlineLevel="0" collapsed="false">
      <c r="C108" s="25"/>
    </row>
    <row r="109" customFormat="false" ht="13.5" hidden="false" customHeight="false" outlineLevel="0" collapsed="false">
      <c r="C109" s="25"/>
    </row>
    <row r="110" customFormat="false" ht="13.5" hidden="false" customHeight="false" outlineLevel="0" collapsed="false">
      <c r="C110" s="25"/>
    </row>
    <row r="111" customFormat="false" ht="13.5" hidden="false" customHeight="false" outlineLevel="0" collapsed="false">
      <c r="C111" s="25"/>
    </row>
    <row r="112" customFormat="false" ht="13.5" hidden="false" customHeight="false" outlineLevel="0" collapsed="false">
      <c r="C112" s="25"/>
    </row>
    <row r="113" customFormat="false" ht="13.5" hidden="false" customHeight="false" outlineLevel="0" collapsed="false">
      <c r="C113" s="25"/>
    </row>
    <row r="114" customFormat="false" ht="13.5" hidden="false" customHeight="false" outlineLevel="0" collapsed="false">
      <c r="C114" s="25"/>
    </row>
    <row r="115" customFormat="false" ht="13.5" hidden="false" customHeight="false" outlineLevel="0" collapsed="false">
      <c r="C115" s="25"/>
    </row>
    <row r="116" customFormat="false" ht="13.5" hidden="false" customHeight="false" outlineLevel="0" collapsed="false">
      <c r="C116" s="25"/>
    </row>
    <row r="117" customFormat="false" ht="13.5" hidden="false" customHeight="false" outlineLevel="0" collapsed="false">
      <c r="C117" s="25"/>
    </row>
    <row r="118" customFormat="false" ht="13.5" hidden="false" customHeight="false" outlineLevel="0" collapsed="false">
      <c r="C118" s="25"/>
    </row>
    <row r="119" customFormat="false" ht="13.5" hidden="false" customHeight="false" outlineLevel="0" collapsed="false">
      <c r="C119" s="25"/>
    </row>
    <row r="120" customFormat="false" ht="13.5" hidden="false" customHeight="false" outlineLevel="0" collapsed="false">
      <c r="C120" s="25"/>
    </row>
    <row r="121" customFormat="false" ht="13.5" hidden="false" customHeight="false" outlineLevel="0" collapsed="false">
      <c r="C121" s="25"/>
    </row>
    <row r="122" customFormat="false" ht="13.5" hidden="false" customHeight="false" outlineLevel="0" collapsed="false">
      <c r="C122" s="25"/>
    </row>
    <row r="123" customFormat="false" ht="13.5" hidden="false" customHeight="false" outlineLevel="0" collapsed="false">
      <c r="C123" s="25"/>
    </row>
    <row r="124" customFormat="false" ht="13.5" hidden="false" customHeight="false" outlineLevel="0" collapsed="false">
      <c r="C124" s="25"/>
    </row>
    <row r="125" customFormat="false" ht="13.5" hidden="false" customHeight="false" outlineLevel="0" collapsed="false">
      <c r="C125" s="25"/>
    </row>
    <row r="126" customFormat="false" ht="13.5" hidden="false" customHeight="false" outlineLevel="0" collapsed="false">
      <c r="C126" s="25"/>
    </row>
    <row r="127" customFormat="false" ht="13.5" hidden="false" customHeight="false" outlineLevel="0" collapsed="false">
      <c r="C127" s="25"/>
    </row>
    <row r="128" customFormat="false" ht="13.5" hidden="false" customHeight="false" outlineLevel="0" collapsed="false">
      <c r="C128" s="25"/>
    </row>
    <row r="129" customFormat="false" ht="13.5" hidden="false" customHeight="false" outlineLevel="0" collapsed="false">
      <c r="C129" s="25"/>
    </row>
  </sheetData>
  <autoFilter ref="B12:P12"/>
  <mergeCells count="3">
    <mergeCell ref="C4:M4"/>
    <mergeCell ref="C5:M5"/>
    <mergeCell ref="C6:M6"/>
  </mergeCells>
  <conditionalFormatting sqref="M11:M69">
    <cfRule type="cellIs" priority="2" operator="equal" aboveAverage="0" equalAverage="0" bottom="0" percent="0" rank="0" text="" dxfId="5">
      <formula>"Partiellement Reçu"</formula>
    </cfRule>
    <cfRule type="cellIs" priority="3" operator="equal" aboveAverage="0" equalAverage="0" bottom="0" percent="0" rank="0" text="" dxfId="6">
      <formula>"Non Reçu"</formula>
    </cfRule>
    <cfRule type="cellIs" priority="4" operator="equal" aboveAverage="0" equalAverage="0" bottom="0" percent="0" rank="0" text="" dxfId="7">
      <formula>"Reçu"</formula>
    </cfRule>
  </conditionalFormatting>
  <conditionalFormatting sqref="E11:E69">
    <cfRule type="cellIs" priority="5" operator="equal" aboveAverage="0" equalAverage="0" bottom="0" percent="0" rank="0" text="" dxfId="8">
      <formula>"Faible"</formula>
    </cfRule>
    <cfRule type="cellIs" priority="6" operator="equal" aboveAverage="0" equalAverage="0" bottom="0" percent="0" rank="0" text="" dxfId="9">
      <formula>"Moyen"</formula>
    </cfRule>
    <cfRule type="cellIs" priority="7" operator="equal" aboveAverage="0" equalAverage="0" bottom="0" percent="0" rank="0" text="" dxfId="10">
      <formula>"Urgent"</formula>
    </cfRule>
  </conditionalFormatting>
  <dataValidations count="3">
    <dataValidation allowBlank="true" errorStyle="stop" operator="between" showDropDown="false" showErrorMessage="false" showInputMessage="false" sqref="E11:E69" type="list">
      <formula1>"Urgent,Moyen,Faible"</formula1>
      <formula2>0</formula2>
    </dataValidation>
    <dataValidation allowBlank="true" errorStyle="stop" operator="between" showDropDown="false" showErrorMessage="false" showInputMessage="false" sqref="J11:J69" type="list">
      <formula1>"Physique,Electronique,Physique et Electronique"</formula1>
      <formula2>0</formula2>
    </dataValidation>
    <dataValidation allowBlank="true" errorStyle="stop" operator="between" showDropDown="false" showErrorMessage="false" showInputMessage="false" sqref="M11:M69" type="list">
      <formula1>"Reçu,Non Reçu,Non Applicable,Partiellement Reçu"</formula1>
      <formula2>0</formula2>
    </dataValidation>
  </dataValidations>
  <printOptions headings="false" gridLines="false" gridLinesSet="true" horizontalCentered="false" verticalCentered="false"/>
  <pageMargins left="0.39375" right="0.196527777777778" top="0.39375" bottom="0.39375" header="0.118055555555556" footer="0.118055555555556"/>
  <pageSetup paperSize="77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&amp;C&amp;8 &amp;A&amp;R&amp;P/&amp;N</oddHeader>
    <oddFooter>&amp;C&amp;8 &amp;F&amp;R&amp;P/&amp;N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9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80"/>
  </cols>
  <sheetData>
    <row r="2" customFormat="false" ht="16.15" hidden="false" customHeight="false" outlineLevel="0" collapsed="false">
      <c r="B2" s="27" t="s">
        <v>84</v>
      </c>
    </row>
    <row r="3" customFormat="false" ht="15" hidden="false" customHeight="false" outlineLevel="0" collapsed="false">
      <c r="B3" s="28" t="s">
        <v>85</v>
      </c>
    </row>
    <row r="5" customFormat="false" ht="15" hidden="false" customHeight="false" outlineLevel="0" collapsed="false">
      <c r="B5" s="29" t="s">
        <v>11</v>
      </c>
      <c r="C5" s="29" t="s">
        <v>86</v>
      </c>
      <c r="D5" s="29" t="s">
        <v>87</v>
      </c>
    </row>
    <row r="6" customFormat="false" ht="45.75" hidden="false" customHeight="true" outlineLevel="0" collapsed="false">
      <c r="B6" s="30" t="s">
        <v>88</v>
      </c>
      <c r="C6" s="31" t="n">
        <f aca="false">COUNTIF('PBC Actuariat FPPN'!$M$11:$M$69,"Reçu")</f>
        <v>0</v>
      </c>
      <c r="D6" s="31"/>
    </row>
    <row r="7" customFormat="false" ht="60" hidden="false" customHeight="true" outlineLevel="0" collapsed="false">
      <c r="B7" s="30" t="s">
        <v>21</v>
      </c>
      <c r="C7" s="31" t="n">
        <f aca="false">COUNTIF('PBC Actuariat FPPN'!$M$11:$M$69,"Partiellement Reçu")</f>
        <v>9</v>
      </c>
      <c r="D7" s="31" t="s">
        <v>89</v>
      </c>
    </row>
    <row r="8" customFormat="false" ht="60" hidden="false" customHeight="true" outlineLevel="0" collapsed="false">
      <c r="B8" s="30" t="s">
        <v>16</v>
      </c>
      <c r="C8" s="31" t="n">
        <f aca="false">COUNTIF('PBC Actuariat FPPN'!$M$11:$M$69,"Non Reçu")</f>
        <v>34</v>
      </c>
      <c r="D8" s="31" t="s">
        <v>90</v>
      </c>
    </row>
    <row r="9" customFormat="false" ht="18" hidden="false" customHeight="true" outlineLevel="0" collapsed="false">
      <c r="B9" s="30" t="s">
        <v>91</v>
      </c>
      <c r="C9" s="31" t="n">
        <f aca="false">SUM(C6:C8)</f>
        <v>43</v>
      </c>
      <c r="D9" s="31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3" min="3" style="0" width="55"/>
    <col collapsed="false" customWidth="true" hidden="false" outlineLevel="0" max="4" min="4" style="0" width="16"/>
    <col collapsed="false" customWidth="true" hidden="false" outlineLevel="0" max="5" min="5" style="0" width="55"/>
  </cols>
  <sheetData>
    <row r="2" customFormat="false" ht="16.15" hidden="false" customHeight="false" outlineLevel="0" collapsed="false">
      <c r="B2" s="27" t="s">
        <v>93</v>
      </c>
    </row>
    <row r="3" customFormat="false" ht="15" hidden="false" customHeight="false" outlineLevel="0" collapsed="false">
      <c r="B3" s="28" t="s">
        <v>94</v>
      </c>
    </row>
    <row r="5" customFormat="false" ht="15" hidden="false" customHeight="false" outlineLevel="0" collapsed="false">
      <c r="B5" s="29" t="s">
        <v>95</v>
      </c>
      <c r="C5" s="29" t="s">
        <v>96</v>
      </c>
      <c r="D5" s="29" t="s">
        <v>97</v>
      </c>
      <c r="E5" s="29" t="s">
        <v>98</v>
      </c>
    </row>
    <row r="6" customFormat="false" ht="60" hidden="false" customHeight="true" outlineLevel="0" collapsed="false">
      <c r="B6" s="30" t="s">
        <v>99</v>
      </c>
      <c r="C6" s="31" t="s">
        <v>100</v>
      </c>
      <c r="D6" s="31" t="s">
        <v>101</v>
      </c>
      <c r="E6" s="31" t="s">
        <v>102</v>
      </c>
    </row>
    <row r="7" customFormat="false" ht="31.5" hidden="false" customHeight="true" outlineLevel="0" collapsed="false">
      <c r="B7" s="30" t="s">
        <v>103</v>
      </c>
      <c r="C7" s="31" t="s">
        <v>104</v>
      </c>
      <c r="D7" s="31" t="s">
        <v>105</v>
      </c>
      <c r="E7" s="31" t="s">
        <v>106</v>
      </c>
    </row>
    <row r="8" customFormat="false" ht="31.5" hidden="false" customHeight="true" outlineLevel="0" collapsed="false">
      <c r="B8" s="30" t="s">
        <v>107</v>
      </c>
      <c r="C8" s="31" t="s">
        <v>108</v>
      </c>
      <c r="D8" s="31" t="s">
        <v>109</v>
      </c>
      <c r="E8" s="31" t="s">
        <v>110</v>
      </c>
    </row>
    <row r="9" customFormat="false" ht="31.5" hidden="false" customHeight="true" outlineLevel="0" collapsed="false">
      <c r="B9" s="30" t="s">
        <v>111</v>
      </c>
      <c r="C9" s="31" t="s">
        <v>112</v>
      </c>
      <c r="D9" s="31" t="s">
        <v>113</v>
      </c>
      <c r="E9" s="31" t="s">
        <v>114</v>
      </c>
    </row>
    <row r="10" customFormat="false" ht="31.5" hidden="false" customHeight="true" outlineLevel="0" collapsed="false">
      <c r="B10" s="30" t="s">
        <v>115</v>
      </c>
      <c r="C10" s="31" t="s">
        <v>116</v>
      </c>
      <c r="D10" s="31" t="s">
        <v>117</v>
      </c>
      <c r="E10" s="31" t="s">
        <v>118</v>
      </c>
    </row>
    <row r="11" customFormat="false" ht="18" hidden="false" customHeight="true" outlineLevel="0" collapsed="false">
      <c r="B11" s="30" t="s">
        <v>119</v>
      </c>
      <c r="C11" s="31" t="s">
        <v>120</v>
      </c>
      <c r="D11" s="31" t="s">
        <v>121</v>
      </c>
      <c r="E11" s="31" t="s">
        <v>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pageBreakPreview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60"/>
    <col collapsed="false" customWidth="true" hidden="false" outlineLevel="0" max="4" min="4" style="0" width="45"/>
    <col collapsed="false" customWidth="true" hidden="false" outlineLevel="0" max="5" min="5" style="0" width="50"/>
  </cols>
  <sheetData>
    <row r="2" customFormat="false" ht="16.15" hidden="false" customHeight="false" outlineLevel="0" collapsed="false">
      <c r="B2" s="27" t="s">
        <v>123</v>
      </c>
    </row>
    <row r="3" customFormat="false" ht="15" hidden="false" customHeight="false" outlineLevel="0" collapsed="false">
      <c r="B3" s="28" t="s">
        <v>124</v>
      </c>
    </row>
    <row r="5" customFormat="false" ht="15" hidden="false" customHeight="false" outlineLevel="0" collapsed="false">
      <c r="B5" s="29" t="s">
        <v>125</v>
      </c>
      <c r="C5" s="29" t="s">
        <v>126</v>
      </c>
      <c r="D5" s="29" t="s">
        <v>127</v>
      </c>
      <c r="E5" s="29" t="s">
        <v>128</v>
      </c>
    </row>
    <row r="6" customFormat="false" ht="18" hidden="false" customHeight="true" outlineLevel="0" collapsed="false">
      <c r="B6" s="30" t="n">
        <v>1</v>
      </c>
      <c r="C6" s="31" t="s">
        <v>129</v>
      </c>
      <c r="D6" s="31" t="s">
        <v>130</v>
      </c>
      <c r="E6" s="31" t="s">
        <v>131</v>
      </c>
    </row>
    <row r="7" customFormat="false" ht="18" hidden="false" customHeight="true" outlineLevel="0" collapsed="false">
      <c r="B7" s="30" t="n">
        <v>2</v>
      </c>
      <c r="C7" s="31" t="s">
        <v>132</v>
      </c>
      <c r="D7" s="31" t="s">
        <v>130</v>
      </c>
      <c r="E7" s="31" t="s">
        <v>131</v>
      </c>
    </row>
    <row r="8" customFormat="false" ht="18" hidden="false" customHeight="true" outlineLevel="0" collapsed="false">
      <c r="B8" s="30" t="n">
        <v>3</v>
      </c>
      <c r="C8" s="31" t="s">
        <v>133</v>
      </c>
      <c r="D8" s="31" t="s">
        <v>130</v>
      </c>
      <c r="E8" s="31" t="s">
        <v>131</v>
      </c>
    </row>
    <row r="9" customFormat="false" ht="18" hidden="false" customHeight="true" outlineLevel="0" collapsed="false">
      <c r="B9" s="30" t="n">
        <v>4</v>
      </c>
      <c r="C9" s="31" t="s">
        <v>134</v>
      </c>
      <c r="D9" s="31" t="s">
        <v>130</v>
      </c>
      <c r="E9" s="31" t="s">
        <v>131</v>
      </c>
    </row>
    <row r="10" customFormat="false" ht="18" hidden="false" customHeight="true" outlineLevel="0" collapsed="false">
      <c r="B10" s="30" t="n">
        <v>5</v>
      </c>
      <c r="C10" s="31" t="s">
        <v>135</v>
      </c>
      <c r="D10" s="31" t="s">
        <v>130</v>
      </c>
      <c r="E10" s="31" t="s">
        <v>131</v>
      </c>
    </row>
    <row r="11" customFormat="false" ht="18" hidden="false" customHeight="true" outlineLevel="0" collapsed="false">
      <c r="B11" s="30" t="n">
        <v>6</v>
      </c>
      <c r="C11" s="31" t="s">
        <v>136</v>
      </c>
      <c r="D11" s="31" t="s">
        <v>137</v>
      </c>
      <c r="E11" s="31" t="s">
        <v>138</v>
      </c>
    </row>
    <row r="12" customFormat="false" ht="31.5" hidden="false" customHeight="true" outlineLevel="0" collapsed="false">
      <c r="B12" s="30" t="n">
        <v>7</v>
      </c>
      <c r="C12" s="31" t="s">
        <v>139</v>
      </c>
      <c r="D12" s="31" t="s">
        <v>140</v>
      </c>
      <c r="E12" s="31" t="s">
        <v>138</v>
      </c>
    </row>
    <row r="13" customFormat="false" ht="31.5" hidden="false" customHeight="true" outlineLevel="0" collapsed="false">
      <c r="B13" s="30" t="n">
        <v>8</v>
      </c>
      <c r="C13" s="31" t="s">
        <v>141</v>
      </c>
      <c r="D13" s="31" t="s">
        <v>142</v>
      </c>
      <c r="E13" s="31" t="s">
        <v>143</v>
      </c>
    </row>
    <row r="14" customFormat="false" ht="31.5" hidden="false" customHeight="true" outlineLevel="0" collapsed="false">
      <c r="B14" s="30" t="n">
        <v>9</v>
      </c>
      <c r="C14" s="31" t="s">
        <v>144</v>
      </c>
      <c r="D14" s="31" t="s">
        <v>130</v>
      </c>
      <c r="E14" s="31" t="s">
        <v>131</v>
      </c>
    </row>
    <row r="15" customFormat="false" ht="31.5" hidden="false" customHeight="true" outlineLevel="0" collapsed="false">
      <c r="B15" s="30" t="n">
        <v>10</v>
      </c>
      <c r="C15" s="31" t="s">
        <v>145</v>
      </c>
      <c r="D15" s="31" t="s">
        <v>130</v>
      </c>
      <c r="E15" s="31" t="s">
        <v>131</v>
      </c>
    </row>
    <row r="16" customFormat="false" ht="31.5" hidden="false" customHeight="true" outlineLevel="0" collapsed="false">
      <c r="B16" s="30" t="n">
        <v>11</v>
      </c>
      <c r="C16" s="31" t="s">
        <v>146</v>
      </c>
      <c r="D16" s="31" t="s">
        <v>147</v>
      </c>
      <c r="E16" s="31" t="s">
        <v>148</v>
      </c>
    </row>
    <row r="17" customFormat="false" ht="31.5" hidden="false" customHeight="true" outlineLevel="0" collapsed="false">
      <c r="B17" s="30" t="n">
        <v>12</v>
      </c>
      <c r="C17" s="31" t="s">
        <v>149</v>
      </c>
      <c r="D17" s="31" t="s">
        <v>150</v>
      </c>
      <c r="E17" s="31" t="s">
        <v>151</v>
      </c>
    </row>
    <row r="18" customFormat="false" ht="31.5" hidden="false" customHeight="true" outlineLevel="0" collapsed="false">
      <c r="B18" s="30" t="n">
        <v>13</v>
      </c>
      <c r="C18" s="31" t="s">
        <v>152</v>
      </c>
      <c r="D18" s="31" t="s">
        <v>153</v>
      </c>
      <c r="E18" s="31" t="s">
        <v>154</v>
      </c>
    </row>
    <row r="19" customFormat="false" ht="18" hidden="false" customHeight="true" outlineLevel="0" collapsed="false">
      <c r="B19" s="30" t="n">
        <v>14</v>
      </c>
      <c r="C19" s="31" t="s">
        <v>155</v>
      </c>
      <c r="D19" s="31" t="s">
        <v>156</v>
      </c>
      <c r="E19" s="31" t="s">
        <v>157</v>
      </c>
    </row>
    <row r="20" customFormat="false" ht="31.5" hidden="false" customHeight="true" outlineLevel="0" collapsed="false">
      <c r="B20" s="30" t="n">
        <v>15</v>
      </c>
      <c r="C20" s="31" t="s">
        <v>158</v>
      </c>
      <c r="D20" s="31" t="s">
        <v>159</v>
      </c>
      <c r="E20" s="31" t="s">
        <v>160</v>
      </c>
    </row>
    <row r="21" customFormat="false" ht="18" hidden="false" customHeight="true" outlineLevel="0" collapsed="false">
      <c r="B21" s="30" t="n">
        <v>16</v>
      </c>
      <c r="C21" s="31" t="s">
        <v>161</v>
      </c>
      <c r="D21" s="31" t="s">
        <v>162</v>
      </c>
      <c r="E21" s="31" t="s">
        <v>163</v>
      </c>
    </row>
    <row r="22" customFormat="false" ht="31.5" hidden="false" customHeight="true" outlineLevel="0" collapsed="false">
      <c r="B22" s="30" t="n">
        <v>17</v>
      </c>
      <c r="C22" s="31" t="s">
        <v>164</v>
      </c>
      <c r="D22" s="31" t="s">
        <v>165</v>
      </c>
      <c r="E22" s="31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2026-09-08T09:02:33Z</dcterms:created>
  <dc:creator>Miensa Ruth Kouassi</dc:creator>
  <dc:description/>
  <dc:language>en-US</dc:language>
  <cp:lastModifiedBy>Saimby Loïc Keme</cp:lastModifiedBy>
  <dcterms:modified xsi:type="dcterms:W3CDTF">2026-10-18T18:15:49Z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